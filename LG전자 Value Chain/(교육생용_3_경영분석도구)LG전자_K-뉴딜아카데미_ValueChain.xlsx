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style1.xml" ContentType="application/vnd.ms-office.chartstyle+xml"/>
  <Override PartName="/xl/charts/colors1.xml" ContentType="application/vnd.ms-office.chartcolorstyle+xml"/>
  <Override PartName="/xl/charts/chart42.xml" ContentType="application/vnd.openxmlformats-officedocument.drawingml.chart+xml"/>
  <Override PartName="/xl/charts/style2.xml" ContentType="application/vnd.ms-office.chartstyle+xml"/>
  <Override PartName="/xl/charts/colors2.xml" ContentType="application/vnd.ms-office.chartcolorstyle+xml"/>
  <Override PartName="/xl/charts/chart4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omments2.xml" ContentType="application/vnd.openxmlformats-officedocument.spreadsheetml.comments+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drawings/drawing3.xml" ContentType="application/vnd.openxmlformats-officedocument.drawing+xml"/>
  <Override PartName="/xl/charts/chart57.xml" ContentType="application/vnd.openxmlformats-officedocument.drawingml.chart+xml"/>
  <Override PartName="/xl/charts/chart58.xml" ContentType="application/vnd.openxmlformats-officedocument.drawingml.chart+xml"/>
  <Override PartName="/xl/charts/chart59.xml" ContentType="application/vnd.openxmlformats-officedocument.drawingml.chart+xml"/>
  <Override PartName="/xl/charts/chart60.xml" ContentType="application/vnd.openxmlformats-officedocument.drawingml.chart+xml"/>
  <Override PartName="/xl/drawings/drawing4.xml" ContentType="application/vnd.openxmlformats-officedocument.drawing+xml"/>
  <Override PartName="/xl/charts/chart61.xml" ContentType="application/vnd.openxmlformats-officedocument.drawingml.chart+xml"/>
  <Override PartName="/xl/charts/chart62.xml" ContentType="application/vnd.openxmlformats-officedocument.drawingml.chart+xml"/>
  <Override PartName="/xl/charts/chart63.xml" ContentType="application/vnd.openxmlformats-officedocument.drawingml.chart+xml"/>
  <Override PartName="/xl/charts/chart64.xml" ContentType="application/vnd.openxmlformats-officedocument.drawingml.chart+xml"/>
  <Override PartName="/xl/charts/chart65.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sskim\Dropbox\1. 비투엘\B. 경영시뮬레이션_24년\0. BSG 교육\0_1. 사원_교육자료_보고서_만족도\1. LG전자_2401\1. 교육자료\"/>
    </mc:Choice>
  </mc:AlternateContent>
  <xr:revisionPtr revIDLastSave="0" documentId="8_{230A6E3B-C22E-4B25-B7A0-CDB67EC5C727}" xr6:coauthVersionLast="47" xr6:coauthVersionMax="47" xr10:uidLastSave="{00000000-0000-0000-0000-000000000000}"/>
  <bookViews>
    <workbookView xWindow="-28920" yWindow="-120" windowWidth="29040" windowHeight="15720" firstSheet="1" activeTab="6" xr2:uid="{229CCCCB-78ED-48AD-A3F0-CD1C0B1C6623}"/>
  </bookViews>
  <sheets>
    <sheet name="0. 경영분석도구의 구조" sheetId="12" r:id="rId1"/>
    <sheet name="2. 의사결정 및 경영성과" sheetId="19" r:id="rId2"/>
    <sheet name="3. 기초 분석 자료" sheetId="20" r:id="rId3"/>
    <sheet name="1. Parameter Table" sheetId="4" r:id="rId4"/>
    <sheet name="4. 재무분석도구" sheetId="11" r:id="rId5"/>
    <sheet name="5. 경제성 분석 도구" sheetId="16" r:id="rId6"/>
    <sheet name="6. What-if 및 시나리오 분석" sheetId="17" r:id="rId7"/>
  </sheets>
  <definedNames>
    <definedName name="_xlnm._FilterDatabase" localSheetId="3" hidden="1">'1. Parameter Table'!$C$1:$C$129</definedName>
    <definedName name="_xlnm.Print_Area" localSheetId="3">'1. Parameter Table'!#REF!</definedName>
    <definedName name="_xlnm.Print_Area" localSheetId="2">'3. 기초 분석 자료'!$A$36:$Z$63</definedName>
    <definedName name="_xlnm.Print_Area" localSheetId="4">'4. 재무분석도구'!$B$1:$BO$203</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89" i="11" l="1"/>
  <c r="P27" i="11"/>
  <c r="P26" i="11"/>
  <c r="R53" i="11"/>
  <c r="L179" i="11"/>
  <c r="L101" i="11"/>
  <c r="L102" i="11"/>
  <c r="L103" i="11"/>
  <c r="L104" i="11"/>
  <c r="L105" i="11"/>
  <c r="L106" i="11"/>
  <c r="L100" i="11"/>
  <c r="L99" i="11"/>
  <c r="H96" i="11"/>
  <c r="K194" i="11"/>
  <c r="V428" i="20"/>
  <c r="U428" i="20"/>
  <c r="T428" i="20"/>
  <c r="T426" i="20"/>
  <c r="S428" i="20"/>
  <c r="R428" i="20"/>
  <c r="Q428" i="20"/>
  <c r="Q426" i="20"/>
  <c r="P428" i="20"/>
  <c r="O428" i="20"/>
  <c r="N428" i="20"/>
  <c r="M428" i="20"/>
  <c r="L428" i="20"/>
  <c r="K428" i="20"/>
  <c r="J428" i="20"/>
  <c r="I428" i="20"/>
  <c r="H428" i="20"/>
  <c r="G428" i="20"/>
  <c r="F428" i="20"/>
  <c r="E428" i="20"/>
  <c r="D428" i="20"/>
  <c r="C428" i="20"/>
  <c r="V427" i="20"/>
  <c r="U427" i="20"/>
  <c r="T427" i="20"/>
  <c r="S427" i="20"/>
  <c r="R427" i="20"/>
  <c r="Q427" i="20"/>
  <c r="P427" i="20"/>
  <c r="O427" i="20"/>
  <c r="N427" i="20"/>
  <c r="M427" i="20"/>
  <c r="L427" i="20"/>
  <c r="K427" i="20"/>
  <c r="J427" i="20"/>
  <c r="I427" i="20"/>
  <c r="H427" i="20"/>
  <c r="G427" i="20"/>
  <c r="F427" i="20"/>
  <c r="E427" i="20"/>
  <c r="D427" i="20"/>
  <c r="C427" i="20"/>
  <c r="V426" i="20"/>
  <c r="U426" i="20"/>
  <c r="S426" i="20"/>
  <c r="R426" i="20"/>
  <c r="P426" i="20"/>
  <c r="O426" i="20"/>
  <c r="N426" i="20"/>
  <c r="M426" i="20"/>
  <c r="L426" i="20"/>
  <c r="K426" i="20"/>
  <c r="J426" i="20"/>
  <c r="I426" i="20"/>
  <c r="H426" i="20"/>
  <c r="G426" i="20"/>
  <c r="F426" i="20"/>
  <c r="E426" i="20"/>
  <c r="D426" i="20"/>
  <c r="C426" i="20"/>
  <c r="V406" i="20"/>
  <c r="U406" i="20"/>
  <c r="T406" i="20"/>
  <c r="S406" i="20"/>
  <c r="R406" i="20"/>
  <c r="Q406" i="20"/>
  <c r="P406" i="20"/>
  <c r="O406" i="20"/>
  <c r="N406" i="20"/>
  <c r="M406" i="20"/>
  <c r="L406" i="20"/>
  <c r="K406" i="20"/>
  <c r="J406" i="20"/>
  <c r="I406" i="20"/>
  <c r="H406" i="20"/>
  <c r="G406" i="20"/>
  <c r="F406" i="20"/>
  <c r="E406" i="20"/>
  <c r="D406" i="20"/>
  <c r="C406" i="20"/>
  <c r="V405" i="20"/>
  <c r="U405" i="20"/>
  <c r="T405" i="20"/>
  <c r="S405" i="20"/>
  <c r="R405" i="20"/>
  <c r="Q405" i="20"/>
  <c r="P405" i="20"/>
  <c r="O405" i="20"/>
  <c r="N405" i="20"/>
  <c r="M405" i="20"/>
  <c r="L405" i="20"/>
  <c r="K405" i="20"/>
  <c r="J405" i="20"/>
  <c r="I405" i="20"/>
  <c r="H405" i="20"/>
  <c r="G405" i="20"/>
  <c r="F405" i="20"/>
  <c r="E405" i="20"/>
  <c r="D405" i="20"/>
  <c r="C405" i="20"/>
  <c r="V309" i="20"/>
  <c r="U309" i="20"/>
  <c r="T309" i="20"/>
  <c r="S309" i="20"/>
  <c r="R309" i="20"/>
  <c r="Q309" i="20"/>
  <c r="P309" i="20"/>
  <c r="V308" i="20"/>
  <c r="U308" i="20"/>
  <c r="T308" i="20"/>
  <c r="S308" i="20"/>
  <c r="R308" i="20"/>
  <c r="Q308" i="20"/>
  <c r="O309" i="20"/>
  <c r="P308" i="20"/>
  <c r="O308" i="20"/>
  <c r="N309" i="20"/>
  <c r="M309" i="20"/>
  <c r="L309" i="20"/>
  <c r="K309" i="20"/>
  <c r="J309" i="20"/>
  <c r="I309" i="20"/>
  <c r="H309" i="20"/>
  <c r="G309" i="20"/>
  <c r="F309" i="20"/>
  <c r="E309" i="20"/>
  <c r="D309" i="20"/>
  <c r="C309" i="20"/>
  <c r="N308" i="20"/>
  <c r="M308" i="20"/>
  <c r="L308" i="20"/>
  <c r="K308" i="20"/>
  <c r="J308" i="20"/>
  <c r="I308" i="20"/>
  <c r="H308" i="20"/>
  <c r="G308" i="20"/>
  <c r="F308" i="20"/>
  <c r="E308" i="20"/>
  <c r="D308" i="20"/>
  <c r="C308" i="20"/>
  <c r="CE66" i="11"/>
  <c r="CF66" i="11"/>
  <c r="CG66" i="11"/>
  <c r="CH66" i="11"/>
  <c r="CI66" i="11"/>
  <c r="CD66" i="11"/>
  <c r="E32" i="19"/>
  <c r="F32" i="19"/>
  <c r="G32" i="19"/>
  <c r="H32" i="19"/>
  <c r="I32" i="19"/>
  <c r="J32" i="19"/>
  <c r="K32" i="19"/>
  <c r="L32" i="19"/>
  <c r="M32" i="19"/>
  <c r="N32" i="19"/>
  <c r="O32" i="19"/>
  <c r="P32" i="19"/>
  <c r="Q32" i="19"/>
  <c r="R32" i="19"/>
  <c r="S32" i="19"/>
  <c r="T32" i="19"/>
  <c r="U32" i="19"/>
  <c r="V32" i="19"/>
  <c r="W32" i="19"/>
  <c r="X32" i="19"/>
  <c r="Y32" i="19"/>
  <c r="Z32" i="19"/>
  <c r="AA32" i="19"/>
  <c r="AB32" i="19"/>
  <c r="AC32" i="19"/>
  <c r="AD32" i="19"/>
  <c r="AE32" i="19"/>
  <c r="AF32" i="19"/>
  <c r="AG32" i="19"/>
  <c r="AH32" i="19"/>
  <c r="F33" i="19"/>
  <c r="G33" i="19"/>
  <c r="I33" i="19"/>
  <c r="J33" i="19"/>
  <c r="L33" i="19"/>
  <c r="M33" i="19"/>
  <c r="O33" i="19"/>
  <c r="P33" i="19"/>
  <c r="H41" i="19"/>
  <c r="K41" i="19"/>
  <c r="N41" i="19"/>
  <c r="Q41" i="19"/>
  <c r="T41" i="19"/>
  <c r="W41" i="19"/>
  <c r="Z41" i="19"/>
  <c r="AC41" i="19"/>
  <c r="AF41" i="19"/>
  <c r="E57" i="19"/>
  <c r="F57" i="19"/>
  <c r="G57" i="19"/>
  <c r="H57" i="19"/>
  <c r="I57" i="19"/>
  <c r="J57" i="19"/>
  <c r="K57" i="19"/>
  <c r="L57" i="19"/>
  <c r="M57" i="19"/>
  <c r="N57" i="19"/>
  <c r="O57" i="19"/>
  <c r="P57" i="19"/>
  <c r="Q57" i="19"/>
  <c r="R57" i="19"/>
  <c r="S57" i="19"/>
  <c r="T57" i="19"/>
  <c r="U57" i="19"/>
  <c r="V57" i="19"/>
  <c r="W57" i="19"/>
  <c r="X57" i="19"/>
  <c r="Y57" i="19"/>
  <c r="Z57" i="19"/>
  <c r="AA57" i="19"/>
  <c r="AB57" i="19"/>
  <c r="AC57" i="19"/>
  <c r="AD57" i="19"/>
  <c r="AE57" i="19"/>
  <c r="AF57" i="19"/>
  <c r="AG57" i="19"/>
  <c r="AH57" i="19"/>
  <c r="E69" i="19"/>
  <c r="F69" i="19"/>
  <c r="G69" i="19"/>
  <c r="H69" i="19"/>
  <c r="I69" i="19"/>
  <c r="J69" i="19"/>
  <c r="K69" i="19"/>
  <c r="L69" i="19"/>
  <c r="M69" i="19"/>
  <c r="N69" i="19"/>
  <c r="O69" i="19"/>
  <c r="P69" i="19"/>
  <c r="Q69" i="19"/>
  <c r="R69" i="19"/>
  <c r="S69" i="19"/>
  <c r="T69" i="19"/>
  <c r="U69" i="19"/>
  <c r="V69" i="19"/>
  <c r="W69" i="19"/>
  <c r="X69" i="19"/>
  <c r="Y69" i="19"/>
  <c r="Z69" i="19"/>
  <c r="AA69" i="19"/>
  <c r="AB69" i="19"/>
  <c r="AC69" i="19"/>
  <c r="AD69" i="19"/>
  <c r="AE69" i="19"/>
  <c r="AF69" i="19"/>
  <c r="AG69" i="19"/>
  <c r="AH69" i="19"/>
  <c r="F78" i="19"/>
  <c r="G78" i="19"/>
  <c r="I78" i="19"/>
  <c r="J78" i="19"/>
  <c r="L78" i="19"/>
  <c r="M78" i="19"/>
  <c r="O78" i="19"/>
  <c r="P78" i="19"/>
  <c r="R78" i="19"/>
  <c r="S78" i="19"/>
  <c r="U78" i="19"/>
  <c r="V78" i="19"/>
  <c r="X78" i="19"/>
  <c r="Y78" i="19"/>
  <c r="AA78" i="19"/>
  <c r="AB78" i="19"/>
  <c r="AD78" i="19"/>
  <c r="AE78" i="19"/>
  <c r="AG78" i="19"/>
  <c r="AH78" i="19"/>
  <c r="E86" i="19"/>
  <c r="H86" i="19"/>
  <c r="K86" i="19"/>
  <c r="N86" i="19"/>
  <c r="Q86" i="19"/>
  <c r="T86" i="19"/>
  <c r="W86" i="19"/>
  <c r="Z86" i="19"/>
  <c r="AC86" i="19"/>
  <c r="AF86" i="19"/>
  <c r="AI41" i="19"/>
  <c r="AI57" i="19"/>
  <c r="AJ57" i="19"/>
  <c r="AK57" i="19"/>
  <c r="AI69" i="19"/>
  <c r="AJ69" i="19"/>
  <c r="AK69" i="19"/>
  <c r="AJ78" i="19"/>
  <c r="AK78" i="19"/>
  <c r="AI86" i="19"/>
  <c r="AM78" i="19"/>
  <c r="AN78" i="19"/>
  <c r="AL57" i="19"/>
  <c r="AM57" i="19"/>
  <c r="AN57" i="19"/>
  <c r="K200" i="11"/>
  <c r="K197" i="11"/>
  <c r="K187" i="11"/>
  <c r="K183" i="11"/>
  <c r="K186" i="11"/>
  <c r="K180" i="11"/>
  <c r="F25" i="11"/>
  <c r="K185" i="11"/>
  <c r="K181" i="11"/>
  <c r="CQ57" i="11"/>
  <c r="CP57" i="11"/>
  <c r="CO57" i="11"/>
  <c r="CN57" i="11"/>
  <c r="CM57" i="11"/>
  <c r="CQ63" i="11"/>
  <c r="CM63" i="11"/>
  <c r="CR65" i="11"/>
  <c r="CR73" i="11"/>
  <c r="CQ65" i="11"/>
  <c r="CP65" i="11"/>
  <c r="CO65" i="11"/>
  <c r="CO73" i="11"/>
  <c r="CN65" i="11"/>
  <c r="CN73" i="11"/>
  <c r="CM65" i="11"/>
  <c r="CM73" i="11"/>
  <c r="CO63" i="11"/>
  <c r="CR56" i="11"/>
  <c r="CQ56" i="11"/>
  <c r="CP56" i="11"/>
  <c r="CO56" i="11"/>
  <c r="CN56" i="11"/>
  <c r="CM56" i="11"/>
  <c r="CH24" i="11"/>
  <c r="CR58" i="11"/>
  <c r="CG24" i="11"/>
  <c r="CF24" i="11"/>
  <c r="CH23" i="11"/>
  <c r="CG23" i="11"/>
  <c r="CG22" i="11"/>
  <c r="CF22" i="11"/>
  <c r="CG21" i="11"/>
  <c r="CH21" i="11"/>
  <c r="CF21" i="11"/>
  <c r="CI31" i="11"/>
  <c r="CI36" i="11"/>
  <c r="CI32" i="11"/>
  <c r="CG31" i="11"/>
  <c r="CG36" i="11"/>
  <c r="CH31" i="11"/>
  <c r="CH36" i="11"/>
  <c r="CF31" i="11"/>
  <c r="CF36" i="11"/>
  <c r="CE31" i="11"/>
  <c r="CE36" i="11"/>
  <c r="CD31" i="11"/>
  <c r="CI30" i="11"/>
  <c r="CI35" i="11"/>
  <c r="CG30" i="11"/>
  <c r="CG35" i="11"/>
  <c r="CG32" i="11"/>
  <c r="CE30" i="11"/>
  <c r="CE35" i="11"/>
  <c r="CE32" i="11"/>
  <c r="CH30" i="11"/>
  <c r="CH35" i="11"/>
  <c r="CF30" i="11"/>
  <c r="CF35" i="11"/>
  <c r="CD30" i="11"/>
  <c r="CD35" i="11"/>
  <c r="CH28" i="11"/>
  <c r="CH33" i="11"/>
  <c r="CF28" i="11"/>
  <c r="CF33" i="11"/>
  <c r="CR57" i="11"/>
  <c r="CR52" i="11"/>
  <c r="CN11" i="11"/>
  <c r="CF82" i="11"/>
  <c r="CQ62" i="11"/>
  <c r="CF81" i="11"/>
  <c r="CO62" i="11"/>
  <c r="CF80" i="11"/>
  <c r="CM62" i="11"/>
  <c r="CF77" i="11"/>
  <c r="CF76" i="11"/>
  <c r="CF75" i="11"/>
  <c r="CM60" i="11"/>
  <c r="CL10" i="11"/>
  <c r="CQ74" i="11"/>
  <c r="CR74" i="11"/>
  <c r="CO74" i="11"/>
  <c r="CP74" i="11"/>
  <c r="CM74" i="11"/>
  <c r="CN74" i="11"/>
  <c r="CP73" i="11"/>
  <c r="CQ71" i="11"/>
  <c r="CO71" i="11"/>
  <c r="CM71" i="11"/>
  <c r="CQ69" i="11"/>
  <c r="CO69" i="11"/>
  <c r="CQ66" i="11"/>
  <c r="CR66" i="11"/>
  <c r="CO66" i="11"/>
  <c r="CP66" i="11"/>
  <c r="CM66" i="11"/>
  <c r="CN66" i="11"/>
  <c r="CQ60" i="11"/>
  <c r="CO60" i="11"/>
  <c r="CN10" i="11"/>
  <c r="CQ54" i="11"/>
  <c r="CQ67" i="11"/>
  <c r="CO54" i="11"/>
  <c r="CO70" i="11"/>
  <c r="CM54" i="11"/>
  <c r="CM67" i="11"/>
  <c r="CH54" i="11"/>
  <c r="CI54" i="11"/>
  <c r="CF54" i="11"/>
  <c r="CG54" i="11"/>
  <c r="CD54" i="11"/>
  <c r="CD56" i="11"/>
  <c r="CF23" i="11"/>
  <c r="CM51" i="11"/>
  <c r="CN51" i="11"/>
  <c r="CO51" i="11"/>
  <c r="AK29" i="11"/>
  <c r="AC32" i="11"/>
  <c r="AC31" i="11"/>
  <c r="I100" i="11"/>
  <c r="K114" i="11"/>
  <c r="K110" i="11"/>
  <c r="K122" i="11"/>
  <c r="K120" i="11"/>
  <c r="AC28" i="11"/>
  <c r="L86" i="11"/>
  <c r="Q148" i="11"/>
  <c r="CF55" i="11"/>
  <c r="CD34" i="11"/>
  <c r="CD32" i="11"/>
  <c r="CO61" i="11"/>
  <c r="CQ70" i="11"/>
  <c r="CQ75" i="11"/>
  <c r="CR54" i="11"/>
  <c r="CR70" i="11"/>
  <c r="CR75" i="11"/>
  <c r="CR72" i="11"/>
  <c r="CE54" i="11"/>
  <c r="CD55" i="11"/>
  <c r="CR76" i="11"/>
  <c r="CD36" i="11"/>
  <c r="CM70" i="11"/>
  <c r="CM75" i="11"/>
  <c r="CM72" i="11"/>
  <c r="CN54" i="11"/>
  <c r="CN67" i="11"/>
  <c r="CN64" i="11"/>
  <c r="CM53" i="11"/>
  <c r="CN53" i="11"/>
  <c r="CR55" i="11"/>
  <c r="CQ12" i="11"/>
  <c r="CQ61" i="11"/>
  <c r="CM61" i="11"/>
  <c r="CL11" i="11"/>
  <c r="CH34" i="11"/>
  <c r="CH32" i="11"/>
  <c r="CF34" i="11"/>
  <c r="CF32" i="11"/>
  <c r="CG55" i="11"/>
  <c r="CG56" i="11"/>
  <c r="CI55" i="11"/>
  <c r="CI56" i="11"/>
  <c r="CQ64" i="11"/>
  <c r="CO75" i="11"/>
  <c r="CO72" i="11"/>
  <c r="CO68" i="11"/>
  <c r="CO53" i="11"/>
  <c r="CP53" i="11"/>
  <c r="CP51" i="11"/>
  <c r="CQ51" i="11"/>
  <c r="CP54" i="11"/>
  <c r="CF56" i="11"/>
  <c r="CM64" i="11"/>
  <c r="CH56" i="11"/>
  <c r="CQ73" i="11"/>
  <c r="CH55" i="11"/>
  <c r="CO67" i="11"/>
  <c r="CO64" i="11"/>
  <c r="R213" i="11"/>
  <c r="K106" i="11"/>
  <c r="Q213" i="11"/>
  <c r="K104" i="11"/>
  <c r="P213" i="11"/>
  <c r="K102" i="11"/>
  <c r="P212" i="11"/>
  <c r="K101" i="11"/>
  <c r="P211" i="11"/>
  <c r="CR67" i="11"/>
  <c r="CR64" i="11"/>
  <c r="CR59" i="11"/>
  <c r="CQ13" i="11"/>
  <c r="CN70" i="11"/>
  <c r="CN75" i="11"/>
  <c r="CN72" i="11"/>
  <c r="CN59" i="11"/>
  <c r="CM13" i="11"/>
  <c r="CQ68" i="11"/>
  <c r="CQ72" i="11"/>
  <c r="CE55" i="11"/>
  <c r="CE56" i="11"/>
  <c r="CQ53" i="11"/>
  <c r="CR53" i="11"/>
  <c r="CR50" i="11"/>
  <c r="CQ15" i="11"/>
  <c r="CR51" i="11"/>
  <c r="CO59" i="11"/>
  <c r="CN13" i="11"/>
  <c r="CM59" i="11"/>
  <c r="CL13" i="11"/>
  <c r="CP67" i="11"/>
  <c r="CP64" i="11"/>
  <c r="CP70" i="11"/>
  <c r="CP75" i="11"/>
  <c r="CP72" i="11"/>
  <c r="K105" i="11"/>
  <c r="Q247" i="11"/>
  <c r="CR49" i="11"/>
  <c r="CR77" i="11"/>
  <c r="CQ59" i="11"/>
  <c r="CP13" i="11"/>
  <c r="CP59" i="11"/>
  <c r="CO13" i="11"/>
  <c r="R155" i="11"/>
  <c r="Q157" i="11"/>
  <c r="Q155" i="11"/>
  <c r="Q183" i="11"/>
  <c r="R142" i="11"/>
  <c r="R183" i="11"/>
  <c r="S142" i="11"/>
  <c r="S183" i="11"/>
  <c r="T142" i="11"/>
  <c r="T183" i="11"/>
  <c r="U142" i="11"/>
  <c r="U183" i="11"/>
  <c r="V142" i="11"/>
  <c r="P183" i="11"/>
  <c r="Q142" i="11"/>
  <c r="Q186" i="11"/>
  <c r="R186" i="11"/>
  <c r="S186" i="11"/>
  <c r="T186" i="11"/>
  <c r="U186" i="11"/>
  <c r="P186" i="11"/>
  <c r="Q144" i="11"/>
  <c r="Q143" i="11"/>
  <c r="K202" i="11"/>
  <c r="K119" i="11"/>
  <c r="K115" i="11"/>
  <c r="K111" i="11"/>
  <c r="K171" i="11"/>
  <c r="K170" i="11"/>
  <c r="K169" i="11"/>
  <c r="E17" i="4"/>
  <c r="E18" i="4"/>
  <c r="D18" i="4"/>
  <c r="F18" i="4"/>
  <c r="G18" i="4"/>
  <c r="H18" i="4"/>
  <c r="I18" i="4"/>
  <c r="D19" i="4"/>
  <c r="F19" i="4"/>
  <c r="G19" i="4"/>
  <c r="H19" i="4"/>
  <c r="I19" i="4"/>
  <c r="E19" i="4"/>
  <c r="E108" i="20"/>
  <c r="F108" i="20"/>
  <c r="G108" i="20"/>
  <c r="H108" i="20"/>
  <c r="I108" i="20"/>
  <c r="J108" i="20"/>
  <c r="K108" i="20"/>
  <c r="L108" i="20"/>
  <c r="M108" i="20"/>
  <c r="N108" i="20"/>
  <c r="O108" i="20"/>
  <c r="P108" i="20"/>
  <c r="Q108" i="20"/>
  <c r="R108" i="20"/>
  <c r="S108" i="20"/>
  <c r="T108" i="20"/>
  <c r="U108" i="20"/>
  <c r="V108" i="20"/>
  <c r="D108" i="20"/>
  <c r="C108" i="20"/>
  <c r="B108" i="20"/>
  <c r="D386" i="20"/>
  <c r="E386" i="20"/>
  <c r="F386" i="20"/>
  <c r="G386" i="20"/>
  <c r="H386" i="20"/>
  <c r="I386" i="20"/>
  <c r="J386" i="20"/>
  <c r="K386" i="20"/>
  <c r="L386" i="20"/>
  <c r="M386" i="20"/>
  <c r="N386" i="20"/>
  <c r="C386" i="20"/>
  <c r="H21" i="11"/>
  <c r="G21" i="11"/>
  <c r="F21" i="11"/>
  <c r="K182" i="11"/>
  <c r="K184" i="11"/>
  <c r="F28" i="11"/>
  <c r="F29" i="11"/>
  <c r="CP11" i="11"/>
  <c r="CL18" i="11"/>
  <c r="CN18" i="11"/>
  <c r="CO18" i="11"/>
  <c r="CP18" i="11"/>
  <c r="CQ18" i="11"/>
  <c r="CQ16" i="11"/>
  <c r="CQ14" i="11"/>
  <c r="CM52" i="11"/>
  <c r="CO52" i="11"/>
  <c r="CQ52" i="11"/>
  <c r="CN52" i="11"/>
  <c r="CP52" i="11"/>
  <c r="CO58" i="11"/>
  <c r="CQ58" i="11"/>
  <c r="CQ55" i="11"/>
  <c r="CP12" i="11"/>
  <c r="CN58" i="11"/>
  <c r="CN55" i="11"/>
  <c r="CM12" i="11"/>
  <c r="CP58" i="11"/>
  <c r="CP55" i="11"/>
  <c r="CO12" i="11"/>
  <c r="BE6" i="16"/>
  <c r="BA10" i="16"/>
  <c r="BI10" i="16"/>
  <c r="AX12" i="16"/>
  <c r="BL15" i="16"/>
  <c r="AZ14" i="16"/>
  <c r="BD14" i="16"/>
  <c r="BL14" i="16"/>
  <c r="AX15" i="16"/>
  <c r="BH15" i="16"/>
  <c r="P34" i="11"/>
  <c r="BT10" i="16"/>
  <c r="R251" i="11"/>
  <c r="Q251" i="11"/>
  <c r="R245" i="11"/>
  <c r="P239" i="11"/>
  <c r="P238" i="11"/>
  <c r="Q234" i="11"/>
  <c r="P234" i="11"/>
  <c r="AC9" i="11"/>
  <c r="Q227" i="11"/>
  <c r="R227" i="11"/>
  <c r="Q228" i="11"/>
  <c r="R228" i="11"/>
  <c r="Q229" i="11"/>
  <c r="R229" i="11"/>
  <c r="P228" i="11"/>
  <c r="P229" i="11"/>
  <c r="P227" i="11"/>
  <c r="Q225" i="11"/>
  <c r="P225" i="11"/>
  <c r="P223" i="11"/>
  <c r="P222" i="11"/>
  <c r="Q221" i="11"/>
  <c r="R221" i="11"/>
  <c r="K177" i="11"/>
  <c r="P221" i="11"/>
  <c r="K173" i="11"/>
  <c r="Q220" i="11"/>
  <c r="R220" i="11"/>
  <c r="P220" i="11"/>
  <c r="Q219" i="11"/>
  <c r="R219" i="11"/>
  <c r="P219" i="11"/>
  <c r="K157" i="11"/>
  <c r="P94" i="11"/>
  <c r="Q218" i="11"/>
  <c r="K153" i="11"/>
  <c r="R218" i="11"/>
  <c r="K155" i="11"/>
  <c r="P218" i="11"/>
  <c r="R217" i="11"/>
  <c r="Q217" i="11"/>
  <c r="Q215" i="11"/>
  <c r="R215" i="11"/>
  <c r="P215" i="11"/>
  <c r="K103" i="11"/>
  <c r="P207" i="11"/>
  <c r="P206" i="11"/>
  <c r="P205" i="11"/>
  <c r="Q159" i="11"/>
  <c r="R192" i="11"/>
  <c r="S192" i="11"/>
  <c r="Q192" i="11"/>
  <c r="R190" i="11"/>
  <c r="S190" i="11"/>
  <c r="U139" i="11"/>
  <c r="Q190" i="11"/>
  <c r="R188" i="11"/>
  <c r="T152" i="11"/>
  <c r="S188" i="11"/>
  <c r="V152" i="11"/>
  <c r="Q188" i="11"/>
  <c r="R152" i="11"/>
  <c r="R151" i="11"/>
  <c r="R154" i="11"/>
  <c r="S131" i="11"/>
  <c r="S141" i="11"/>
  <c r="S140" i="11"/>
  <c r="T131" i="11"/>
  <c r="T141" i="11"/>
  <c r="T140" i="11"/>
  <c r="U131" i="11"/>
  <c r="U141" i="11"/>
  <c r="U140" i="11"/>
  <c r="Q131" i="11"/>
  <c r="Q141" i="11"/>
  <c r="Q140" i="11"/>
  <c r="Q176" i="11"/>
  <c r="R176" i="11"/>
  <c r="S176" i="11"/>
  <c r="T176" i="11"/>
  <c r="U176" i="11"/>
  <c r="Q177" i="11"/>
  <c r="R177" i="11"/>
  <c r="S177" i="11"/>
  <c r="T177" i="11"/>
  <c r="U177" i="11"/>
  <c r="Q178" i="11"/>
  <c r="R178" i="11"/>
  <c r="S178" i="11"/>
  <c r="T178" i="11"/>
  <c r="U178" i="11"/>
  <c r="P177" i="11"/>
  <c r="Q126" i="11"/>
  <c r="S126" i="11"/>
  <c r="S128" i="11"/>
  <c r="S129" i="11"/>
  <c r="P178" i="11"/>
  <c r="U128" i="11"/>
  <c r="U129" i="11"/>
  <c r="P176" i="11"/>
  <c r="P168" i="11"/>
  <c r="Q168" i="11"/>
  <c r="R168" i="11"/>
  <c r="S168" i="11"/>
  <c r="T168" i="11"/>
  <c r="U168" i="11"/>
  <c r="P169" i="11"/>
  <c r="Q169" i="11"/>
  <c r="R169" i="11"/>
  <c r="S169" i="11"/>
  <c r="T169" i="11"/>
  <c r="U169" i="11"/>
  <c r="Q167" i="11"/>
  <c r="R167" i="11"/>
  <c r="S167" i="11"/>
  <c r="T167" i="11"/>
  <c r="U167" i="11"/>
  <c r="P167" i="11"/>
  <c r="V385" i="20"/>
  <c r="U385" i="20"/>
  <c r="T385" i="20"/>
  <c r="S385" i="20"/>
  <c r="R385" i="20"/>
  <c r="Q385" i="20"/>
  <c r="P385" i="20"/>
  <c r="O385" i="20"/>
  <c r="O363" i="20"/>
  <c r="P363" i="20"/>
  <c r="Q363" i="20"/>
  <c r="R363" i="20"/>
  <c r="S363" i="20"/>
  <c r="T363" i="20"/>
  <c r="U363" i="20"/>
  <c r="V362" i="20"/>
  <c r="V384" i="20"/>
  <c r="U362" i="20"/>
  <c r="U384" i="20"/>
  <c r="T362" i="20"/>
  <c r="T384" i="20"/>
  <c r="S362" i="20"/>
  <c r="S384" i="20"/>
  <c r="R362" i="20"/>
  <c r="R384" i="20"/>
  <c r="Q362" i="20"/>
  <c r="Q384" i="20"/>
  <c r="P362" i="20"/>
  <c r="P384" i="20"/>
  <c r="O362" i="20"/>
  <c r="O384" i="20"/>
  <c r="V363" i="20"/>
  <c r="V338" i="20"/>
  <c r="V333" i="20"/>
  <c r="U338" i="20"/>
  <c r="U333" i="20"/>
  <c r="T338" i="20"/>
  <c r="T333" i="20"/>
  <c r="S338" i="20"/>
  <c r="S333" i="20"/>
  <c r="R338" i="20"/>
  <c r="R333" i="20"/>
  <c r="Q338" i="20"/>
  <c r="P338" i="20"/>
  <c r="P333" i="20"/>
  <c r="O338" i="20"/>
  <c r="V337" i="20"/>
  <c r="V336" i="20"/>
  <c r="V335" i="20"/>
  <c r="U337" i="20"/>
  <c r="U336" i="20"/>
  <c r="U335" i="20"/>
  <c r="U45" i="20"/>
  <c r="U46" i="20"/>
  <c r="T337" i="20"/>
  <c r="T336" i="20"/>
  <c r="T335" i="20"/>
  <c r="T45" i="20"/>
  <c r="T46" i="20"/>
  <c r="S337" i="20"/>
  <c r="S336" i="20"/>
  <c r="S335" i="20"/>
  <c r="S256" i="20"/>
  <c r="R337" i="20"/>
  <c r="R336" i="20"/>
  <c r="R335" i="20"/>
  <c r="R45" i="20"/>
  <c r="R46" i="20"/>
  <c r="Q337" i="20"/>
  <c r="Q336" i="20"/>
  <c r="Q335" i="20"/>
  <c r="P337" i="20"/>
  <c r="P336" i="20"/>
  <c r="P335" i="20"/>
  <c r="P45" i="20"/>
  <c r="P46" i="20"/>
  <c r="O337" i="20"/>
  <c r="O336" i="20"/>
  <c r="O335" i="20"/>
  <c r="N335" i="20"/>
  <c r="V386" i="20"/>
  <c r="U386" i="20"/>
  <c r="T386" i="20"/>
  <c r="S386" i="20"/>
  <c r="R386" i="20"/>
  <c r="Q333" i="20"/>
  <c r="Q386" i="20"/>
  <c r="V283" i="20"/>
  <c r="U283" i="20"/>
  <c r="T283" i="20"/>
  <c r="S283" i="20"/>
  <c r="R283" i="20"/>
  <c r="Q283" i="20"/>
  <c r="P386" i="20"/>
  <c r="P283" i="20"/>
  <c r="O333" i="20"/>
  <c r="O386" i="20"/>
  <c r="O283" i="20"/>
  <c r="V284" i="20"/>
  <c r="U284" i="20"/>
  <c r="T284" i="20"/>
  <c r="S284" i="20"/>
  <c r="R284" i="20"/>
  <c r="Q284" i="20"/>
  <c r="P284" i="20"/>
  <c r="O284" i="20"/>
  <c r="V261" i="20"/>
  <c r="V258" i="20"/>
  <c r="V256" i="20"/>
  <c r="U261" i="20"/>
  <c r="U262" i="20"/>
  <c r="U258" i="20"/>
  <c r="U256" i="20"/>
  <c r="T261" i="20"/>
  <c r="T258" i="20"/>
  <c r="T259" i="20"/>
  <c r="T256" i="20"/>
  <c r="S261" i="20"/>
  <c r="S258" i="20"/>
  <c r="S231" i="20"/>
  <c r="R261" i="20"/>
  <c r="R258" i="20"/>
  <c r="R256" i="20"/>
  <c r="Q261" i="20"/>
  <c r="Q258" i="20"/>
  <c r="Q256" i="20"/>
  <c r="P261" i="20"/>
  <c r="P258" i="20"/>
  <c r="P256" i="20"/>
  <c r="O261" i="20"/>
  <c r="O258" i="20"/>
  <c r="O256" i="20"/>
  <c r="N256" i="20"/>
  <c r="V235" i="20"/>
  <c r="V233" i="20"/>
  <c r="V231" i="20"/>
  <c r="U235" i="20"/>
  <c r="U233" i="20"/>
  <c r="U231" i="20"/>
  <c r="T235" i="20"/>
  <c r="T233" i="20"/>
  <c r="T231" i="20"/>
  <c r="S235" i="20"/>
  <c r="S233" i="20"/>
  <c r="R235" i="20"/>
  <c r="R233" i="20"/>
  <c r="R231" i="20"/>
  <c r="Q235" i="20"/>
  <c r="Q233" i="20"/>
  <c r="Q231" i="20"/>
  <c r="P235" i="20"/>
  <c r="P233" i="20"/>
  <c r="P231" i="20"/>
  <c r="O235" i="20"/>
  <c r="O233" i="20"/>
  <c r="O231" i="20"/>
  <c r="S206" i="20"/>
  <c r="N231" i="20"/>
  <c r="V210" i="20"/>
  <c r="V208" i="20"/>
  <c r="V206" i="20"/>
  <c r="U210" i="20"/>
  <c r="U208" i="20"/>
  <c r="U206" i="20"/>
  <c r="T210" i="20"/>
  <c r="T208" i="20"/>
  <c r="T206" i="20"/>
  <c r="S210" i="20"/>
  <c r="S208" i="20"/>
  <c r="R210" i="20"/>
  <c r="R208" i="20"/>
  <c r="R206" i="20"/>
  <c r="Q210" i="20"/>
  <c r="Q208" i="20"/>
  <c r="Q206" i="20"/>
  <c r="P210" i="20"/>
  <c r="P208" i="20"/>
  <c r="P206" i="20"/>
  <c r="O210" i="20"/>
  <c r="O208" i="20"/>
  <c r="O206" i="20"/>
  <c r="S181" i="20"/>
  <c r="N206" i="20"/>
  <c r="V185" i="20"/>
  <c r="V183" i="20"/>
  <c r="V181" i="20"/>
  <c r="U185" i="20"/>
  <c r="U183" i="20"/>
  <c r="U181" i="20"/>
  <c r="T185" i="20"/>
  <c r="T183" i="20"/>
  <c r="T181" i="20"/>
  <c r="S185" i="20"/>
  <c r="S183" i="20"/>
  <c r="S156" i="20"/>
  <c r="R185" i="20"/>
  <c r="R183" i="20"/>
  <c r="R181" i="20"/>
  <c r="Q185" i="20"/>
  <c r="Q183" i="20"/>
  <c r="Q181" i="20"/>
  <c r="P185" i="20"/>
  <c r="P183" i="20"/>
  <c r="P181" i="20"/>
  <c r="O185" i="20"/>
  <c r="O183" i="20"/>
  <c r="O181" i="20"/>
  <c r="N181" i="20"/>
  <c r="V160" i="20"/>
  <c r="V158" i="20"/>
  <c r="V156" i="20"/>
  <c r="U160" i="20"/>
  <c r="U158" i="20"/>
  <c r="U156" i="20"/>
  <c r="T160" i="20"/>
  <c r="T158" i="20"/>
  <c r="T156" i="20"/>
  <c r="S160" i="20"/>
  <c r="S158" i="20"/>
  <c r="S132" i="20"/>
  <c r="R160" i="20"/>
  <c r="R158" i="20"/>
  <c r="R156" i="20"/>
  <c r="Q160" i="20"/>
  <c r="Q158" i="20"/>
  <c r="Q156" i="20"/>
  <c r="P160" i="20"/>
  <c r="P158" i="20"/>
  <c r="P156" i="20"/>
  <c r="O160" i="20"/>
  <c r="O158" i="20"/>
  <c r="O156" i="20"/>
  <c r="O132" i="20"/>
  <c r="V136" i="20"/>
  <c r="V134" i="20"/>
  <c r="V132" i="20"/>
  <c r="U136" i="20"/>
  <c r="U134" i="20"/>
  <c r="U132" i="20"/>
  <c r="T136" i="20"/>
  <c r="T134" i="20"/>
  <c r="T132" i="20"/>
  <c r="S136" i="20"/>
  <c r="S134" i="20"/>
  <c r="R136" i="20"/>
  <c r="R134" i="20"/>
  <c r="R132" i="20"/>
  <c r="Q136" i="20"/>
  <c r="Q134" i="20"/>
  <c r="Q132" i="20"/>
  <c r="P136" i="20"/>
  <c r="P134" i="20"/>
  <c r="P132" i="20"/>
  <c r="O136" i="20"/>
  <c r="O134" i="20"/>
  <c r="Q49" i="20"/>
  <c r="Q211" i="20"/>
  <c r="U49" i="20"/>
  <c r="U312" i="20"/>
  <c r="Q48" i="20"/>
  <c r="U48" i="20"/>
  <c r="U135" i="20"/>
  <c r="V109" i="20"/>
  <c r="V364" i="20"/>
  <c r="U109" i="20"/>
  <c r="U364" i="20"/>
  <c r="T109" i="20"/>
  <c r="T364" i="20"/>
  <c r="S109" i="20"/>
  <c r="S364" i="20"/>
  <c r="R109" i="20"/>
  <c r="R364" i="20"/>
  <c r="Q109" i="20"/>
  <c r="Q364" i="20"/>
  <c r="P109" i="20"/>
  <c r="P364" i="20"/>
  <c r="O109" i="20"/>
  <c r="O364" i="20"/>
  <c r="T47" i="20"/>
  <c r="T110" i="20"/>
  <c r="T48" i="20"/>
  <c r="T85" i="20"/>
  <c r="T49" i="20"/>
  <c r="T112" i="20"/>
  <c r="V49" i="20"/>
  <c r="V312" i="20"/>
  <c r="V48" i="20"/>
  <c r="V209" i="20"/>
  <c r="V47" i="20"/>
  <c r="U47" i="20"/>
  <c r="S49" i="20"/>
  <c r="S137" i="20"/>
  <c r="S47" i="20"/>
  <c r="S157" i="20"/>
  <c r="S257" i="20"/>
  <c r="S48" i="20"/>
  <c r="S311" i="20"/>
  <c r="R47" i="20"/>
  <c r="R339" i="20"/>
  <c r="R48" i="20"/>
  <c r="R85" i="20"/>
  <c r="R49" i="20"/>
  <c r="R112" i="20"/>
  <c r="Q47" i="20"/>
  <c r="Q110" i="20"/>
  <c r="P49" i="20"/>
  <c r="P137" i="20"/>
  <c r="P48" i="20"/>
  <c r="P209" i="20"/>
  <c r="P47" i="20"/>
  <c r="P310" i="20"/>
  <c r="O47" i="20"/>
  <c r="O110" i="20"/>
  <c r="V46" i="20"/>
  <c r="V43" i="20"/>
  <c r="V40" i="20"/>
  <c r="V45" i="20"/>
  <c r="V42" i="20"/>
  <c r="V39" i="20"/>
  <c r="V44" i="20"/>
  <c r="V41" i="20"/>
  <c r="V38" i="20"/>
  <c r="U43" i="20"/>
  <c r="U40" i="20"/>
  <c r="U42" i="20"/>
  <c r="U39" i="20"/>
  <c r="U44" i="20"/>
  <c r="U41" i="20"/>
  <c r="U38" i="20"/>
  <c r="T43" i="20"/>
  <c r="T40" i="20"/>
  <c r="T42" i="20"/>
  <c r="T39" i="20"/>
  <c r="T44" i="20"/>
  <c r="T41" i="20"/>
  <c r="T38" i="20"/>
  <c r="S46" i="20"/>
  <c r="S45" i="20"/>
  <c r="S44" i="20"/>
  <c r="S43" i="20"/>
  <c r="S42" i="20"/>
  <c r="S41" i="20"/>
  <c r="S40" i="20"/>
  <c r="S39" i="20"/>
  <c r="R44" i="20"/>
  <c r="R43" i="20"/>
  <c r="R42" i="20"/>
  <c r="R41" i="20"/>
  <c r="R40" i="20"/>
  <c r="R39" i="20"/>
  <c r="R38" i="20"/>
  <c r="Q46" i="20"/>
  <c r="Q45" i="20"/>
  <c r="Q44" i="20"/>
  <c r="Q38" i="20"/>
  <c r="Q43" i="20"/>
  <c r="Q42" i="20"/>
  <c r="Q41" i="20"/>
  <c r="Q40" i="20"/>
  <c r="Q39" i="20"/>
  <c r="P44" i="20"/>
  <c r="P43" i="20"/>
  <c r="P42" i="20"/>
  <c r="P41" i="20"/>
  <c r="P38" i="20"/>
  <c r="P40" i="20"/>
  <c r="P39" i="20"/>
  <c r="S38" i="20"/>
  <c r="O49" i="20"/>
  <c r="O112" i="20"/>
  <c r="O48" i="20"/>
  <c r="O111" i="20"/>
  <c r="O46" i="20"/>
  <c r="O43" i="20"/>
  <c r="O45" i="20"/>
  <c r="O42" i="20"/>
  <c r="O44" i="20"/>
  <c r="O39" i="20"/>
  <c r="O41" i="20"/>
  <c r="O40" i="20"/>
  <c r="O38" i="20"/>
  <c r="V11" i="20"/>
  <c r="V10" i="20"/>
  <c r="V9" i="20"/>
  <c r="V8" i="20"/>
  <c r="V7" i="20"/>
  <c r="U11" i="20"/>
  <c r="U10" i="20"/>
  <c r="U9" i="20"/>
  <c r="U8" i="20"/>
  <c r="U7" i="20"/>
  <c r="T8" i="20"/>
  <c r="T9" i="20"/>
  <c r="T10" i="20"/>
  <c r="T11" i="20"/>
  <c r="T7" i="20"/>
  <c r="S11" i="20"/>
  <c r="S10" i="20"/>
  <c r="S9" i="20"/>
  <c r="S8" i="20"/>
  <c r="S7" i="20"/>
  <c r="R11" i="20"/>
  <c r="R10" i="20"/>
  <c r="R9" i="20"/>
  <c r="R8" i="20"/>
  <c r="R7" i="20"/>
  <c r="Q11" i="20"/>
  <c r="Q10" i="20"/>
  <c r="Q9" i="20"/>
  <c r="Q8" i="20"/>
  <c r="Q7" i="20"/>
  <c r="P11" i="20"/>
  <c r="P10" i="20"/>
  <c r="P9" i="20"/>
  <c r="P8" i="20"/>
  <c r="P7" i="20"/>
  <c r="O11" i="20"/>
  <c r="O10" i="20"/>
  <c r="O9" i="20"/>
  <c r="O8" i="20"/>
  <c r="O7" i="20"/>
  <c r="G30" i="11"/>
  <c r="H30" i="11"/>
  <c r="F30" i="11"/>
  <c r="R47" i="11"/>
  <c r="R51" i="11"/>
  <c r="AL69" i="19"/>
  <c r="AM69" i="19"/>
  <c r="AN69" i="19"/>
  <c r="N385" i="20"/>
  <c r="M385" i="20"/>
  <c r="L385" i="20"/>
  <c r="K385" i="20"/>
  <c r="J385" i="20"/>
  <c r="I385" i="20"/>
  <c r="H385" i="20"/>
  <c r="G385" i="20"/>
  <c r="F385" i="20"/>
  <c r="E385" i="20"/>
  <c r="D385" i="20"/>
  <c r="C385" i="20"/>
  <c r="N363" i="20"/>
  <c r="M363" i="20"/>
  <c r="L363" i="20"/>
  <c r="K363" i="20"/>
  <c r="J363" i="20"/>
  <c r="I363" i="20"/>
  <c r="H363" i="20"/>
  <c r="G363" i="20"/>
  <c r="F363" i="20"/>
  <c r="E363" i="20"/>
  <c r="D363" i="20"/>
  <c r="C363" i="20"/>
  <c r="N338" i="20"/>
  <c r="M338" i="20"/>
  <c r="L338" i="20"/>
  <c r="K338" i="20"/>
  <c r="J338" i="20"/>
  <c r="I338" i="20"/>
  <c r="H338" i="20"/>
  <c r="G338" i="20"/>
  <c r="F338" i="20"/>
  <c r="E338" i="20"/>
  <c r="D338" i="20"/>
  <c r="C338" i="20"/>
  <c r="N337" i="20"/>
  <c r="M337" i="20"/>
  <c r="L337" i="20"/>
  <c r="K337" i="20"/>
  <c r="J337" i="20"/>
  <c r="I337" i="20"/>
  <c r="H337" i="20"/>
  <c r="G337" i="20"/>
  <c r="F337" i="20"/>
  <c r="E337" i="20"/>
  <c r="D337" i="20"/>
  <c r="C337" i="20"/>
  <c r="N336" i="20"/>
  <c r="M336" i="20"/>
  <c r="L336" i="20"/>
  <c r="K336" i="20"/>
  <c r="J336" i="20"/>
  <c r="I336" i="20"/>
  <c r="H336" i="20"/>
  <c r="G336" i="20"/>
  <c r="F336" i="20"/>
  <c r="E336" i="20"/>
  <c r="D336" i="20"/>
  <c r="C336" i="20"/>
  <c r="M335" i="20"/>
  <c r="L335" i="20"/>
  <c r="K335" i="20"/>
  <c r="J335" i="20"/>
  <c r="I335" i="20"/>
  <c r="H335" i="20"/>
  <c r="G335" i="20"/>
  <c r="F335" i="20"/>
  <c r="E335" i="20"/>
  <c r="D335" i="20"/>
  <c r="C335" i="20"/>
  <c r="N333" i="20"/>
  <c r="M333" i="20"/>
  <c r="L333" i="20"/>
  <c r="K333" i="20"/>
  <c r="J333" i="20"/>
  <c r="I333" i="20"/>
  <c r="H333" i="20"/>
  <c r="G333" i="20"/>
  <c r="F333" i="20"/>
  <c r="E333" i="20"/>
  <c r="D333" i="20"/>
  <c r="C333" i="20"/>
  <c r="N362" i="20"/>
  <c r="N384" i="20"/>
  <c r="M362" i="20"/>
  <c r="M384" i="20"/>
  <c r="L362" i="20"/>
  <c r="L384" i="20"/>
  <c r="K362" i="20"/>
  <c r="K384" i="20"/>
  <c r="J362" i="20"/>
  <c r="J384" i="20"/>
  <c r="I362" i="20"/>
  <c r="I384" i="20"/>
  <c r="H362" i="20"/>
  <c r="H384" i="20"/>
  <c r="G362" i="20"/>
  <c r="G384" i="20"/>
  <c r="F362" i="20"/>
  <c r="F384" i="20"/>
  <c r="E362" i="20"/>
  <c r="E384" i="20"/>
  <c r="D362" i="20"/>
  <c r="D384" i="20"/>
  <c r="C362" i="20"/>
  <c r="C384" i="20"/>
  <c r="N284" i="20"/>
  <c r="M284" i="20"/>
  <c r="L284" i="20"/>
  <c r="K284" i="20"/>
  <c r="J284" i="20"/>
  <c r="I284" i="20"/>
  <c r="H284" i="20"/>
  <c r="G284" i="20"/>
  <c r="F284" i="20"/>
  <c r="E284" i="20"/>
  <c r="D284" i="20"/>
  <c r="C284" i="20"/>
  <c r="N283" i="20"/>
  <c r="M283" i="20"/>
  <c r="L283" i="20"/>
  <c r="K283" i="20"/>
  <c r="J283" i="20"/>
  <c r="I283" i="20"/>
  <c r="H283" i="20"/>
  <c r="G283" i="20"/>
  <c r="F283" i="20"/>
  <c r="E283" i="20"/>
  <c r="D283" i="20"/>
  <c r="C283" i="20"/>
  <c r="N261" i="20"/>
  <c r="M261" i="20"/>
  <c r="L261" i="20"/>
  <c r="K261" i="20"/>
  <c r="K46" i="20"/>
  <c r="J261" i="20"/>
  <c r="I261" i="20"/>
  <c r="H261" i="20"/>
  <c r="G261" i="20"/>
  <c r="F261" i="20"/>
  <c r="E261" i="20"/>
  <c r="D261" i="20"/>
  <c r="C261" i="20"/>
  <c r="C46" i="20"/>
  <c r="N258" i="20"/>
  <c r="M258" i="20"/>
  <c r="L258" i="20"/>
  <c r="K258" i="20"/>
  <c r="J258" i="20"/>
  <c r="I258" i="20"/>
  <c r="H258" i="20"/>
  <c r="G258" i="20"/>
  <c r="F258" i="20"/>
  <c r="E258" i="20"/>
  <c r="D258" i="20"/>
  <c r="C258" i="20"/>
  <c r="M256" i="20"/>
  <c r="L256" i="20"/>
  <c r="K256" i="20"/>
  <c r="J256" i="20"/>
  <c r="I256" i="20"/>
  <c r="H256" i="20"/>
  <c r="G256" i="20"/>
  <c r="F256" i="20"/>
  <c r="E256" i="20"/>
  <c r="D256" i="20"/>
  <c r="C256" i="20"/>
  <c r="N235" i="20"/>
  <c r="M235" i="20"/>
  <c r="L235" i="20"/>
  <c r="K235" i="20"/>
  <c r="J235" i="20"/>
  <c r="I235" i="20"/>
  <c r="H235" i="20"/>
  <c r="G235" i="20"/>
  <c r="F235" i="20"/>
  <c r="E235" i="20"/>
  <c r="D235" i="20"/>
  <c r="C235" i="20"/>
  <c r="N233" i="20"/>
  <c r="M233" i="20"/>
  <c r="L233" i="20"/>
  <c r="K233" i="20"/>
  <c r="J233" i="20"/>
  <c r="I233" i="20"/>
  <c r="H233" i="20"/>
  <c r="G233" i="20"/>
  <c r="F233" i="20"/>
  <c r="E233" i="20"/>
  <c r="D233" i="20"/>
  <c r="C233" i="20"/>
  <c r="M231" i="20"/>
  <c r="L231" i="20"/>
  <c r="K231" i="20"/>
  <c r="J231" i="20"/>
  <c r="I231" i="20"/>
  <c r="H231" i="20"/>
  <c r="G231" i="20"/>
  <c r="F231" i="20"/>
  <c r="E231" i="20"/>
  <c r="D231" i="20"/>
  <c r="C231" i="20"/>
  <c r="N210" i="20"/>
  <c r="M210" i="20"/>
  <c r="L210" i="20"/>
  <c r="K210" i="20"/>
  <c r="J210" i="20"/>
  <c r="I210" i="20"/>
  <c r="H210" i="20"/>
  <c r="G210" i="20"/>
  <c r="F210" i="20"/>
  <c r="E210" i="20"/>
  <c r="D210" i="20"/>
  <c r="C210" i="20"/>
  <c r="N208" i="20"/>
  <c r="M208" i="20"/>
  <c r="L208" i="20"/>
  <c r="K208" i="20"/>
  <c r="J208" i="20"/>
  <c r="I208" i="20"/>
  <c r="H208" i="20"/>
  <c r="G208" i="20"/>
  <c r="F208" i="20"/>
  <c r="E208" i="20"/>
  <c r="D208" i="20"/>
  <c r="C208" i="20"/>
  <c r="M206" i="20"/>
  <c r="L206" i="20"/>
  <c r="K206" i="20"/>
  <c r="J206" i="20"/>
  <c r="I206" i="20"/>
  <c r="H206" i="20"/>
  <c r="G206" i="20"/>
  <c r="F206" i="20"/>
  <c r="E206" i="20"/>
  <c r="D206" i="20"/>
  <c r="C206" i="20"/>
  <c r="N185" i="20"/>
  <c r="M185" i="20"/>
  <c r="L185" i="20"/>
  <c r="K185" i="20"/>
  <c r="J185" i="20"/>
  <c r="I185" i="20"/>
  <c r="H185" i="20"/>
  <c r="G185" i="20"/>
  <c r="F185" i="20"/>
  <c r="E185" i="20"/>
  <c r="D185" i="20"/>
  <c r="C185" i="20"/>
  <c r="N183" i="20"/>
  <c r="M183" i="20"/>
  <c r="L183" i="20"/>
  <c r="K183" i="20"/>
  <c r="J183" i="20"/>
  <c r="I183" i="20"/>
  <c r="H183" i="20"/>
  <c r="G183" i="20"/>
  <c r="F183" i="20"/>
  <c r="E183" i="20"/>
  <c r="D183" i="20"/>
  <c r="C183" i="20"/>
  <c r="M181" i="20"/>
  <c r="L181" i="20"/>
  <c r="K181" i="20"/>
  <c r="J181" i="20"/>
  <c r="I181" i="20"/>
  <c r="H181" i="20"/>
  <c r="G181" i="20"/>
  <c r="F181" i="20"/>
  <c r="E181" i="20"/>
  <c r="D181" i="20"/>
  <c r="C181" i="20"/>
  <c r="N160" i="20"/>
  <c r="M160" i="20"/>
  <c r="L160" i="20"/>
  <c r="K160" i="20"/>
  <c r="J160" i="20"/>
  <c r="I160" i="20"/>
  <c r="H160" i="20"/>
  <c r="G160" i="20"/>
  <c r="F160" i="20"/>
  <c r="E160" i="20"/>
  <c r="D160" i="20"/>
  <c r="C160" i="20"/>
  <c r="N158" i="20"/>
  <c r="M158" i="20"/>
  <c r="L158" i="20"/>
  <c r="K158" i="20"/>
  <c r="J158" i="20"/>
  <c r="I158" i="20"/>
  <c r="H158" i="20"/>
  <c r="G158" i="20"/>
  <c r="F158" i="20"/>
  <c r="E158" i="20"/>
  <c r="D158" i="20"/>
  <c r="C158" i="20"/>
  <c r="N156" i="20"/>
  <c r="M156" i="20"/>
  <c r="L156" i="20"/>
  <c r="K156" i="20"/>
  <c r="J156" i="20"/>
  <c r="I156" i="20"/>
  <c r="H156" i="20"/>
  <c r="G156" i="20"/>
  <c r="F156" i="20"/>
  <c r="E156" i="20"/>
  <c r="D156" i="20"/>
  <c r="C156" i="20"/>
  <c r="N11" i="20"/>
  <c r="M11" i="20"/>
  <c r="L11" i="20"/>
  <c r="K11" i="20"/>
  <c r="J11" i="20"/>
  <c r="I11" i="20"/>
  <c r="H11" i="20"/>
  <c r="G11" i="20"/>
  <c r="F11" i="20"/>
  <c r="E11" i="20"/>
  <c r="D11" i="20"/>
  <c r="N10" i="20"/>
  <c r="M10" i="20"/>
  <c r="L10" i="20"/>
  <c r="K10" i="20"/>
  <c r="J10" i="20"/>
  <c r="I10" i="20"/>
  <c r="H10" i="20"/>
  <c r="G10" i="20"/>
  <c r="F10" i="20"/>
  <c r="E10" i="20"/>
  <c r="D10" i="20"/>
  <c r="N9" i="20"/>
  <c r="M9" i="20"/>
  <c r="L9" i="20"/>
  <c r="K9" i="20"/>
  <c r="J9" i="20"/>
  <c r="I9" i="20"/>
  <c r="H9" i="20"/>
  <c r="G9" i="20"/>
  <c r="F9" i="20"/>
  <c r="E9" i="20"/>
  <c r="D9" i="20"/>
  <c r="N8" i="20"/>
  <c r="M8" i="20"/>
  <c r="L8" i="20"/>
  <c r="K8" i="20"/>
  <c r="J8" i="20"/>
  <c r="I8" i="20"/>
  <c r="H8" i="20"/>
  <c r="G8" i="20"/>
  <c r="F8" i="20"/>
  <c r="E8" i="20"/>
  <c r="D8" i="20"/>
  <c r="N7" i="20"/>
  <c r="M7" i="20"/>
  <c r="L7" i="20"/>
  <c r="K7" i="20"/>
  <c r="J7" i="20"/>
  <c r="I7" i="20"/>
  <c r="H7" i="20"/>
  <c r="G7" i="20"/>
  <c r="F7" i="20"/>
  <c r="E7" i="20"/>
  <c r="D7" i="20"/>
  <c r="N136" i="20"/>
  <c r="M136" i="20"/>
  <c r="L136" i="20"/>
  <c r="K136" i="20"/>
  <c r="J136" i="20"/>
  <c r="I136" i="20"/>
  <c r="H136" i="20"/>
  <c r="G136" i="20"/>
  <c r="F136" i="20"/>
  <c r="E136" i="20"/>
  <c r="D136" i="20"/>
  <c r="C136" i="20"/>
  <c r="N134" i="20"/>
  <c r="M134" i="20"/>
  <c r="L134" i="20"/>
  <c r="K134" i="20"/>
  <c r="J134" i="20"/>
  <c r="I134" i="20"/>
  <c r="H134" i="20"/>
  <c r="G134" i="20"/>
  <c r="F134" i="20"/>
  <c r="E134" i="20"/>
  <c r="D134" i="20"/>
  <c r="C134" i="20"/>
  <c r="N132" i="20"/>
  <c r="M132" i="20"/>
  <c r="L132" i="20"/>
  <c r="K132" i="20"/>
  <c r="J132" i="20"/>
  <c r="I132" i="20"/>
  <c r="H132" i="20"/>
  <c r="G132" i="20"/>
  <c r="F132" i="20"/>
  <c r="E132" i="20"/>
  <c r="D132" i="20"/>
  <c r="C132" i="20"/>
  <c r="N109" i="20"/>
  <c r="N364" i="20"/>
  <c r="M109" i="20"/>
  <c r="M364" i="20"/>
  <c r="L109" i="20"/>
  <c r="L364" i="20"/>
  <c r="K109" i="20"/>
  <c r="K364" i="20"/>
  <c r="J109" i="20"/>
  <c r="J364" i="20"/>
  <c r="I109" i="20"/>
  <c r="I364" i="20"/>
  <c r="H109" i="20"/>
  <c r="H364" i="20"/>
  <c r="G109" i="20"/>
  <c r="G364" i="20"/>
  <c r="F109" i="20"/>
  <c r="F364" i="20"/>
  <c r="E109" i="20"/>
  <c r="E364" i="20"/>
  <c r="D109" i="20"/>
  <c r="D364" i="20"/>
  <c r="C109" i="20"/>
  <c r="C364" i="20"/>
  <c r="F49" i="20"/>
  <c r="F186" i="20"/>
  <c r="F48" i="20"/>
  <c r="F286" i="20"/>
  <c r="F47" i="20"/>
  <c r="F232" i="20"/>
  <c r="N49" i="20"/>
  <c r="N236" i="20"/>
  <c r="N48" i="20"/>
  <c r="N184" i="20"/>
  <c r="N47" i="20"/>
  <c r="N339" i="20"/>
  <c r="M49" i="20"/>
  <c r="M186" i="20"/>
  <c r="M48" i="20"/>
  <c r="M85" i="20"/>
  <c r="M47" i="20"/>
  <c r="M84" i="20"/>
  <c r="L49" i="20"/>
  <c r="L312" i="20"/>
  <c r="L48" i="20"/>
  <c r="L47" i="20"/>
  <c r="L207" i="20"/>
  <c r="K49" i="20"/>
  <c r="K161" i="20"/>
  <c r="K263" i="20"/>
  <c r="K48" i="20"/>
  <c r="K111" i="20"/>
  <c r="K47" i="20"/>
  <c r="K232" i="20"/>
  <c r="J49" i="20"/>
  <c r="J161" i="20"/>
  <c r="J263" i="20"/>
  <c r="J48" i="20"/>
  <c r="J234" i="20"/>
  <c r="J47" i="20"/>
  <c r="J232" i="20"/>
  <c r="I49" i="20"/>
  <c r="I312" i="20"/>
  <c r="I48" i="20"/>
  <c r="I47" i="20"/>
  <c r="I285" i="20"/>
  <c r="H49" i="20"/>
  <c r="H186" i="20"/>
  <c r="H48" i="20"/>
  <c r="H135" i="20"/>
  <c r="H47" i="20"/>
  <c r="H310" i="20"/>
  <c r="G49" i="20"/>
  <c r="G161" i="20"/>
  <c r="G263" i="20"/>
  <c r="G48" i="20"/>
  <c r="G311" i="20"/>
  <c r="G47" i="20"/>
  <c r="G232" i="20"/>
  <c r="E49" i="20"/>
  <c r="E137" i="20"/>
  <c r="E48" i="20"/>
  <c r="E286" i="20"/>
  <c r="E47" i="20"/>
  <c r="E339" i="20"/>
  <c r="D49" i="20"/>
  <c r="D287" i="20"/>
  <c r="D48" i="20"/>
  <c r="D111" i="20"/>
  <c r="D47" i="20"/>
  <c r="D310" i="20"/>
  <c r="C49" i="20"/>
  <c r="C112" i="20"/>
  <c r="C48" i="20"/>
  <c r="C184" i="20"/>
  <c r="C47" i="20"/>
  <c r="C133" i="20"/>
  <c r="I46" i="20"/>
  <c r="N46" i="20"/>
  <c r="N45" i="20"/>
  <c r="M46" i="20"/>
  <c r="M45" i="20"/>
  <c r="L46" i="20"/>
  <c r="L45" i="20"/>
  <c r="K45" i="20"/>
  <c r="J46" i="20"/>
  <c r="J45" i="20"/>
  <c r="I45" i="20"/>
  <c r="H46" i="20"/>
  <c r="H45" i="20"/>
  <c r="G46" i="20"/>
  <c r="G45" i="20"/>
  <c r="F46" i="20"/>
  <c r="F45" i="20"/>
  <c r="E46" i="20"/>
  <c r="E45" i="20"/>
  <c r="D46" i="20"/>
  <c r="D45" i="20"/>
  <c r="C45" i="20"/>
  <c r="K43" i="20"/>
  <c r="K42" i="20"/>
  <c r="N43" i="20"/>
  <c r="N42" i="20"/>
  <c r="N41" i="20"/>
  <c r="M43" i="20"/>
  <c r="M42" i="20"/>
  <c r="M41" i="20"/>
  <c r="L43" i="20"/>
  <c r="L42" i="20"/>
  <c r="L41" i="20"/>
  <c r="K41" i="20"/>
  <c r="J43" i="20"/>
  <c r="J42" i="20"/>
  <c r="J41" i="20"/>
  <c r="I43" i="20"/>
  <c r="I42" i="20"/>
  <c r="I41" i="20"/>
  <c r="H43" i="20"/>
  <c r="H42" i="20"/>
  <c r="H41" i="20"/>
  <c r="G43" i="20"/>
  <c r="G42" i="20"/>
  <c r="G41" i="20"/>
  <c r="F43" i="20"/>
  <c r="F42" i="20"/>
  <c r="F41" i="20"/>
  <c r="E43" i="20"/>
  <c r="E42" i="20"/>
  <c r="E41" i="20"/>
  <c r="D43" i="20"/>
  <c r="D42" i="20"/>
  <c r="D41" i="20"/>
  <c r="C43" i="20"/>
  <c r="C42" i="20"/>
  <c r="C41" i="20"/>
  <c r="N40" i="20"/>
  <c r="N39" i="20"/>
  <c r="N38" i="20"/>
  <c r="M40" i="20"/>
  <c r="M39" i="20"/>
  <c r="M38" i="20"/>
  <c r="L40" i="20"/>
  <c r="L39" i="20"/>
  <c r="L38" i="20"/>
  <c r="K40" i="20"/>
  <c r="K39" i="20"/>
  <c r="K38" i="20"/>
  <c r="J40" i="20"/>
  <c r="J39" i="20"/>
  <c r="J38" i="20"/>
  <c r="I40" i="20"/>
  <c r="I39" i="20"/>
  <c r="I38" i="20"/>
  <c r="H40" i="20"/>
  <c r="H39" i="20"/>
  <c r="H38" i="20"/>
  <c r="G39" i="20"/>
  <c r="G40" i="20"/>
  <c r="G38" i="20"/>
  <c r="F40" i="20"/>
  <c r="F38" i="20"/>
  <c r="F39" i="20"/>
  <c r="E40" i="20"/>
  <c r="E39" i="20"/>
  <c r="E38" i="20"/>
  <c r="D40" i="20"/>
  <c r="D39" i="20"/>
  <c r="D38" i="20"/>
  <c r="C40" i="20"/>
  <c r="C39" i="20"/>
  <c r="C38" i="20"/>
  <c r="C11" i="20"/>
  <c r="C10" i="20"/>
  <c r="C9" i="20"/>
  <c r="C8" i="20"/>
  <c r="C7" i="20"/>
  <c r="D31" i="17"/>
  <c r="E31" i="17"/>
  <c r="D30" i="17"/>
  <c r="C30" i="17"/>
  <c r="C29" i="17"/>
  <c r="C32" i="17"/>
  <c r="E28" i="17"/>
  <c r="E30" i="17"/>
  <c r="E26" i="17"/>
  <c r="E29" i="17"/>
  <c r="E27" i="17"/>
  <c r="W17" i="17"/>
  <c r="W18" i="17"/>
  <c r="V17" i="17"/>
  <c r="U17" i="17"/>
  <c r="U18" i="17"/>
  <c r="W13" i="17"/>
  <c r="W15" i="17"/>
  <c r="V13" i="17"/>
  <c r="V14" i="17"/>
  <c r="U13" i="17"/>
  <c r="U16" i="17"/>
  <c r="W12" i="17"/>
  <c r="V12" i="17"/>
  <c r="U12" i="17"/>
  <c r="R12" i="17"/>
  <c r="Q12" i="17"/>
  <c r="P12" i="17"/>
  <c r="D12" i="17"/>
  <c r="C12" i="17"/>
  <c r="W11" i="17"/>
  <c r="V11" i="17"/>
  <c r="U11" i="17"/>
  <c r="C11" i="17"/>
  <c r="C14" i="17"/>
  <c r="W10" i="17"/>
  <c r="W9" i="17"/>
  <c r="W21" i="17"/>
  <c r="V10" i="17"/>
  <c r="V9" i="17"/>
  <c r="U10" i="17"/>
  <c r="U9" i="17"/>
  <c r="U21" i="17"/>
  <c r="E10" i="17"/>
  <c r="E12" i="17"/>
  <c r="E9" i="17"/>
  <c r="H27" i="16"/>
  <c r="H26" i="16"/>
  <c r="H25" i="16"/>
  <c r="H24" i="16"/>
  <c r="H23" i="16"/>
  <c r="E23" i="16"/>
  <c r="J21" i="16"/>
  <c r="H22" i="16"/>
  <c r="H21" i="16"/>
  <c r="H20" i="16"/>
  <c r="AM19" i="16"/>
  <c r="AL19" i="16"/>
  <c r="AK19" i="16"/>
  <c r="AA19" i="16"/>
  <c r="Z19" i="16"/>
  <c r="Y19" i="16"/>
  <c r="H19" i="16"/>
  <c r="H18" i="16"/>
  <c r="H17" i="16"/>
  <c r="H16" i="16"/>
  <c r="J15" i="16"/>
  <c r="K15" i="16"/>
  <c r="H15" i="16"/>
  <c r="E14" i="16"/>
  <c r="I15" i="16"/>
  <c r="H14" i="16"/>
  <c r="H13" i="16"/>
  <c r="H12" i="16"/>
  <c r="H11" i="16"/>
  <c r="I11" i="16"/>
  <c r="J11" i="16"/>
  <c r="H10" i="16"/>
  <c r="I9" i="16"/>
  <c r="H9" i="16"/>
  <c r="H8" i="16"/>
  <c r="H7" i="16"/>
  <c r="G12" i="11"/>
  <c r="H12" i="11"/>
  <c r="K211" i="11"/>
  <c r="K206" i="11"/>
  <c r="P31" i="11"/>
  <c r="K175" i="11"/>
  <c r="K151" i="11"/>
  <c r="K148" i="11"/>
  <c r="K147" i="11"/>
  <c r="K145" i="11"/>
  <c r="K144" i="11"/>
  <c r="K142" i="11"/>
  <c r="U160" i="11"/>
  <c r="R70" i="11"/>
  <c r="S160" i="11"/>
  <c r="Q70" i="11"/>
  <c r="Q160" i="11"/>
  <c r="P70" i="11"/>
  <c r="K138" i="11"/>
  <c r="V157" i="11"/>
  <c r="V132" i="11"/>
  <c r="U157" i="11"/>
  <c r="U132" i="11"/>
  <c r="U134" i="11"/>
  <c r="S157" i="11"/>
  <c r="S132" i="11"/>
  <c r="R157" i="11"/>
  <c r="R132" i="11"/>
  <c r="Q132" i="11"/>
  <c r="T157" i="11"/>
  <c r="K135" i="11"/>
  <c r="V155" i="11"/>
  <c r="U155" i="11"/>
  <c r="T155" i="11"/>
  <c r="S155" i="11"/>
  <c r="V154" i="11"/>
  <c r="U154" i="11"/>
  <c r="T154" i="11"/>
  <c r="S154" i="11"/>
  <c r="Q154" i="11"/>
  <c r="K132" i="11"/>
  <c r="V151" i="11"/>
  <c r="U151" i="11"/>
  <c r="T151" i="11"/>
  <c r="S151" i="11"/>
  <c r="Q151" i="11"/>
  <c r="K129" i="11"/>
  <c r="K128" i="11"/>
  <c r="R90" i="11"/>
  <c r="K127" i="11"/>
  <c r="K126" i="11"/>
  <c r="Q90" i="11"/>
  <c r="U147" i="11"/>
  <c r="U146" i="11"/>
  <c r="U145" i="11"/>
  <c r="S147" i="11"/>
  <c r="S146" i="11"/>
  <c r="S145" i="11"/>
  <c r="Q147" i="11"/>
  <c r="Q146" i="11"/>
  <c r="K125" i="11"/>
  <c r="P90" i="11"/>
  <c r="L123" i="11"/>
  <c r="R89" i="11"/>
  <c r="BV9" i="11"/>
  <c r="U144" i="11"/>
  <c r="S144" i="11"/>
  <c r="R131" i="11"/>
  <c r="R141" i="11"/>
  <c r="R140" i="11"/>
  <c r="S139" i="11"/>
  <c r="Q139" i="11"/>
  <c r="U138" i="11"/>
  <c r="S138" i="11"/>
  <c r="Q138" i="11"/>
  <c r="U136" i="11"/>
  <c r="R63" i="11"/>
  <c r="S136" i="11"/>
  <c r="Q63" i="11"/>
  <c r="Q136" i="11"/>
  <c r="P63" i="11"/>
  <c r="V131" i="11"/>
  <c r="V141" i="11"/>
  <c r="V140" i="11"/>
  <c r="T132" i="11"/>
  <c r="T134" i="11"/>
  <c r="Q128" i="11"/>
  <c r="K96" i="11"/>
  <c r="K95" i="11"/>
  <c r="K94" i="11"/>
  <c r="K92" i="11"/>
  <c r="K91" i="11"/>
  <c r="K90" i="11"/>
  <c r="K84" i="11"/>
  <c r="K83" i="11"/>
  <c r="K82" i="11"/>
  <c r="K81" i="11"/>
  <c r="K80" i="11"/>
  <c r="K79" i="11"/>
  <c r="K77" i="11"/>
  <c r="K76" i="11"/>
  <c r="R101" i="11"/>
  <c r="BV14" i="11"/>
  <c r="Q101" i="11"/>
  <c r="BU14" i="11"/>
  <c r="P101" i="11"/>
  <c r="BT14" i="11"/>
  <c r="K74" i="11"/>
  <c r="K73" i="11"/>
  <c r="K70" i="11"/>
  <c r="K69" i="11"/>
  <c r="H28" i="11"/>
  <c r="G28" i="11"/>
  <c r="Q129" i="11"/>
  <c r="H10" i="11"/>
  <c r="K166" i="11"/>
  <c r="G10" i="11"/>
  <c r="K136" i="11"/>
  <c r="F10" i="11"/>
  <c r="K162" i="11"/>
  <c r="F12" i="11"/>
  <c r="Q51" i="11"/>
  <c r="P51" i="11"/>
  <c r="Q47" i="11"/>
  <c r="P47" i="11"/>
  <c r="P38" i="11"/>
  <c r="AC33" i="11"/>
  <c r="AK24" i="11"/>
  <c r="AL23" i="11"/>
  <c r="AL27" i="11"/>
  <c r="AK16" i="11"/>
  <c r="AL15" i="11"/>
  <c r="AC27" i="11"/>
  <c r="AC25" i="11"/>
  <c r="BI20" i="11"/>
  <c r="AS18" i="11"/>
  <c r="AK10" i="11"/>
  <c r="AF10" i="11"/>
  <c r="U14" i="17"/>
  <c r="V15" i="17"/>
  <c r="W16" i="17"/>
  <c r="W20" i="17"/>
  <c r="V16" i="17"/>
  <c r="W19" i="17"/>
  <c r="J22" i="16"/>
  <c r="I12" i="16"/>
  <c r="J25" i="16"/>
  <c r="I25" i="16"/>
  <c r="I20" i="16"/>
  <c r="J26" i="16"/>
  <c r="I13" i="16"/>
  <c r="I21" i="16"/>
  <c r="J23" i="16"/>
  <c r="I23" i="16"/>
  <c r="I24" i="16"/>
  <c r="J27" i="16"/>
  <c r="I22" i="16"/>
  <c r="I19" i="16"/>
  <c r="I26" i="16"/>
  <c r="K26" i="16"/>
  <c r="I10" i="16"/>
  <c r="I16" i="16"/>
  <c r="J16" i="16"/>
  <c r="I17" i="16"/>
  <c r="I18" i="16"/>
  <c r="I27" i="16"/>
  <c r="I14" i="16"/>
  <c r="J13" i="16"/>
  <c r="J14" i="16"/>
  <c r="J18" i="16"/>
  <c r="W14" i="17"/>
  <c r="U19" i="17"/>
  <c r="U15" i="17"/>
  <c r="U20" i="17"/>
  <c r="E11" i="17"/>
  <c r="D11" i="17"/>
  <c r="J24" i="16"/>
  <c r="J259" i="20"/>
  <c r="L286" i="20"/>
  <c r="L159" i="20"/>
  <c r="K176" i="11"/>
  <c r="Q96" i="11"/>
  <c r="BU10" i="11"/>
  <c r="R150" i="11"/>
  <c r="K165" i="11"/>
  <c r="R95" i="11"/>
  <c r="CO55" i="11"/>
  <c r="CN12" i="11"/>
  <c r="CP10" i="11"/>
  <c r="CP50" i="11"/>
  <c r="CP76" i="11"/>
  <c r="CN50" i="11"/>
  <c r="CN76" i="11"/>
  <c r="CQ50" i="11"/>
  <c r="CQ76" i="11"/>
  <c r="CO50" i="11"/>
  <c r="CO76" i="11"/>
  <c r="CM50" i="11"/>
  <c r="CL15" i="11"/>
  <c r="CM76" i="11"/>
  <c r="K152" i="11"/>
  <c r="Q93" i="11"/>
  <c r="S137" i="11"/>
  <c r="Q64" i="11"/>
  <c r="AC15" i="11"/>
  <c r="K174" i="11"/>
  <c r="P96" i="11"/>
  <c r="BT10" i="11"/>
  <c r="V150" i="11"/>
  <c r="AC30" i="11"/>
  <c r="U137" i="11"/>
  <c r="R64" i="11"/>
  <c r="G29" i="11"/>
  <c r="K112" i="11"/>
  <c r="Q88" i="11"/>
  <c r="H29" i="11"/>
  <c r="K116" i="11"/>
  <c r="BV8" i="11"/>
  <c r="L68" i="11"/>
  <c r="K150" i="11"/>
  <c r="P93" i="11"/>
  <c r="V133" i="11"/>
  <c r="V158" i="11"/>
  <c r="V134" i="11"/>
  <c r="Q133" i="11"/>
  <c r="Q158" i="11"/>
  <c r="Q156" i="11"/>
  <c r="Q134" i="11"/>
  <c r="T150" i="11"/>
  <c r="R133" i="11"/>
  <c r="R158" i="11"/>
  <c r="R134" i="11"/>
  <c r="K141" i="11"/>
  <c r="P92" i="11"/>
  <c r="U143" i="11"/>
  <c r="R66" i="11"/>
  <c r="S133" i="11"/>
  <c r="S158" i="11"/>
  <c r="S134" i="11"/>
  <c r="L78" i="11"/>
  <c r="S143" i="11"/>
  <c r="Q66" i="11"/>
  <c r="K161" i="11"/>
  <c r="P95" i="11"/>
  <c r="K159" i="11"/>
  <c r="R94" i="11"/>
  <c r="K146" i="11"/>
  <c r="R92" i="11"/>
  <c r="K158" i="11"/>
  <c r="P98" i="11"/>
  <c r="K143" i="11"/>
  <c r="Q92" i="11"/>
  <c r="K154" i="11"/>
  <c r="R93" i="11"/>
  <c r="K178" i="11"/>
  <c r="R96" i="11"/>
  <c r="BV10" i="11"/>
  <c r="S186" i="20"/>
  <c r="K133" i="11"/>
  <c r="K131" i="11"/>
  <c r="P91" i="11"/>
  <c r="Q152" i="11"/>
  <c r="Q150" i="11"/>
  <c r="R153" i="11"/>
  <c r="R247" i="11"/>
  <c r="R249" i="11"/>
  <c r="AK11" i="11"/>
  <c r="P18" i="11"/>
  <c r="Q89" i="11"/>
  <c r="BU9" i="11"/>
  <c r="P52" i="11"/>
  <c r="S153" i="11"/>
  <c r="K193" i="11"/>
  <c r="K192" i="11"/>
  <c r="K199" i="11"/>
  <c r="K198" i="11"/>
  <c r="K75" i="11"/>
  <c r="Q127" i="11"/>
  <c r="Q125" i="11"/>
  <c r="R67" i="11"/>
  <c r="CP16" i="11"/>
  <c r="CO16" i="11"/>
  <c r="CL16" i="11"/>
  <c r="V153" i="11"/>
  <c r="CM18" i="11"/>
  <c r="CM16" i="11"/>
  <c r="AC16" i="11"/>
  <c r="K100" i="11"/>
  <c r="L205" i="11"/>
  <c r="K209" i="11"/>
  <c r="S262" i="20"/>
  <c r="V259" i="20"/>
  <c r="S236" i="20"/>
  <c r="P286" i="20"/>
  <c r="Q86" i="20"/>
  <c r="Q236" i="20"/>
  <c r="R236" i="20"/>
  <c r="T157" i="20"/>
  <c r="T257" i="20"/>
  <c r="R137" i="20"/>
  <c r="R234" i="20"/>
  <c r="P159" i="20"/>
  <c r="P260" i="20"/>
  <c r="U50" i="20"/>
  <c r="U288" i="20"/>
  <c r="V311" i="20"/>
  <c r="S112" i="20"/>
  <c r="K285" i="20"/>
  <c r="Q186" i="20"/>
  <c r="P232" i="20"/>
  <c r="T285" i="20"/>
  <c r="N133" i="20"/>
  <c r="O234" i="20"/>
  <c r="F234" i="20"/>
  <c r="O159" i="20"/>
  <c r="O260" i="20"/>
  <c r="F135" i="20"/>
  <c r="F184" i="20"/>
  <c r="H137" i="20"/>
  <c r="N157" i="20"/>
  <c r="N257" i="20"/>
  <c r="O135" i="20"/>
  <c r="O184" i="20"/>
  <c r="O311" i="20"/>
  <c r="T234" i="20"/>
  <c r="R259" i="20"/>
  <c r="N285" i="20"/>
  <c r="O286" i="20"/>
  <c r="C86" i="20"/>
  <c r="F159" i="20"/>
  <c r="F260" i="20"/>
  <c r="O85" i="20"/>
  <c r="O209" i="20"/>
  <c r="O340" i="20"/>
  <c r="P110" i="20"/>
  <c r="H340" i="20"/>
  <c r="R287" i="20"/>
  <c r="U236" i="20"/>
  <c r="T339" i="20"/>
  <c r="T207" i="20"/>
  <c r="D112" i="20"/>
  <c r="G285" i="20"/>
  <c r="I186" i="20"/>
  <c r="C312" i="20"/>
  <c r="P182" i="20"/>
  <c r="L111" i="20"/>
  <c r="V234" i="20"/>
  <c r="V135" i="20"/>
  <c r="V159" i="20"/>
  <c r="V260" i="20"/>
  <c r="T84" i="20"/>
  <c r="T232" i="20"/>
  <c r="D211" i="20"/>
  <c r="T133" i="20"/>
  <c r="T182" i="20"/>
  <c r="T310" i="20"/>
  <c r="N234" i="20"/>
  <c r="I161" i="20"/>
  <c r="I263" i="20"/>
  <c r="C232" i="20"/>
  <c r="M135" i="20"/>
  <c r="M234" i="20"/>
  <c r="D340" i="20"/>
  <c r="F236" i="20"/>
  <c r="M311" i="20"/>
  <c r="D159" i="20"/>
  <c r="D260" i="20"/>
  <c r="J340" i="20"/>
  <c r="D182" i="20"/>
  <c r="E234" i="20"/>
  <c r="M133" i="20"/>
  <c r="I110" i="20"/>
  <c r="D207" i="20"/>
  <c r="N111" i="20"/>
  <c r="I310" i="20"/>
  <c r="J184" i="20"/>
  <c r="K137" i="20"/>
  <c r="P341" i="20"/>
  <c r="G236" i="20"/>
  <c r="E209" i="20"/>
  <c r="M310" i="20"/>
  <c r="J85" i="20"/>
  <c r="R157" i="20"/>
  <c r="R257" i="20"/>
  <c r="I157" i="20"/>
  <c r="I257" i="20"/>
  <c r="K334" i="20"/>
  <c r="C339" i="20"/>
  <c r="M340" i="20"/>
  <c r="H133" i="20"/>
  <c r="O86" i="20"/>
  <c r="O312" i="20"/>
  <c r="L259" i="20"/>
  <c r="K310" i="20"/>
  <c r="L234" i="20"/>
  <c r="M286" i="20"/>
  <c r="H85" i="20"/>
  <c r="K182" i="20"/>
  <c r="N211" i="20"/>
  <c r="G262" i="20"/>
  <c r="N262" i="20"/>
  <c r="M184" i="20"/>
  <c r="J341" i="20"/>
  <c r="R207" i="20"/>
  <c r="C285" i="20"/>
  <c r="L85" i="20"/>
  <c r="M111" i="20"/>
  <c r="M209" i="20"/>
  <c r="D184" i="20"/>
  <c r="C340" i="20"/>
  <c r="R84" i="20"/>
  <c r="E236" i="20"/>
  <c r="M159" i="20"/>
  <c r="M260" i="20"/>
  <c r="L311" i="20"/>
  <c r="H159" i="20"/>
  <c r="H260" i="20"/>
  <c r="C286" i="20"/>
  <c r="E287" i="20"/>
  <c r="O137" i="20"/>
  <c r="D137" i="20"/>
  <c r="H184" i="20"/>
  <c r="G207" i="20"/>
  <c r="D86" i="20"/>
  <c r="F207" i="20"/>
  <c r="L340" i="20"/>
  <c r="D341" i="20"/>
  <c r="K207" i="20"/>
  <c r="D236" i="20"/>
  <c r="L135" i="20"/>
  <c r="H161" i="20"/>
  <c r="H263" i="20"/>
  <c r="H111" i="20"/>
  <c r="N232" i="20"/>
  <c r="N84" i="20"/>
  <c r="C209" i="20"/>
  <c r="G182" i="20"/>
  <c r="G133" i="20"/>
  <c r="I112" i="20"/>
  <c r="I236" i="20"/>
  <c r="H209" i="20"/>
  <c r="S232" i="20"/>
  <c r="F111" i="20"/>
  <c r="R186" i="20"/>
  <c r="R312" i="20"/>
  <c r="R161" i="20"/>
  <c r="R263" i="20"/>
  <c r="Q133" i="20"/>
  <c r="U286" i="20"/>
  <c r="F259" i="20"/>
  <c r="K133" i="20"/>
  <c r="K110" i="20"/>
  <c r="C111" i="20"/>
  <c r="I137" i="20"/>
  <c r="I211" i="20"/>
  <c r="L184" i="20"/>
  <c r="J50" i="20"/>
  <c r="J113" i="20"/>
  <c r="L260" i="20"/>
  <c r="H234" i="20"/>
  <c r="G339" i="20"/>
  <c r="K84" i="20"/>
  <c r="K339" i="20"/>
  <c r="H312" i="20"/>
  <c r="L209" i="20"/>
  <c r="J133" i="20"/>
  <c r="N110" i="20"/>
  <c r="G84" i="20"/>
  <c r="N207" i="20"/>
  <c r="C311" i="20"/>
  <c r="N182" i="20"/>
  <c r="C85" i="20"/>
  <c r="K157" i="20"/>
  <c r="K257" i="20"/>
  <c r="M341" i="20"/>
  <c r="O232" i="20"/>
  <c r="R86" i="20"/>
  <c r="R211" i="20"/>
  <c r="R341" i="20"/>
  <c r="Q182" i="20"/>
  <c r="P84" i="20"/>
  <c r="P259" i="20"/>
  <c r="K50" i="20"/>
  <c r="K342" i="20"/>
  <c r="H236" i="20"/>
  <c r="H341" i="20"/>
  <c r="M312" i="20"/>
  <c r="N86" i="20"/>
  <c r="C186" i="20"/>
  <c r="C161" i="20"/>
  <c r="C263" i="20"/>
  <c r="K184" i="20"/>
  <c r="O339" i="20"/>
  <c r="T137" i="20"/>
  <c r="U340" i="20"/>
  <c r="T161" i="20"/>
  <c r="T263" i="20"/>
  <c r="J334" i="20"/>
  <c r="I334" i="20"/>
  <c r="N310" i="20"/>
  <c r="V50" i="20"/>
  <c r="V342" i="20"/>
  <c r="N334" i="20"/>
  <c r="K340" i="20"/>
  <c r="J84" i="20"/>
  <c r="E157" i="20"/>
  <c r="E257" i="20"/>
  <c r="C341" i="20"/>
  <c r="E232" i="20"/>
  <c r="U285" i="20"/>
  <c r="O157" i="20"/>
  <c r="O257" i="20"/>
  <c r="F262" i="20"/>
  <c r="U259" i="20"/>
  <c r="U264" i="20"/>
  <c r="J157" i="20"/>
  <c r="J257" i="20"/>
  <c r="N137" i="20"/>
  <c r="E133" i="20"/>
  <c r="M161" i="20"/>
  <c r="M263" i="20"/>
  <c r="U159" i="20"/>
  <c r="U260" i="20"/>
  <c r="O207" i="20"/>
  <c r="Q207" i="20"/>
  <c r="Q285" i="20"/>
  <c r="N259" i="20"/>
  <c r="I262" i="20"/>
  <c r="D84" i="20"/>
  <c r="M50" i="20"/>
  <c r="M313" i="20"/>
  <c r="G312" i="20"/>
  <c r="M287" i="20"/>
  <c r="N161" i="20"/>
  <c r="N263" i="20"/>
  <c r="M285" i="20"/>
  <c r="K86" i="20"/>
  <c r="S285" i="20"/>
  <c r="T236" i="20"/>
  <c r="U339" i="20"/>
  <c r="S334" i="20"/>
  <c r="O50" i="20"/>
  <c r="O342" i="20"/>
  <c r="I84" i="20"/>
  <c r="I133" i="20"/>
  <c r="L339" i="20"/>
  <c r="E85" i="20"/>
  <c r="G341" i="20"/>
  <c r="G287" i="20"/>
  <c r="D157" i="20"/>
  <c r="D257" i="20"/>
  <c r="G112" i="20"/>
  <c r="M211" i="20"/>
  <c r="N112" i="20"/>
  <c r="D286" i="20"/>
  <c r="E311" i="20"/>
  <c r="H232" i="20"/>
  <c r="D311" i="20"/>
  <c r="J287" i="20"/>
  <c r="J137" i="20"/>
  <c r="E340" i="20"/>
  <c r="M207" i="20"/>
  <c r="K211" i="20"/>
  <c r="M110" i="20"/>
  <c r="K186" i="20"/>
  <c r="J209" i="20"/>
  <c r="M232" i="20"/>
  <c r="D85" i="20"/>
  <c r="S133" i="20"/>
  <c r="S84" i="20"/>
  <c r="S312" i="20"/>
  <c r="O211" i="20"/>
  <c r="S310" i="20"/>
  <c r="O285" i="20"/>
  <c r="U232" i="20"/>
  <c r="O161" i="20"/>
  <c r="O263" i="20"/>
  <c r="V182" i="20"/>
  <c r="R285" i="20"/>
  <c r="T86" i="20"/>
  <c r="Q157" i="20"/>
  <c r="Q257" i="20"/>
  <c r="Q137" i="20"/>
  <c r="Q84" i="20"/>
  <c r="Q339" i="20"/>
  <c r="T341" i="20"/>
  <c r="T211" i="20"/>
  <c r="S182" i="20"/>
  <c r="O182" i="20"/>
  <c r="K259" i="20"/>
  <c r="J262" i="20"/>
  <c r="M262" i="20"/>
  <c r="S110" i="20"/>
  <c r="R50" i="20"/>
  <c r="R288" i="20"/>
  <c r="I182" i="20"/>
  <c r="G137" i="20"/>
  <c r="E111" i="20"/>
  <c r="G86" i="20"/>
  <c r="G186" i="20"/>
  <c r="E184" i="20"/>
  <c r="M86" i="20"/>
  <c r="N287" i="20"/>
  <c r="M112" i="20"/>
  <c r="I339" i="20"/>
  <c r="J135" i="20"/>
  <c r="M157" i="20"/>
  <c r="M257" i="20"/>
  <c r="J159" i="20"/>
  <c r="J260" i="20"/>
  <c r="U207" i="20"/>
  <c r="O186" i="20"/>
  <c r="U137" i="20"/>
  <c r="T186" i="20"/>
  <c r="V334" i="20"/>
  <c r="I232" i="20"/>
  <c r="L84" i="20"/>
  <c r="F133" i="20"/>
  <c r="E135" i="20"/>
  <c r="G211" i="20"/>
  <c r="D339" i="20"/>
  <c r="M236" i="20"/>
  <c r="E159" i="20"/>
  <c r="E260" i="20"/>
  <c r="D135" i="20"/>
  <c r="H157" i="20"/>
  <c r="H257" i="20"/>
  <c r="I207" i="20"/>
  <c r="D234" i="20"/>
  <c r="L133" i="20"/>
  <c r="F157" i="20"/>
  <c r="F257" i="20"/>
  <c r="J311" i="20"/>
  <c r="M182" i="20"/>
  <c r="M137" i="20"/>
  <c r="M339" i="20"/>
  <c r="J286" i="20"/>
  <c r="J111" i="20"/>
  <c r="O133" i="20"/>
  <c r="O84" i="20"/>
  <c r="O236" i="20"/>
  <c r="O287" i="20"/>
  <c r="S207" i="20"/>
  <c r="S339" i="20"/>
  <c r="O310" i="20"/>
  <c r="Q232" i="20"/>
  <c r="Q310" i="20"/>
  <c r="T312" i="20"/>
  <c r="T287" i="20"/>
  <c r="D209" i="20"/>
  <c r="O341" i="20"/>
  <c r="E262" i="20"/>
  <c r="F334" i="20"/>
  <c r="C157" i="20"/>
  <c r="C257" i="20"/>
  <c r="K286" i="20"/>
  <c r="J207" i="20"/>
  <c r="N340" i="20"/>
  <c r="J236" i="20"/>
  <c r="L186" i="20"/>
  <c r="E84" i="20"/>
  <c r="J86" i="20"/>
  <c r="K159" i="20"/>
  <c r="K260" i="20"/>
  <c r="G159" i="20"/>
  <c r="G260" i="20"/>
  <c r="F211" i="20"/>
  <c r="D133" i="20"/>
  <c r="G111" i="20"/>
  <c r="G184" i="20"/>
  <c r="V232" i="20"/>
  <c r="T311" i="20"/>
  <c r="P285" i="20"/>
  <c r="Q287" i="20"/>
  <c r="P133" i="20"/>
  <c r="T111" i="20"/>
  <c r="P262" i="20"/>
  <c r="S259" i="20"/>
  <c r="S264" i="20"/>
  <c r="P334" i="20"/>
  <c r="R334" i="20"/>
  <c r="K135" i="20"/>
  <c r="L112" i="20"/>
  <c r="D50" i="20"/>
  <c r="D313" i="20"/>
  <c r="C182" i="20"/>
  <c r="H211" i="20"/>
  <c r="C84" i="20"/>
  <c r="H287" i="20"/>
  <c r="L341" i="20"/>
  <c r="L236" i="20"/>
  <c r="K85" i="20"/>
  <c r="N85" i="20"/>
  <c r="J285" i="20"/>
  <c r="J182" i="20"/>
  <c r="L86" i="20"/>
  <c r="J186" i="20"/>
  <c r="E310" i="20"/>
  <c r="J211" i="20"/>
  <c r="K209" i="20"/>
  <c r="G85" i="20"/>
  <c r="F137" i="20"/>
  <c r="F86" i="20"/>
  <c r="N159" i="20"/>
  <c r="N260" i="20"/>
  <c r="G234" i="20"/>
  <c r="V133" i="20"/>
  <c r="V310" i="20"/>
  <c r="T135" i="20"/>
  <c r="P157" i="20"/>
  <c r="P257" i="20"/>
  <c r="P339" i="20"/>
  <c r="Q312" i="20"/>
  <c r="C259" i="20"/>
  <c r="E259" i="20"/>
  <c r="I259" i="20"/>
  <c r="M259" i="20"/>
  <c r="H262" i="20"/>
  <c r="K262" i="20"/>
  <c r="L334" i="20"/>
  <c r="M334" i="20"/>
  <c r="Q262" i="20"/>
  <c r="O334" i="20"/>
  <c r="H112" i="20"/>
  <c r="N50" i="20"/>
  <c r="N313" i="20"/>
  <c r="K234" i="20"/>
  <c r="F161" i="20"/>
  <c r="F263" i="20"/>
  <c r="C310" i="20"/>
  <c r="C207" i="20"/>
  <c r="C110" i="20"/>
  <c r="D232" i="20"/>
  <c r="D110" i="20"/>
  <c r="H86" i="20"/>
  <c r="G50" i="20"/>
  <c r="G288" i="20"/>
  <c r="L211" i="20"/>
  <c r="D285" i="20"/>
  <c r="F341" i="20"/>
  <c r="F112" i="20"/>
  <c r="N286" i="20"/>
  <c r="J339" i="20"/>
  <c r="J112" i="20"/>
  <c r="J310" i="20"/>
  <c r="J312" i="20"/>
  <c r="G340" i="20"/>
  <c r="E182" i="20"/>
  <c r="F312" i="20"/>
  <c r="F287" i="20"/>
  <c r="T184" i="20"/>
  <c r="P207" i="20"/>
  <c r="Q161" i="20"/>
  <c r="Q263" i="20"/>
  <c r="E110" i="20"/>
  <c r="Q341" i="20"/>
  <c r="E285" i="20"/>
  <c r="K311" i="20"/>
  <c r="L262" i="20"/>
  <c r="Q259" i="20"/>
  <c r="R262" i="20"/>
  <c r="I209" i="20"/>
  <c r="I159" i="20"/>
  <c r="I260" i="20"/>
  <c r="I85" i="20"/>
  <c r="I340" i="20"/>
  <c r="I111" i="20"/>
  <c r="P112" i="20"/>
  <c r="P211" i="20"/>
  <c r="P236" i="20"/>
  <c r="P312" i="20"/>
  <c r="P161" i="20"/>
  <c r="P263" i="20"/>
  <c r="R209" i="20"/>
  <c r="R135" i="20"/>
  <c r="R340" i="20"/>
  <c r="V112" i="20"/>
  <c r="V341" i="20"/>
  <c r="V211" i="20"/>
  <c r="V86" i="20"/>
  <c r="V287" i="20"/>
  <c r="V161" i="20"/>
  <c r="V263" i="20"/>
  <c r="Q340" i="20"/>
  <c r="Q111" i="20"/>
  <c r="Q286" i="20"/>
  <c r="Q135" i="20"/>
  <c r="Q234" i="20"/>
  <c r="E161" i="20"/>
  <c r="E263" i="20"/>
  <c r="I50" i="20"/>
  <c r="E211" i="20"/>
  <c r="E86" i="20"/>
  <c r="F310" i="20"/>
  <c r="H182" i="20"/>
  <c r="H50" i="20"/>
  <c r="L182" i="20"/>
  <c r="I311" i="20"/>
  <c r="N135" i="20"/>
  <c r="Q311" i="20"/>
  <c r="P86" i="20"/>
  <c r="H334" i="20"/>
  <c r="C211" i="20"/>
  <c r="C236" i="20"/>
  <c r="C287" i="20"/>
  <c r="C137" i="20"/>
  <c r="G110" i="20"/>
  <c r="G157" i="20"/>
  <c r="G257" i="20"/>
  <c r="G310" i="20"/>
  <c r="H286" i="20"/>
  <c r="H311" i="20"/>
  <c r="I287" i="20"/>
  <c r="I341" i="20"/>
  <c r="I86" i="20"/>
  <c r="F311" i="20"/>
  <c r="F85" i="20"/>
  <c r="F209" i="20"/>
  <c r="F340" i="20"/>
  <c r="R310" i="20"/>
  <c r="R182" i="20"/>
  <c r="R110" i="20"/>
  <c r="R232" i="20"/>
  <c r="R133" i="20"/>
  <c r="S161" i="20"/>
  <c r="S263" i="20"/>
  <c r="S287" i="20"/>
  <c r="S86" i="20"/>
  <c r="S341" i="20"/>
  <c r="S211" i="20"/>
  <c r="U110" i="20"/>
  <c r="U310" i="20"/>
  <c r="U84" i="20"/>
  <c r="U133" i="20"/>
  <c r="U182" i="20"/>
  <c r="U157" i="20"/>
  <c r="U257" i="20"/>
  <c r="U112" i="20"/>
  <c r="U341" i="20"/>
  <c r="U86" i="20"/>
  <c r="U287" i="20"/>
  <c r="U161" i="20"/>
  <c r="U263" i="20"/>
  <c r="U211" i="20"/>
  <c r="U186" i="20"/>
  <c r="V262" i="20"/>
  <c r="V264" i="20"/>
  <c r="L285" i="20"/>
  <c r="E186" i="20"/>
  <c r="F285" i="20"/>
  <c r="E112" i="20"/>
  <c r="F50" i="20"/>
  <c r="F313" i="20"/>
  <c r="I234" i="20"/>
  <c r="F84" i="20"/>
  <c r="V137" i="20"/>
  <c r="V186" i="20"/>
  <c r="P186" i="20"/>
  <c r="I286" i="20"/>
  <c r="D262" i="20"/>
  <c r="L137" i="20"/>
  <c r="L287" i="20"/>
  <c r="N311" i="20"/>
  <c r="N209" i="20"/>
  <c r="G259" i="20"/>
  <c r="C334" i="20"/>
  <c r="V110" i="20"/>
  <c r="V339" i="20"/>
  <c r="V207" i="20"/>
  <c r="V84" i="20"/>
  <c r="V285" i="20"/>
  <c r="V157" i="20"/>
  <c r="V257" i="20"/>
  <c r="T286" i="20"/>
  <c r="T159" i="20"/>
  <c r="T260" i="20"/>
  <c r="T340" i="20"/>
  <c r="T209" i="20"/>
  <c r="U334" i="20"/>
  <c r="H110" i="20"/>
  <c r="H285" i="20"/>
  <c r="H339" i="20"/>
  <c r="L50" i="20"/>
  <c r="L87" i="20"/>
  <c r="F339" i="20"/>
  <c r="Q50" i="20"/>
  <c r="Q113" i="20"/>
  <c r="L310" i="20"/>
  <c r="E50" i="20"/>
  <c r="E312" i="20"/>
  <c r="L110" i="20"/>
  <c r="E341" i="20"/>
  <c r="L232" i="20"/>
  <c r="F182" i="20"/>
  <c r="F110" i="20"/>
  <c r="L157" i="20"/>
  <c r="L257" i="20"/>
  <c r="H207" i="20"/>
  <c r="Q209" i="20"/>
  <c r="V236" i="20"/>
  <c r="R184" i="20"/>
  <c r="P287" i="20"/>
  <c r="Q159" i="20"/>
  <c r="Q260" i="20"/>
  <c r="I135" i="20"/>
  <c r="Q85" i="20"/>
  <c r="H84" i="20"/>
  <c r="Q184" i="20"/>
  <c r="K341" i="20"/>
  <c r="K312" i="20"/>
  <c r="K287" i="20"/>
  <c r="K236" i="20"/>
  <c r="K112" i="20"/>
  <c r="N341" i="20"/>
  <c r="N186" i="20"/>
  <c r="N312" i="20"/>
  <c r="P234" i="20"/>
  <c r="P311" i="20"/>
  <c r="P184" i="20"/>
  <c r="P135" i="20"/>
  <c r="P85" i="20"/>
  <c r="V286" i="20"/>
  <c r="V111" i="20"/>
  <c r="V340" i="20"/>
  <c r="V184" i="20"/>
  <c r="V85" i="20"/>
  <c r="U111" i="20"/>
  <c r="U209" i="20"/>
  <c r="U311" i="20"/>
  <c r="U184" i="20"/>
  <c r="U234" i="20"/>
  <c r="U85" i="20"/>
  <c r="T262" i="20"/>
  <c r="T264" i="20"/>
  <c r="D334" i="20"/>
  <c r="G334" i="20"/>
  <c r="C50" i="20"/>
  <c r="C342" i="20"/>
  <c r="H259" i="20"/>
  <c r="T50" i="20"/>
  <c r="E334" i="20"/>
  <c r="O262" i="20"/>
  <c r="T334" i="20"/>
  <c r="AX16" i="16"/>
  <c r="BI11" i="16"/>
  <c r="K23" i="16"/>
  <c r="L23" i="16"/>
  <c r="T153" i="11"/>
  <c r="CN16" i="11"/>
  <c r="U152" i="11"/>
  <c r="U150" i="11"/>
  <c r="K13" i="16"/>
  <c r="L13" i="16"/>
  <c r="Q137" i="11"/>
  <c r="P64" i="11"/>
  <c r="AC13" i="11"/>
  <c r="L15" i="16"/>
  <c r="S47" i="11"/>
  <c r="T47" i="11"/>
  <c r="L124" i="11"/>
  <c r="P19" i="11"/>
  <c r="L26" i="16"/>
  <c r="K27" i="16"/>
  <c r="L27" i="16"/>
  <c r="BW14" i="11"/>
  <c r="U126" i="11"/>
  <c r="U127" i="11"/>
  <c r="U125" i="11"/>
  <c r="S127" i="11"/>
  <c r="S125" i="11"/>
  <c r="S101" i="11"/>
  <c r="R159" i="11"/>
  <c r="R52" i="11"/>
  <c r="U159" i="11"/>
  <c r="R246" i="11"/>
  <c r="AC26" i="11"/>
  <c r="AC24" i="11"/>
  <c r="S152" i="11"/>
  <c r="S150" i="11"/>
  <c r="K134" i="11"/>
  <c r="Q91" i="11"/>
  <c r="K108" i="11"/>
  <c r="K164" i="11"/>
  <c r="Q153" i="11"/>
  <c r="S159" i="11"/>
  <c r="S156" i="11"/>
  <c r="Q67" i="11"/>
  <c r="T159" i="11"/>
  <c r="V159" i="11"/>
  <c r="U153" i="11"/>
  <c r="U133" i="11"/>
  <c r="S70" i="11"/>
  <c r="I8" i="16"/>
  <c r="K24" i="16"/>
  <c r="L24" i="16"/>
  <c r="K18" i="16"/>
  <c r="L18" i="16"/>
  <c r="K22" i="16"/>
  <c r="L22" i="16"/>
  <c r="K21" i="16"/>
  <c r="L21" i="16"/>
  <c r="K25" i="16"/>
  <c r="L25" i="16"/>
  <c r="S51" i="11"/>
  <c r="K139" i="11"/>
  <c r="K137" i="11"/>
  <c r="K196" i="11"/>
  <c r="K195" i="11"/>
  <c r="K168" i="11"/>
  <c r="S63" i="11"/>
  <c r="S90" i="11"/>
  <c r="Q52" i="11"/>
  <c r="K72" i="11"/>
  <c r="E14" i="17"/>
  <c r="D14" i="17"/>
  <c r="H9" i="17"/>
  <c r="S234" i="20"/>
  <c r="V20" i="17"/>
  <c r="V19" i="17"/>
  <c r="K11" i="16"/>
  <c r="L11" i="16"/>
  <c r="V21" i="17"/>
  <c r="S159" i="20"/>
  <c r="S260" i="20"/>
  <c r="S209" i="20"/>
  <c r="S184" i="20"/>
  <c r="S111" i="20"/>
  <c r="S340" i="20"/>
  <c r="S85" i="20"/>
  <c r="S50" i="20"/>
  <c r="V18" i="17"/>
  <c r="S135" i="20"/>
  <c r="S286" i="20"/>
  <c r="T133" i="11"/>
  <c r="Q145" i="11"/>
  <c r="P67" i="11"/>
  <c r="P66" i="11"/>
  <c r="D29" i="17"/>
  <c r="K14" i="16"/>
  <c r="L14" i="16"/>
  <c r="K16" i="16"/>
  <c r="L16" i="16"/>
  <c r="C262" i="20"/>
  <c r="J20" i="16"/>
  <c r="K20" i="16"/>
  <c r="L20" i="16"/>
  <c r="P89" i="11"/>
  <c r="BT9" i="11"/>
  <c r="J19" i="16"/>
  <c r="K19" i="16"/>
  <c r="L19" i="16"/>
  <c r="J10" i="16"/>
  <c r="K10" i="16"/>
  <c r="L10" i="16"/>
  <c r="J12" i="16"/>
  <c r="K12" i="16"/>
  <c r="L12" i="16"/>
  <c r="R111" i="20"/>
  <c r="R159" i="20"/>
  <c r="R260" i="20"/>
  <c r="R311" i="20"/>
  <c r="R286" i="20"/>
  <c r="J110" i="20"/>
  <c r="D259" i="20"/>
  <c r="J9" i="16"/>
  <c r="K9" i="16"/>
  <c r="L9" i="16"/>
  <c r="J8" i="16"/>
  <c r="E32" i="17"/>
  <c r="D32" i="17"/>
  <c r="H26" i="17"/>
  <c r="G135" i="20"/>
  <c r="G286" i="20"/>
  <c r="G209" i="20"/>
  <c r="Q334" i="20"/>
  <c r="J7" i="16"/>
  <c r="D186" i="20"/>
  <c r="D161" i="20"/>
  <c r="D263" i="20"/>
  <c r="D312" i="20"/>
  <c r="P111" i="20"/>
  <c r="P340" i="20"/>
  <c r="P50" i="20"/>
  <c r="O259" i="20"/>
  <c r="J17" i="16"/>
  <c r="K17" i="16"/>
  <c r="L17" i="16"/>
  <c r="Q112" i="20"/>
  <c r="AC21" i="11"/>
  <c r="AC19" i="11"/>
  <c r="I7" i="16"/>
  <c r="L161" i="20"/>
  <c r="L263" i="20"/>
  <c r="E207" i="20"/>
  <c r="C135" i="20"/>
  <c r="I184" i="20"/>
  <c r="C234" i="20"/>
  <c r="C159" i="20"/>
  <c r="C260" i="20"/>
  <c r="J264" i="20"/>
  <c r="P97" i="11"/>
  <c r="BT11" i="11"/>
  <c r="Q97" i="11"/>
  <c r="BU11" i="11"/>
  <c r="R97" i="11"/>
  <c r="BV11" i="11"/>
  <c r="BT8" i="11"/>
  <c r="L107" i="11"/>
  <c r="CP49" i="11"/>
  <c r="CP77" i="11"/>
  <c r="CO15" i="11"/>
  <c r="CN49" i="11"/>
  <c r="CN77" i="11"/>
  <c r="CM15" i="11"/>
  <c r="CQ49" i="11"/>
  <c r="CQ77" i="11"/>
  <c r="CP15" i="11"/>
  <c r="CO49" i="11"/>
  <c r="CO77" i="11"/>
  <c r="CN15" i="11"/>
  <c r="CM58" i="11"/>
  <c r="CM55" i="11"/>
  <c r="CL12" i="11"/>
  <c r="CL9" i="11"/>
  <c r="S130" i="11"/>
  <c r="BF11" i="11"/>
  <c r="P30" i="11"/>
  <c r="R248" i="11"/>
  <c r="R250" i="11"/>
  <c r="P35" i="11"/>
  <c r="V156" i="11"/>
  <c r="L71" i="11"/>
  <c r="P8" i="11"/>
  <c r="R156" i="11"/>
  <c r="P69" i="11"/>
  <c r="L156" i="11"/>
  <c r="P23" i="11"/>
  <c r="V130" i="11"/>
  <c r="R130" i="11"/>
  <c r="K89" i="11"/>
  <c r="AK13" i="11"/>
  <c r="Q130" i="11"/>
  <c r="S66" i="11"/>
  <c r="Q94" i="11"/>
  <c r="S94" i="11"/>
  <c r="R98" i="11"/>
  <c r="Q98" i="11"/>
  <c r="R149" i="11"/>
  <c r="K163" i="11"/>
  <c r="Q95" i="11"/>
  <c r="S95" i="11"/>
  <c r="BW11" i="11"/>
  <c r="Q60" i="11"/>
  <c r="P60" i="11"/>
  <c r="R60" i="11"/>
  <c r="S93" i="11"/>
  <c r="CN9" i="11"/>
  <c r="R65" i="11"/>
  <c r="S149" i="11"/>
  <c r="S135" i="11"/>
  <c r="S97" i="11"/>
  <c r="BU8" i="11"/>
  <c r="V149" i="11"/>
  <c r="BW9" i="11"/>
  <c r="CO9" i="11"/>
  <c r="Q149" i="11"/>
  <c r="S52" i="11"/>
  <c r="S92" i="11"/>
  <c r="S64" i="11"/>
  <c r="BT12" i="16"/>
  <c r="P9" i="11"/>
  <c r="R88" i="11"/>
  <c r="T149" i="11"/>
  <c r="K191" i="11"/>
  <c r="L140" i="11"/>
  <c r="P21" i="11"/>
  <c r="S67" i="11"/>
  <c r="BW10" i="11"/>
  <c r="L149" i="11"/>
  <c r="P22" i="11"/>
  <c r="U342" i="20"/>
  <c r="U313" i="20"/>
  <c r="U87" i="20"/>
  <c r="U113" i="20"/>
  <c r="R264" i="20"/>
  <c r="K288" i="20"/>
  <c r="J313" i="20"/>
  <c r="O265" i="20"/>
  <c r="J342" i="20"/>
  <c r="J87" i="20"/>
  <c r="K87" i="20"/>
  <c r="K313" i="20"/>
  <c r="K264" i="20"/>
  <c r="N265" i="20"/>
  <c r="J288" i="20"/>
  <c r="D342" i="20"/>
  <c r="K113" i="20"/>
  <c r="L264" i="20"/>
  <c r="M264" i="20"/>
  <c r="N264" i="20"/>
  <c r="G87" i="20"/>
  <c r="P264" i="20"/>
  <c r="R265" i="20"/>
  <c r="R87" i="20"/>
  <c r="H264" i="20"/>
  <c r="J265" i="20"/>
  <c r="F264" i="20"/>
  <c r="K265" i="20"/>
  <c r="D265" i="20"/>
  <c r="Q265" i="20"/>
  <c r="G264" i="20"/>
  <c r="G265" i="20"/>
  <c r="D87" i="20"/>
  <c r="H265" i="20"/>
  <c r="I265" i="20"/>
  <c r="V265" i="20"/>
  <c r="C265" i="20"/>
  <c r="M87" i="20"/>
  <c r="M265" i="20"/>
  <c r="L265" i="20"/>
  <c r="M288" i="20"/>
  <c r="F265" i="20"/>
  <c r="N342" i="20"/>
  <c r="E264" i="20"/>
  <c r="R113" i="20"/>
  <c r="V87" i="20"/>
  <c r="R313" i="20"/>
  <c r="P265" i="20"/>
  <c r="R342" i="20"/>
  <c r="V113" i="20"/>
  <c r="T265" i="20"/>
  <c r="E265" i="20"/>
  <c r="V313" i="20"/>
  <c r="V288" i="20"/>
  <c r="S265" i="20"/>
  <c r="I264" i="20"/>
  <c r="M113" i="20"/>
  <c r="M342" i="20"/>
  <c r="C313" i="20"/>
  <c r="L288" i="20"/>
  <c r="O264" i="20"/>
  <c r="L342" i="20"/>
  <c r="O288" i="20"/>
  <c r="O87" i="20"/>
  <c r="O113" i="20"/>
  <c r="O313" i="20"/>
  <c r="G313" i="20"/>
  <c r="G342" i="20"/>
  <c r="C264" i="20"/>
  <c r="Q288" i="20"/>
  <c r="L113" i="20"/>
  <c r="G113" i="20"/>
  <c r="D264" i="20"/>
  <c r="Q87" i="20"/>
  <c r="U265" i="20"/>
  <c r="N87" i="20"/>
  <c r="N113" i="20"/>
  <c r="N288" i="20"/>
  <c r="L313" i="20"/>
  <c r="Q264" i="20"/>
  <c r="D113" i="20"/>
  <c r="D288" i="20"/>
  <c r="F113" i="20"/>
  <c r="F342" i="20"/>
  <c r="F288" i="20"/>
  <c r="C87" i="20"/>
  <c r="C113" i="20"/>
  <c r="C288" i="20"/>
  <c r="T313" i="20"/>
  <c r="T87" i="20"/>
  <c r="T288" i="20"/>
  <c r="T342" i="20"/>
  <c r="T113" i="20"/>
  <c r="H288" i="20"/>
  <c r="H313" i="20"/>
  <c r="H113" i="20"/>
  <c r="H87" i="20"/>
  <c r="H342" i="20"/>
  <c r="E113" i="20"/>
  <c r="E87" i="20"/>
  <c r="E288" i="20"/>
  <c r="E342" i="20"/>
  <c r="E313" i="20"/>
  <c r="F87" i="20"/>
  <c r="Q342" i="20"/>
  <c r="Q313" i="20"/>
  <c r="I313" i="20"/>
  <c r="I288" i="20"/>
  <c r="I87" i="20"/>
  <c r="I342" i="20"/>
  <c r="I113" i="20"/>
  <c r="R91" i="11"/>
  <c r="S91" i="11"/>
  <c r="L130" i="11"/>
  <c r="P20" i="11"/>
  <c r="CM9" i="11"/>
  <c r="P88" i="11"/>
  <c r="U130" i="11"/>
  <c r="U158" i="11"/>
  <c r="U156" i="11"/>
  <c r="U149" i="11"/>
  <c r="K7" i="16"/>
  <c r="L7" i="16"/>
  <c r="K8" i="16"/>
  <c r="L8" i="16"/>
  <c r="AC18" i="11"/>
  <c r="AF7" i="11"/>
  <c r="K172" i="11"/>
  <c r="L167" i="11"/>
  <c r="P25" i="11"/>
  <c r="S96" i="11"/>
  <c r="P65" i="11"/>
  <c r="S89" i="11"/>
  <c r="S87" i="20"/>
  <c r="S288" i="20"/>
  <c r="S113" i="20"/>
  <c r="S342" i="20"/>
  <c r="S313" i="20"/>
  <c r="Q65" i="11"/>
  <c r="T130" i="11"/>
  <c r="T158" i="11"/>
  <c r="T156" i="11"/>
  <c r="Q69" i="11"/>
  <c r="P7" i="11"/>
  <c r="P288" i="20"/>
  <c r="P313" i="20"/>
  <c r="P342" i="20"/>
  <c r="P113" i="20"/>
  <c r="P87" i="20"/>
  <c r="BW8" i="11"/>
  <c r="V135" i="11"/>
  <c r="R69" i="11"/>
  <c r="CM49" i="11"/>
  <c r="CM77" i="11"/>
  <c r="R135" i="11"/>
  <c r="L67" i="11"/>
  <c r="P6" i="11"/>
  <c r="S98" i="11"/>
  <c r="P61" i="11"/>
  <c r="R61" i="11"/>
  <c r="K210" i="11"/>
  <c r="L208" i="11"/>
  <c r="Q68" i="11"/>
  <c r="P68" i="11"/>
  <c r="P17" i="11"/>
  <c r="L160" i="11"/>
  <c r="P24" i="11"/>
  <c r="S60" i="11"/>
  <c r="P32" i="11"/>
  <c r="Q135" i="11"/>
  <c r="R68" i="11"/>
  <c r="S88" i="11"/>
  <c r="CP9" i="11"/>
  <c r="CQ9" i="11"/>
  <c r="S65" i="11"/>
  <c r="CN14" i="11"/>
  <c r="CN17" i="11"/>
  <c r="CN19" i="11"/>
  <c r="CN20" i="11"/>
  <c r="CQ17" i="11"/>
  <c r="CQ19" i="11"/>
  <c r="CO14" i="11"/>
  <c r="CO17" i="11"/>
  <c r="CO19" i="11"/>
  <c r="CO20" i="11"/>
  <c r="U135" i="11"/>
  <c r="Q61" i="11"/>
  <c r="T135" i="11"/>
  <c r="S124" i="11"/>
  <c r="P62" i="11"/>
  <c r="R62" i="11"/>
  <c r="BT14" i="16"/>
  <c r="Q31" i="11"/>
  <c r="Q30" i="11"/>
  <c r="S61" i="11"/>
  <c r="P33" i="11"/>
  <c r="BC14" i="11"/>
  <c r="S68" i="11"/>
  <c r="Q124" i="11"/>
  <c r="Q161" i="11"/>
  <c r="CQ20" i="11"/>
  <c r="U124" i="11"/>
  <c r="U161" i="11"/>
  <c r="CP14" i="11"/>
  <c r="CP17" i="11"/>
  <c r="CP19" i="11"/>
  <c r="CP20" i="11"/>
  <c r="CM14" i="11"/>
  <c r="CM17" i="11"/>
  <c r="CM19" i="11"/>
  <c r="CM20" i="11"/>
  <c r="CL14" i="11"/>
  <c r="CL17" i="11"/>
  <c r="CL19" i="11"/>
  <c r="CL20" i="11"/>
  <c r="S161" i="11"/>
  <c r="Q59" i="11"/>
  <c r="Q71" i="11"/>
  <c r="Q62" i="11"/>
  <c r="BA7" i="11"/>
  <c r="AC10" i="11"/>
  <c r="AC7" i="11"/>
  <c r="Q18" i="11"/>
  <c r="Q23" i="11"/>
  <c r="Q6" i="11"/>
  <c r="AK9" i="11"/>
  <c r="AS15" i="11"/>
  <c r="Q11" i="11"/>
  <c r="Q36" i="11"/>
  <c r="Q27" i="11"/>
  <c r="Q26" i="11"/>
  <c r="AS17" i="11"/>
  <c r="AT17" i="11"/>
  <c r="Q34" i="11"/>
  <c r="Q22" i="11"/>
  <c r="Q38" i="11"/>
  <c r="Q9" i="11"/>
  <c r="Q19" i="11"/>
  <c r="Q17" i="11"/>
  <c r="Q32" i="11"/>
  <c r="Q8" i="11"/>
  <c r="Q35" i="11"/>
  <c r="Q20" i="11"/>
  <c r="Q21" i="11"/>
  <c r="Q24" i="11"/>
  <c r="Q7" i="11"/>
  <c r="Q25" i="11"/>
  <c r="S62" i="11"/>
  <c r="Q33" i="11"/>
  <c r="P59" i="11"/>
  <c r="R59" i="11"/>
  <c r="R71" i="11"/>
  <c r="BF8" i="11"/>
  <c r="BI12" i="11"/>
  <c r="BI17" i="11"/>
  <c r="BL19" i="11"/>
  <c r="P71" i="11"/>
  <c r="K93" i="11"/>
  <c r="L87" i="11"/>
  <c r="S59" i="11"/>
  <c r="R48" i="11"/>
  <c r="P48" i="11"/>
  <c r="Q48" i="11"/>
  <c r="S48" i="11"/>
  <c r="T48" i="11"/>
  <c r="L88" i="11"/>
  <c r="P13" i="11"/>
  <c r="Q13" i="11"/>
  <c r="AK14" i="11"/>
  <c r="AK12" i="11"/>
  <c r="P12" i="11"/>
  <c r="AC12" i="11"/>
  <c r="L85" i="11"/>
  <c r="L97" i="11"/>
  <c r="P14" i="11"/>
  <c r="Q12" i="11"/>
  <c r="P10" i="11"/>
  <c r="Q10" i="11"/>
  <c r="BA8" i="11"/>
  <c r="BA19" i="11"/>
  <c r="Q14" i="11"/>
  <c r="BC8" i="11"/>
  <c r="G98" i="11"/>
  <c r="P16" i="11"/>
  <c r="Q87" i="11"/>
  <c r="BU7" i="11"/>
  <c r="R87" i="11"/>
  <c r="BV7" i="11"/>
  <c r="P87" i="11"/>
  <c r="K201" i="11"/>
  <c r="P99" i="11"/>
  <c r="BT7" i="11"/>
  <c r="BW7" i="11"/>
  <c r="S87" i="11"/>
  <c r="Q16" i="11"/>
  <c r="BT8" i="16"/>
  <c r="BT17" i="16"/>
  <c r="BU17" i="16"/>
  <c r="L190" i="11"/>
  <c r="L98" i="11"/>
  <c r="R99" i="11"/>
  <c r="BV12" i="11"/>
  <c r="BV13" i="11"/>
  <c r="BV15" i="11"/>
  <c r="Q99" i="11"/>
  <c r="Q100" i="11"/>
  <c r="Q102" i="11"/>
  <c r="Q49" i="11"/>
  <c r="Q50" i="11"/>
  <c r="Q53" i="11"/>
  <c r="BT12" i="11"/>
  <c r="P100" i="11"/>
  <c r="R100" i="11"/>
  <c r="R102" i="11"/>
  <c r="R49" i="11"/>
  <c r="R50" i="11"/>
  <c r="S99" i="11"/>
  <c r="BU12" i="11"/>
  <c r="BU13" i="11"/>
  <c r="BU15" i="11"/>
  <c r="P28" i="11"/>
  <c r="Q28" i="11"/>
  <c r="P102" i="11"/>
  <c r="P49" i="11"/>
  <c r="L204" i="11"/>
  <c r="L212" i="11"/>
  <c r="P15" i="11"/>
  <c r="BT13" i="11"/>
  <c r="S100" i="11"/>
  <c r="BW12" i="11"/>
  <c r="P50" i="11"/>
  <c r="S49" i="11"/>
  <c r="T49" i="11"/>
  <c r="BT15" i="11"/>
  <c r="BW13" i="11"/>
  <c r="BW15" i="11"/>
  <c r="P29" i="11"/>
  <c r="BC11" i="11"/>
  <c r="P42" i="11"/>
  <c r="Q42" i="11"/>
  <c r="Q15" i="11"/>
  <c r="AC14" i="11"/>
  <c r="AC11" i="11"/>
  <c r="P37" i="11"/>
  <c r="L214" i="11"/>
  <c r="P39" i="11"/>
  <c r="Q39" i="11"/>
  <c r="L215" i="11"/>
  <c r="P40" i="11"/>
  <c r="BA10" i="11"/>
  <c r="BT7" i="16"/>
  <c r="BU7" i="16"/>
  <c r="Q37" i="11"/>
  <c r="S50" i="11"/>
  <c r="T50" i="11"/>
  <c r="P53" i="11"/>
  <c r="S53" i="11"/>
  <c r="BA9" i="11"/>
  <c r="BA20" i="11"/>
  <c r="AX7" i="16"/>
  <c r="Q29" i="11"/>
  <c r="L216" i="11"/>
  <c r="P41" i="11"/>
  <c r="AK34" i="11"/>
  <c r="BT13" i="16"/>
  <c r="BU13" i="16"/>
  <c r="BT19" i="16"/>
  <c r="BT15" i="16"/>
  <c r="BU15" i="16"/>
  <c r="BA21" i="11"/>
  <c r="AZ15" i="16"/>
  <c r="BC17" i="11"/>
  <c r="BF14" i="11"/>
  <c r="AX8" i="16"/>
  <c r="BD15" i="16"/>
  <c r="Q40" i="11"/>
  <c r="AC17" i="11"/>
  <c r="AC6" i="11"/>
  <c r="AC38" i="11"/>
  <c r="AC35" i="11"/>
  <c r="AC29" i="11"/>
  <c r="AF8" i="11"/>
  <c r="BI9" i="11"/>
  <c r="BL11" i="11"/>
  <c r="Q41" i="11"/>
  <c r="BA11" i="11"/>
  <c r="BA22" i="11"/>
  <c r="BA11" i="16"/>
  <c r="AX9" i="16"/>
  <c r="AX17" i="16"/>
  <c r="BE7" i="16"/>
  <c r="AS7" i="11"/>
  <c r="AK35" i="11"/>
  <c r="AK33" i="11"/>
  <c r="AL31" i="11"/>
  <c r="AL37" i="11"/>
  <c r="AF6" i="11"/>
  <c r="BA15" i="11"/>
  <c r="AC39" i="11"/>
  <c r="AC41" i="11"/>
  <c r="AK22" i="11"/>
  <c r="AL21" i="11"/>
  <c r="AF9" i="11"/>
  <c r="AF11" i="11"/>
  <c r="BA13" i="11"/>
  <c r="AS14" i="11"/>
  <c r="AS8" i="11"/>
  <c r="AT7" i="11"/>
  <c r="BT20" i="16"/>
  <c r="BU19" i="16"/>
  <c r="AS9" i="11"/>
  <c r="AT9" i="11"/>
  <c r="AC42" i="11"/>
  <c r="AK8" i="11"/>
  <c r="AK7" i="11"/>
  <c r="AL6" i="11"/>
  <c r="AL20" i="11"/>
  <c r="BA12" i="11"/>
  <c r="AS12" i="11"/>
  <c r="AT11" i="11"/>
  <c r="AL25" i="11"/>
  <c r="BF28" i="11"/>
  <c r="BI28" i="11"/>
  <c r="BO19" i="11"/>
  <c r="BA14" i="11"/>
  <c r="AS11" i="11"/>
  <c r="BA17" i="11"/>
  <c r="BA16" i="11"/>
  <c r="AL38" i="11"/>
  <c r="AS16" i="11"/>
  <c r="AT15" i="11"/>
  <c r="BF25" i="11"/>
  <c r="BI25" i="11"/>
  <c r="BL27" i="11"/>
  <c r="AS13" i="11"/>
  <c r="AT13" i="11"/>
  <c r="CM69"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K86" authorId="0" shapeId="0" xr:uid="{00000000-0006-0000-0200-000001000000}">
      <text>
        <r>
          <rPr>
            <b/>
            <sz val="9"/>
            <color indexed="81"/>
            <rFont val="Tahoma"/>
            <family val="2"/>
          </rPr>
          <t>user:</t>
        </r>
        <r>
          <rPr>
            <sz val="9"/>
            <color indexed="81"/>
            <rFont val="Tahoma"/>
            <family val="2"/>
          </rPr>
          <t xml:space="preserve">
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sskim PC</author>
    <author>LG</author>
    <author>sskim</author>
    <author>lg</author>
  </authors>
  <commentList>
    <comment ref="E6" authorId="0" shapeId="0" xr:uid="{00000000-0006-0000-0400-000024000000}">
      <text>
        <r>
          <rPr>
            <b/>
            <sz val="12"/>
            <color indexed="81"/>
            <rFont val="돋움"/>
            <family val="3"/>
            <charset val="129"/>
          </rPr>
          <t>당기</t>
        </r>
        <r>
          <rPr>
            <b/>
            <sz val="12"/>
            <color indexed="81"/>
            <rFont val="Tahoma"/>
            <family val="2"/>
          </rPr>
          <t xml:space="preserve"> </t>
        </r>
        <r>
          <rPr>
            <b/>
            <sz val="12"/>
            <color indexed="81"/>
            <rFont val="돋움"/>
            <family val="3"/>
            <charset val="129"/>
          </rPr>
          <t>예상</t>
        </r>
        <r>
          <rPr>
            <b/>
            <sz val="12"/>
            <color indexed="81"/>
            <rFont val="Tahoma"/>
            <family val="2"/>
          </rPr>
          <t xml:space="preserve"> </t>
        </r>
        <r>
          <rPr>
            <b/>
            <sz val="12"/>
            <color indexed="81"/>
            <rFont val="돋움"/>
            <family val="3"/>
            <charset val="129"/>
          </rPr>
          <t>판매량</t>
        </r>
      </text>
    </comment>
    <comment ref="E7" authorId="0" shapeId="0" xr:uid="{00000000-0006-0000-0400-000025000000}">
      <text>
        <r>
          <rPr>
            <b/>
            <sz val="12"/>
            <color indexed="81"/>
            <rFont val="돋움"/>
            <family val="3"/>
            <charset val="129"/>
          </rPr>
          <t>당기말</t>
        </r>
        <r>
          <rPr>
            <b/>
            <sz val="12"/>
            <color indexed="81"/>
            <rFont val="Tahoma"/>
            <family val="2"/>
          </rPr>
          <t xml:space="preserve"> </t>
        </r>
        <r>
          <rPr>
            <b/>
            <sz val="12"/>
            <color indexed="81"/>
            <rFont val="돋움"/>
            <family val="3"/>
            <charset val="129"/>
          </rPr>
          <t>예상</t>
        </r>
        <r>
          <rPr>
            <b/>
            <sz val="12"/>
            <color indexed="81"/>
            <rFont val="Tahoma"/>
            <family val="2"/>
          </rPr>
          <t xml:space="preserve"> </t>
        </r>
        <r>
          <rPr>
            <b/>
            <sz val="12"/>
            <color indexed="81"/>
            <rFont val="돋움"/>
            <family val="3"/>
            <charset val="129"/>
          </rPr>
          <t>재고량으로</t>
        </r>
        <r>
          <rPr>
            <b/>
            <sz val="12"/>
            <color indexed="81"/>
            <rFont val="Tahoma"/>
            <family val="2"/>
          </rPr>
          <t xml:space="preserve"> 
COO </t>
        </r>
        <r>
          <rPr>
            <b/>
            <sz val="12"/>
            <color indexed="81"/>
            <rFont val="돋움"/>
            <family val="3"/>
            <charset val="129"/>
          </rPr>
          <t>미션에서</t>
        </r>
        <r>
          <rPr>
            <b/>
            <sz val="12"/>
            <color indexed="81"/>
            <rFont val="Tahoma"/>
            <family val="2"/>
          </rPr>
          <t xml:space="preserve"> </t>
        </r>
        <r>
          <rPr>
            <b/>
            <sz val="12"/>
            <color indexed="81"/>
            <rFont val="돋움"/>
            <family val="3"/>
            <charset val="129"/>
          </rPr>
          <t>추정됨</t>
        </r>
      </text>
    </comment>
    <comment ref="E8" authorId="0" shapeId="0" xr:uid="{00000000-0006-0000-0400-000026000000}">
      <text>
        <r>
          <rPr>
            <b/>
            <sz val="12"/>
            <color indexed="81"/>
            <rFont val="돋움"/>
            <family val="3"/>
            <charset val="129"/>
          </rPr>
          <t>판매모델번호</t>
        </r>
        <r>
          <rPr>
            <b/>
            <sz val="12"/>
            <color indexed="81"/>
            <rFont val="Tahoma"/>
            <family val="2"/>
          </rPr>
          <t xml:space="preserve"> </t>
        </r>
        <r>
          <rPr>
            <b/>
            <sz val="12"/>
            <color indexed="81"/>
            <rFont val="돋움"/>
            <family val="3"/>
            <charset val="129"/>
          </rPr>
          <t>변경</t>
        </r>
        <r>
          <rPr>
            <b/>
            <sz val="12"/>
            <color indexed="81"/>
            <rFont val="Tahoma"/>
            <family val="2"/>
          </rPr>
          <t xml:space="preserve"> </t>
        </r>
        <r>
          <rPr>
            <b/>
            <sz val="12"/>
            <color indexed="81"/>
            <rFont val="돋움"/>
            <family val="3"/>
            <charset val="129"/>
          </rPr>
          <t>시</t>
        </r>
        <r>
          <rPr>
            <b/>
            <sz val="12"/>
            <color indexed="81"/>
            <rFont val="Tahoma"/>
            <family val="2"/>
          </rPr>
          <t xml:space="preserve"> </t>
        </r>
        <r>
          <rPr>
            <b/>
            <sz val="12"/>
            <color indexed="81"/>
            <rFont val="돋움"/>
            <family val="3"/>
            <charset val="129"/>
          </rPr>
          <t>개당</t>
        </r>
        <r>
          <rPr>
            <b/>
            <sz val="12"/>
            <color indexed="81"/>
            <rFont val="Tahoma"/>
            <family val="2"/>
          </rPr>
          <t xml:space="preserve"> 28</t>
        </r>
        <r>
          <rPr>
            <b/>
            <sz val="12"/>
            <color indexed="81"/>
            <rFont val="돋움"/>
            <family val="3"/>
            <charset val="129"/>
          </rPr>
          <t>만원씩</t>
        </r>
        <r>
          <rPr>
            <b/>
            <sz val="12"/>
            <color indexed="81"/>
            <rFont val="Tahoma"/>
            <family val="2"/>
          </rPr>
          <t xml:space="preserve"> </t>
        </r>
        <r>
          <rPr>
            <b/>
            <sz val="12"/>
            <color indexed="81"/>
            <rFont val="돋움"/>
            <family val="3"/>
            <charset val="129"/>
          </rPr>
          <t>자동으로</t>
        </r>
        <r>
          <rPr>
            <b/>
            <sz val="12"/>
            <color indexed="81"/>
            <rFont val="Tahoma"/>
            <family val="2"/>
          </rPr>
          <t xml:space="preserve"> </t>
        </r>
        <r>
          <rPr>
            <b/>
            <sz val="12"/>
            <color indexed="81"/>
            <rFont val="돋움"/>
            <family val="3"/>
            <charset val="129"/>
          </rPr>
          <t>처분되는</t>
        </r>
        <r>
          <rPr>
            <b/>
            <sz val="12"/>
            <color indexed="81"/>
            <rFont val="Tahoma"/>
            <family val="2"/>
          </rPr>
          <t xml:space="preserve"> </t>
        </r>
        <r>
          <rPr>
            <b/>
            <sz val="12"/>
            <color indexed="81"/>
            <rFont val="돋움"/>
            <family val="3"/>
            <charset val="129"/>
          </rPr>
          <t>수량</t>
        </r>
        <r>
          <rPr>
            <b/>
            <sz val="12"/>
            <color indexed="81"/>
            <rFont val="Tahoma"/>
            <family val="2"/>
          </rPr>
          <t>(</t>
        </r>
        <r>
          <rPr>
            <b/>
            <sz val="12"/>
            <color indexed="81"/>
            <rFont val="돋움"/>
            <family val="3"/>
            <charset val="129"/>
          </rPr>
          <t>구</t>
        </r>
        <r>
          <rPr>
            <b/>
            <sz val="12"/>
            <color indexed="81"/>
            <rFont val="Tahoma"/>
            <family val="2"/>
          </rPr>
          <t xml:space="preserve"> </t>
        </r>
        <r>
          <rPr>
            <b/>
            <sz val="12"/>
            <color indexed="81"/>
            <rFont val="돋움"/>
            <family val="3"/>
            <charset val="129"/>
          </rPr>
          <t>모델의</t>
        </r>
        <r>
          <rPr>
            <b/>
            <sz val="12"/>
            <color indexed="81"/>
            <rFont val="Tahoma"/>
            <family val="2"/>
          </rPr>
          <t xml:space="preserve"> </t>
        </r>
        <r>
          <rPr>
            <b/>
            <sz val="12"/>
            <color indexed="81"/>
            <rFont val="돋움"/>
            <family val="3"/>
            <charset val="129"/>
          </rPr>
          <t>재고량</t>
        </r>
        <r>
          <rPr>
            <b/>
            <sz val="12"/>
            <color indexed="81"/>
            <rFont val="Tahoma"/>
            <family val="2"/>
          </rPr>
          <t>)</t>
        </r>
      </text>
    </comment>
    <comment ref="AJ8" authorId="0" shapeId="0" xr:uid="{00000000-0006-0000-0400-000001000000}">
      <text>
        <r>
          <rPr>
            <b/>
            <sz val="12"/>
            <color indexed="81"/>
            <rFont val="돋움"/>
            <family val="3"/>
            <charset val="129"/>
          </rPr>
          <t>현금흐름표의 기말현금</t>
        </r>
      </text>
    </comment>
    <comment ref="E9" authorId="1" shapeId="0" xr:uid="{00000000-0006-0000-0400-000027000000}">
      <text>
        <r>
          <rPr>
            <b/>
            <sz val="11"/>
            <color indexed="81"/>
            <rFont val="맑은 고딕"/>
            <family val="3"/>
            <charset val="129"/>
          </rPr>
          <t>B. 산업동향보고서
B2-4. 유통매장수 참고</t>
        </r>
      </text>
    </comment>
    <comment ref="AB9" authorId="2" shapeId="0" xr:uid="{00000000-0006-0000-0400-000002000000}">
      <text>
        <r>
          <rPr>
            <b/>
            <sz val="12"/>
            <color indexed="81"/>
            <rFont val="맑은 고딕"/>
            <family val="3"/>
            <charset val="129"/>
          </rPr>
          <t>전 분기의 매출액의 40%</t>
        </r>
      </text>
    </comment>
    <comment ref="AJ9" authorId="0" shapeId="0" xr:uid="{00000000-0006-0000-0400-000003000000}">
      <text>
        <r>
          <rPr>
            <b/>
            <sz val="12"/>
            <color indexed="81"/>
            <rFont val="돋움"/>
            <family val="3"/>
            <charset val="129"/>
          </rPr>
          <t>당기</t>
        </r>
        <r>
          <rPr>
            <b/>
            <sz val="12"/>
            <color indexed="81"/>
            <rFont val="Tahoma"/>
            <family val="2"/>
          </rPr>
          <t xml:space="preserve"> </t>
        </r>
        <r>
          <rPr>
            <b/>
            <sz val="12"/>
            <color indexed="81"/>
            <rFont val="돋움"/>
            <family val="3"/>
            <charset val="129"/>
          </rPr>
          <t>매출액</t>
        </r>
        <r>
          <rPr>
            <b/>
            <sz val="12"/>
            <color indexed="81"/>
            <rFont val="Tahoma"/>
            <family val="2"/>
          </rPr>
          <t xml:space="preserve"> </t>
        </r>
        <r>
          <rPr>
            <b/>
            <sz val="12"/>
            <color indexed="81"/>
            <rFont val="돋움"/>
            <family val="3"/>
            <charset val="129"/>
          </rPr>
          <t>중</t>
        </r>
        <r>
          <rPr>
            <b/>
            <sz val="12"/>
            <color indexed="81"/>
            <rFont val="Tahoma"/>
            <family val="2"/>
          </rPr>
          <t xml:space="preserve"> </t>
        </r>
        <r>
          <rPr>
            <b/>
            <sz val="12"/>
            <color indexed="81"/>
            <rFont val="돋움"/>
            <family val="3"/>
            <charset val="129"/>
          </rPr>
          <t>차기에</t>
        </r>
        <r>
          <rPr>
            <b/>
            <sz val="12"/>
            <color indexed="81"/>
            <rFont val="Tahoma"/>
            <family val="2"/>
          </rPr>
          <t xml:space="preserve"> </t>
        </r>
        <r>
          <rPr>
            <b/>
            <sz val="12"/>
            <color indexed="81"/>
            <rFont val="돋움"/>
            <family val="3"/>
            <charset val="129"/>
          </rPr>
          <t>들어오는</t>
        </r>
        <r>
          <rPr>
            <b/>
            <sz val="12"/>
            <color indexed="81"/>
            <rFont val="Tahoma"/>
            <family val="2"/>
          </rPr>
          <t xml:space="preserve"> </t>
        </r>
        <r>
          <rPr>
            <b/>
            <sz val="12"/>
            <color indexed="81"/>
            <rFont val="돋움"/>
            <family val="3"/>
            <charset val="129"/>
          </rPr>
          <t xml:space="preserve">채권
</t>
        </r>
        <r>
          <rPr>
            <b/>
            <sz val="12"/>
            <color indexed="81"/>
            <rFont val="Tahoma"/>
            <family val="2"/>
          </rPr>
          <t>=</t>
        </r>
        <r>
          <rPr>
            <b/>
            <sz val="12"/>
            <color indexed="81"/>
            <rFont val="돋움"/>
            <family val="3"/>
            <charset val="129"/>
          </rPr>
          <t>당기매출액</t>
        </r>
        <r>
          <rPr>
            <b/>
            <sz val="12"/>
            <color indexed="81"/>
            <rFont val="Tahoma"/>
            <family val="2"/>
          </rPr>
          <t xml:space="preserve"> * 0.4</t>
        </r>
      </text>
    </comment>
    <comment ref="E10" authorId="3" shapeId="0" xr:uid="{00000000-0006-0000-0400-000028000000}">
      <text>
        <r>
          <rPr>
            <b/>
            <sz val="12"/>
            <color indexed="81"/>
            <rFont val="돋움"/>
            <family val="3"/>
            <charset val="129"/>
          </rPr>
          <t>전분기</t>
        </r>
        <r>
          <rPr>
            <b/>
            <sz val="12"/>
            <color indexed="81"/>
            <rFont val="Tahoma"/>
            <family val="2"/>
          </rPr>
          <t xml:space="preserve"> </t>
        </r>
        <r>
          <rPr>
            <b/>
            <sz val="12"/>
            <color indexed="81"/>
            <rFont val="돋움"/>
            <family val="3"/>
            <charset val="129"/>
          </rPr>
          <t>유톰매장</t>
        </r>
        <r>
          <rPr>
            <b/>
            <sz val="12"/>
            <color indexed="81"/>
            <rFont val="Tahoma"/>
            <family val="2"/>
          </rPr>
          <t xml:space="preserve"> </t>
        </r>
        <r>
          <rPr>
            <b/>
            <sz val="12"/>
            <color indexed="81"/>
            <rFont val="돋움"/>
            <family val="3"/>
            <charset val="129"/>
          </rPr>
          <t>수에</t>
        </r>
        <r>
          <rPr>
            <b/>
            <sz val="12"/>
            <color indexed="81"/>
            <rFont val="Tahoma"/>
            <family val="2"/>
          </rPr>
          <t xml:space="preserve"> </t>
        </r>
        <r>
          <rPr>
            <b/>
            <sz val="12"/>
            <color indexed="81"/>
            <rFont val="돋움"/>
            <family val="3"/>
            <charset val="129"/>
          </rPr>
          <t>현분기에</t>
        </r>
        <r>
          <rPr>
            <b/>
            <sz val="12"/>
            <color indexed="81"/>
            <rFont val="Tahoma"/>
            <family val="2"/>
          </rPr>
          <t xml:space="preserve"> </t>
        </r>
        <r>
          <rPr>
            <b/>
            <sz val="12"/>
            <color indexed="81"/>
            <rFont val="돋움"/>
            <family val="3"/>
            <charset val="129"/>
          </rPr>
          <t>신설하거나</t>
        </r>
        <r>
          <rPr>
            <b/>
            <sz val="12"/>
            <color indexed="81"/>
            <rFont val="Tahoma"/>
            <family val="2"/>
          </rPr>
          <t xml:space="preserve"> </t>
        </r>
        <r>
          <rPr>
            <b/>
            <sz val="12"/>
            <color indexed="81"/>
            <rFont val="돋움"/>
            <family val="3"/>
            <charset val="129"/>
          </rPr>
          <t>폐쇄하는</t>
        </r>
        <r>
          <rPr>
            <b/>
            <sz val="12"/>
            <color indexed="81"/>
            <rFont val="Tahoma"/>
            <family val="2"/>
          </rPr>
          <t xml:space="preserve"> </t>
        </r>
        <r>
          <rPr>
            <b/>
            <sz val="12"/>
            <color indexed="81"/>
            <rFont val="돋움"/>
            <family val="3"/>
            <charset val="129"/>
          </rPr>
          <t>매장을</t>
        </r>
        <r>
          <rPr>
            <b/>
            <sz val="12"/>
            <color indexed="81"/>
            <rFont val="Tahoma"/>
            <family val="2"/>
          </rPr>
          <t xml:space="preserve"> </t>
        </r>
        <r>
          <rPr>
            <b/>
            <sz val="12"/>
            <color indexed="81"/>
            <rFont val="돋움"/>
            <family val="3"/>
            <charset val="129"/>
          </rPr>
          <t>증감시킨</t>
        </r>
        <r>
          <rPr>
            <b/>
            <sz val="12"/>
            <color indexed="81"/>
            <rFont val="Tahoma"/>
            <family val="2"/>
          </rPr>
          <t xml:space="preserve"> </t>
        </r>
        <r>
          <rPr>
            <b/>
            <sz val="12"/>
            <color indexed="81"/>
            <rFont val="돋움"/>
            <family val="3"/>
            <charset val="129"/>
          </rPr>
          <t>양</t>
        </r>
        <r>
          <rPr>
            <b/>
            <sz val="12"/>
            <color indexed="81"/>
            <rFont val="Tahoma"/>
            <family val="2"/>
          </rPr>
          <t xml:space="preserve">
</t>
        </r>
      </text>
    </comment>
    <comment ref="AB10" authorId="2" shapeId="0" xr:uid="{00000000-0006-0000-0400-000004000000}">
      <text>
        <r>
          <rPr>
            <b/>
            <sz val="12"/>
            <color indexed="81"/>
            <rFont val="돋움"/>
            <family val="3"/>
            <charset val="129"/>
          </rPr>
          <t>현분기 매출액의 60%</t>
        </r>
        <r>
          <rPr>
            <sz val="9"/>
            <color indexed="81"/>
            <rFont val="Tahoma"/>
            <family val="2"/>
          </rPr>
          <t xml:space="preserve">
</t>
        </r>
      </text>
    </comment>
    <comment ref="AJ10" authorId="0" shapeId="0" xr:uid="{00000000-0006-0000-0400-000005000000}">
      <text>
        <r>
          <rPr>
            <b/>
            <sz val="12"/>
            <color indexed="81"/>
            <rFont val="돋움"/>
            <family val="3"/>
            <charset val="129"/>
          </rPr>
          <t>당기</t>
        </r>
        <r>
          <rPr>
            <b/>
            <sz val="12"/>
            <color indexed="81"/>
            <rFont val="Tahoma"/>
            <family val="2"/>
          </rPr>
          <t xml:space="preserve"> </t>
        </r>
        <r>
          <rPr>
            <b/>
            <sz val="12"/>
            <color indexed="81"/>
            <rFont val="돋움"/>
            <family val="3"/>
            <charset val="129"/>
          </rPr>
          <t>양도성예금증서</t>
        </r>
        <r>
          <rPr>
            <b/>
            <sz val="12"/>
            <color indexed="81"/>
            <rFont val="Tahoma"/>
            <family val="2"/>
          </rPr>
          <t xml:space="preserve"> </t>
        </r>
        <r>
          <rPr>
            <b/>
            <sz val="12"/>
            <color indexed="81"/>
            <rFont val="돋움"/>
            <family val="3"/>
            <charset val="129"/>
          </rPr>
          <t>투자액</t>
        </r>
      </text>
    </comment>
    <comment ref="E11" authorId="3" shapeId="0" xr:uid="{00000000-0006-0000-0400-000029000000}">
      <text>
        <r>
          <rPr>
            <b/>
            <sz val="12"/>
            <color indexed="81"/>
            <rFont val="돋움"/>
            <family val="3"/>
            <charset val="129"/>
          </rPr>
          <t>당기에</t>
        </r>
        <r>
          <rPr>
            <b/>
            <sz val="12"/>
            <color indexed="81"/>
            <rFont val="Tahoma"/>
            <family val="2"/>
          </rPr>
          <t xml:space="preserve"> </t>
        </r>
        <r>
          <rPr>
            <b/>
            <sz val="12"/>
            <color indexed="81"/>
            <rFont val="돋움"/>
            <family val="3"/>
            <charset val="129"/>
          </rPr>
          <t>생산할</t>
        </r>
        <r>
          <rPr>
            <b/>
            <sz val="12"/>
            <color indexed="81"/>
            <rFont val="Tahoma"/>
            <family val="2"/>
          </rPr>
          <t xml:space="preserve"> </t>
        </r>
        <r>
          <rPr>
            <b/>
            <sz val="12"/>
            <color indexed="81"/>
            <rFont val="돋움"/>
            <family val="3"/>
            <charset val="129"/>
          </rPr>
          <t>예상</t>
        </r>
        <r>
          <rPr>
            <b/>
            <sz val="12"/>
            <color indexed="81"/>
            <rFont val="Tahoma"/>
            <family val="2"/>
          </rPr>
          <t xml:space="preserve"> </t>
        </r>
        <r>
          <rPr>
            <b/>
            <sz val="12"/>
            <color indexed="81"/>
            <rFont val="돋움"/>
            <family val="3"/>
            <charset val="129"/>
          </rPr>
          <t>생산량임</t>
        </r>
        <r>
          <rPr>
            <b/>
            <sz val="12"/>
            <color indexed="81"/>
            <rFont val="Tahoma"/>
            <family val="2"/>
          </rPr>
          <t xml:space="preserve"> </t>
        </r>
      </text>
    </comment>
    <comment ref="O11" authorId="3" shapeId="0" xr:uid="{00000000-0006-0000-0400-000006000000}">
      <text>
        <r>
          <rPr>
            <b/>
            <sz val="12"/>
            <color indexed="81"/>
            <rFont val="돋움"/>
            <family val="3"/>
            <charset val="129"/>
          </rPr>
          <t>기초</t>
        </r>
        <r>
          <rPr>
            <b/>
            <sz val="12"/>
            <color indexed="81"/>
            <rFont val="Tahoma"/>
            <family val="2"/>
          </rPr>
          <t xml:space="preserve"> </t>
        </r>
        <r>
          <rPr>
            <b/>
            <sz val="12"/>
            <color indexed="81"/>
            <rFont val="돋움"/>
            <family val="3"/>
            <charset val="129"/>
          </rPr>
          <t>제품</t>
        </r>
        <r>
          <rPr>
            <b/>
            <sz val="12"/>
            <color indexed="81"/>
            <rFont val="Tahoma"/>
            <family val="2"/>
          </rPr>
          <t xml:space="preserve"> </t>
        </r>
        <r>
          <rPr>
            <b/>
            <sz val="12"/>
            <color indexed="81"/>
            <rFont val="돋움"/>
            <family val="3"/>
            <charset val="129"/>
          </rPr>
          <t>재고액은</t>
        </r>
        <r>
          <rPr>
            <b/>
            <sz val="12"/>
            <color indexed="81"/>
            <rFont val="Tahoma"/>
            <family val="2"/>
          </rPr>
          <t xml:space="preserve"> </t>
        </r>
        <r>
          <rPr>
            <b/>
            <sz val="12"/>
            <color indexed="81"/>
            <rFont val="돋움"/>
            <family val="3"/>
            <charset val="129"/>
          </rPr>
          <t>전기</t>
        </r>
        <r>
          <rPr>
            <b/>
            <sz val="12"/>
            <color indexed="81"/>
            <rFont val="Tahoma"/>
            <family val="2"/>
          </rPr>
          <t xml:space="preserve"> </t>
        </r>
        <r>
          <rPr>
            <b/>
            <sz val="12"/>
            <color indexed="81"/>
            <rFont val="돋움"/>
            <family val="3"/>
            <charset val="129"/>
          </rPr>
          <t>기말제품</t>
        </r>
        <r>
          <rPr>
            <b/>
            <sz val="12"/>
            <color indexed="81"/>
            <rFont val="Tahoma"/>
            <family val="2"/>
          </rPr>
          <t xml:space="preserve"> </t>
        </r>
        <r>
          <rPr>
            <b/>
            <sz val="12"/>
            <color indexed="81"/>
            <rFont val="돋움"/>
            <family val="3"/>
            <charset val="129"/>
          </rPr>
          <t>재고액임</t>
        </r>
        <r>
          <rPr>
            <b/>
            <sz val="12"/>
            <color indexed="81"/>
            <rFont val="Tahoma"/>
            <family val="2"/>
          </rPr>
          <t xml:space="preserve"> </t>
        </r>
        <r>
          <rPr>
            <sz val="12"/>
            <color indexed="81"/>
            <rFont val="Tahoma"/>
            <family val="2"/>
          </rPr>
          <t xml:space="preserve">
</t>
        </r>
      </text>
    </comment>
    <comment ref="E12" authorId="0" shapeId="0" xr:uid="{00000000-0006-0000-0400-00002A000000}">
      <text>
        <r>
          <rPr>
            <b/>
            <sz val="11"/>
            <color indexed="81"/>
            <rFont val="돋움"/>
            <family val="3"/>
            <charset val="129"/>
          </rPr>
          <t>공장에서</t>
        </r>
        <r>
          <rPr>
            <b/>
            <sz val="11"/>
            <color indexed="81"/>
            <rFont val="Tahoma"/>
            <family val="2"/>
          </rPr>
          <t xml:space="preserve"> </t>
        </r>
        <r>
          <rPr>
            <b/>
            <sz val="11"/>
            <color indexed="81"/>
            <rFont val="돋움"/>
            <family val="3"/>
            <charset val="129"/>
          </rPr>
          <t>영업본부로</t>
        </r>
        <r>
          <rPr>
            <b/>
            <sz val="11"/>
            <color indexed="81"/>
            <rFont val="Tahoma"/>
            <family val="2"/>
          </rPr>
          <t xml:space="preserve"> </t>
        </r>
        <r>
          <rPr>
            <b/>
            <sz val="11"/>
            <color indexed="81"/>
            <rFont val="돋움"/>
            <family val="3"/>
            <charset val="129"/>
          </rPr>
          <t>입고되는</t>
        </r>
        <r>
          <rPr>
            <b/>
            <sz val="11"/>
            <color indexed="81"/>
            <rFont val="Tahoma"/>
            <family val="2"/>
          </rPr>
          <t xml:space="preserve"> </t>
        </r>
        <r>
          <rPr>
            <b/>
            <sz val="11"/>
            <color indexed="81"/>
            <rFont val="돋움"/>
            <family val="3"/>
            <charset val="129"/>
          </rPr>
          <t>예상량으로</t>
        </r>
        <r>
          <rPr>
            <b/>
            <sz val="11"/>
            <color indexed="81"/>
            <rFont val="Tahoma"/>
            <family val="2"/>
          </rPr>
          <t xml:space="preserve"> 
COO </t>
        </r>
        <r>
          <rPr>
            <b/>
            <sz val="11"/>
            <color indexed="81"/>
            <rFont val="돋움"/>
            <family val="3"/>
            <charset val="129"/>
          </rPr>
          <t>미션에서</t>
        </r>
        <r>
          <rPr>
            <b/>
            <sz val="11"/>
            <color indexed="81"/>
            <rFont val="Tahoma"/>
            <family val="2"/>
          </rPr>
          <t xml:space="preserve"> </t>
        </r>
        <r>
          <rPr>
            <b/>
            <sz val="11"/>
            <color indexed="81"/>
            <rFont val="돋움"/>
            <family val="3"/>
            <charset val="129"/>
          </rPr>
          <t>추정됨</t>
        </r>
      </text>
    </comment>
    <comment ref="AB12" authorId="2" shapeId="0" xr:uid="{00000000-0006-0000-0400-000007000000}">
      <text>
        <r>
          <rPr>
            <b/>
            <sz val="12"/>
            <color indexed="81"/>
            <rFont val="돋움"/>
            <family val="3"/>
            <charset val="129"/>
          </rPr>
          <t>손익계산서의 당분기 생산원가의 추정치</t>
        </r>
      </text>
    </comment>
    <comment ref="F13" authorId="0" shapeId="0" xr:uid="{00000000-0006-0000-0400-00002B000000}">
      <text>
        <r>
          <rPr>
            <b/>
            <sz val="9"/>
            <color indexed="81"/>
            <rFont val="맑은 고딕"/>
            <family val="3"/>
            <charset val="129"/>
          </rPr>
          <t>한국공장 -&gt;한국영업본부</t>
        </r>
      </text>
    </comment>
    <comment ref="G13" authorId="0" shapeId="0" xr:uid="{00000000-0006-0000-0400-00002C000000}">
      <text>
        <r>
          <rPr>
            <b/>
            <sz val="9"/>
            <color indexed="81"/>
            <rFont val="맑은 고딕"/>
            <family val="3"/>
            <charset val="129"/>
          </rPr>
          <t>한국공장 -&gt;미국영업본부</t>
        </r>
      </text>
    </comment>
    <comment ref="H13" authorId="0" shapeId="0" xr:uid="{00000000-0006-0000-0400-00002D000000}">
      <text>
        <r>
          <rPr>
            <b/>
            <sz val="9"/>
            <color indexed="81"/>
            <rFont val="맑은 고딕"/>
            <family val="3"/>
            <charset val="129"/>
          </rPr>
          <t>한국공장 -&gt;중국영업본부</t>
        </r>
      </text>
    </comment>
    <comment ref="AB13" authorId="2" shapeId="0" xr:uid="{00000000-0006-0000-0400-000008000000}">
      <text>
        <r>
          <rPr>
            <b/>
            <sz val="12"/>
            <color indexed="81"/>
            <rFont val="돋움"/>
            <family val="3"/>
            <charset val="129"/>
          </rPr>
          <t xml:space="preserve">공장 및 생산 설비의 감가 상각비 </t>
        </r>
      </text>
    </comment>
    <comment ref="G14" authorId="0" shapeId="0" xr:uid="{00000000-0006-0000-0400-00002E000000}">
      <text>
        <r>
          <rPr>
            <b/>
            <sz val="9"/>
            <color indexed="81"/>
            <rFont val="맑은 고딕"/>
            <family val="3"/>
            <charset val="129"/>
          </rPr>
          <t>미국공장 -&gt;미국영업본부</t>
        </r>
      </text>
    </comment>
    <comment ref="AB14" authorId="2" shapeId="0" xr:uid="{00000000-0006-0000-0400-000009000000}">
      <text>
        <r>
          <rPr>
            <b/>
            <sz val="12"/>
            <color indexed="81"/>
            <rFont val="돋움"/>
            <family val="3"/>
            <charset val="129"/>
          </rPr>
          <t xml:space="preserve">손익계산서의 판매 및 관리비 </t>
        </r>
      </text>
    </comment>
    <comment ref="AJ14" authorId="0" shapeId="0" xr:uid="{00000000-0006-0000-0400-00000A000000}">
      <text>
        <r>
          <rPr>
            <b/>
            <sz val="12"/>
            <color indexed="81"/>
            <rFont val="돋움"/>
            <family val="3"/>
            <charset val="129"/>
          </rPr>
          <t>=기말제품재고액</t>
        </r>
      </text>
    </comment>
    <comment ref="H15" authorId="0" shapeId="0" xr:uid="{00000000-0006-0000-0400-00002F000000}">
      <text>
        <r>
          <rPr>
            <b/>
            <sz val="9"/>
            <color indexed="81"/>
            <rFont val="맑은 고딕"/>
            <family val="3"/>
            <charset val="129"/>
          </rPr>
          <t>중국공장 -&gt;중국영업본부</t>
        </r>
      </text>
    </comment>
    <comment ref="AB15" authorId="0" shapeId="0" xr:uid="{00000000-0006-0000-0400-00000B000000}">
      <text>
        <r>
          <rPr>
            <b/>
            <sz val="11"/>
            <color indexed="81"/>
            <rFont val="돋움"/>
            <family val="3"/>
            <charset val="129"/>
          </rPr>
          <t>양도성예금증서</t>
        </r>
        <r>
          <rPr>
            <b/>
            <sz val="11"/>
            <color indexed="81"/>
            <rFont val="Tahoma"/>
            <family val="2"/>
          </rPr>
          <t xml:space="preserve"> </t>
        </r>
        <r>
          <rPr>
            <b/>
            <sz val="11"/>
            <color indexed="81"/>
            <rFont val="돋움"/>
            <family val="3"/>
            <charset val="129"/>
          </rPr>
          <t>투자에</t>
        </r>
        <r>
          <rPr>
            <b/>
            <sz val="11"/>
            <color indexed="81"/>
            <rFont val="Tahoma"/>
            <family val="2"/>
          </rPr>
          <t xml:space="preserve"> </t>
        </r>
        <r>
          <rPr>
            <b/>
            <sz val="11"/>
            <color indexed="81"/>
            <rFont val="돋움"/>
            <family val="3"/>
            <charset val="129"/>
          </rPr>
          <t>따른</t>
        </r>
        <r>
          <rPr>
            <b/>
            <sz val="11"/>
            <color indexed="81"/>
            <rFont val="Tahoma"/>
            <family val="2"/>
          </rPr>
          <t xml:space="preserve"> </t>
        </r>
        <r>
          <rPr>
            <b/>
            <sz val="11"/>
            <color indexed="81"/>
            <rFont val="돋움"/>
            <family val="3"/>
            <charset val="129"/>
          </rPr>
          <t>이자수익</t>
        </r>
      </text>
    </comment>
    <comment ref="AB16" authorId="0" shapeId="0" xr:uid="{00000000-0006-0000-0400-00000C000000}">
      <text>
        <r>
          <rPr>
            <b/>
            <sz val="11"/>
            <color indexed="81"/>
            <rFont val="돋움"/>
            <family val="3"/>
            <charset val="129"/>
          </rPr>
          <t xml:space="preserve">차입금과 신용등급에 따른 이자비용 </t>
        </r>
      </text>
    </comment>
    <comment ref="AJ17" authorId="0" shapeId="0" xr:uid="{00000000-0006-0000-0400-00000D000000}">
      <text>
        <r>
          <rPr>
            <b/>
            <sz val="12"/>
            <color indexed="81"/>
            <rFont val="돋움"/>
            <family val="3"/>
            <charset val="129"/>
          </rPr>
          <t>취득가의</t>
        </r>
        <r>
          <rPr>
            <b/>
            <sz val="12"/>
            <color indexed="81"/>
            <rFont val="Tahoma"/>
            <family val="2"/>
          </rPr>
          <t xml:space="preserve"> 4%</t>
        </r>
        <r>
          <rPr>
            <b/>
            <sz val="12"/>
            <color indexed="81"/>
            <rFont val="돋움"/>
            <family val="3"/>
            <charset val="129"/>
          </rPr>
          <t>씩</t>
        </r>
        <r>
          <rPr>
            <b/>
            <sz val="12"/>
            <color indexed="81"/>
            <rFont val="Tahoma"/>
            <family val="2"/>
          </rPr>
          <t xml:space="preserve"> </t>
        </r>
        <r>
          <rPr>
            <b/>
            <sz val="12"/>
            <color indexed="81"/>
            <rFont val="돋움"/>
            <family val="3"/>
            <charset val="129"/>
          </rPr>
          <t>매</t>
        </r>
        <r>
          <rPr>
            <b/>
            <sz val="12"/>
            <color indexed="81"/>
            <rFont val="Tahoma"/>
            <family val="2"/>
          </rPr>
          <t xml:space="preserve"> </t>
        </r>
        <r>
          <rPr>
            <b/>
            <sz val="12"/>
            <color indexed="81"/>
            <rFont val="돋움"/>
            <family val="3"/>
            <charset val="129"/>
          </rPr>
          <t>기</t>
        </r>
        <r>
          <rPr>
            <b/>
            <sz val="12"/>
            <color indexed="81"/>
            <rFont val="Tahoma"/>
            <family val="2"/>
          </rPr>
          <t xml:space="preserve"> </t>
        </r>
        <r>
          <rPr>
            <b/>
            <sz val="12"/>
            <color indexed="81"/>
            <rFont val="돋움"/>
            <family val="3"/>
            <charset val="129"/>
          </rPr>
          <t>감가상각</t>
        </r>
        <r>
          <rPr>
            <b/>
            <sz val="12"/>
            <color indexed="81"/>
            <rFont val="Tahoma"/>
            <family val="2"/>
          </rPr>
          <t xml:space="preserve"> </t>
        </r>
        <r>
          <rPr>
            <b/>
            <sz val="12"/>
            <color indexed="81"/>
            <rFont val="돋움"/>
            <family val="3"/>
            <charset val="129"/>
          </rPr>
          <t xml:space="preserve">됨
</t>
        </r>
        <r>
          <rPr>
            <b/>
            <sz val="12"/>
            <color indexed="81"/>
            <rFont val="Tahoma"/>
            <family val="2"/>
          </rPr>
          <t>3</t>
        </r>
        <r>
          <rPr>
            <b/>
            <sz val="12"/>
            <color indexed="81"/>
            <rFont val="돋움"/>
            <family val="3"/>
            <charset val="129"/>
          </rPr>
          <t>차년도</t>
        </r>
        <r>
          <rPr>
            <b/>
            <sz val="12"/>
            <color indexed="81"/>
            <rFont val="Tahoma"/>
            <family val="2"/>
          </rPr>
          <t xml:space="preserve"> 4</t>
        </r>
        <r>
          <rPr>
            <b/>
            <sz val="12"/>
            <color indexed="81"/>
            <rFont val="돋움"/>
            <family val="3"/>
            <charset val="129"/>
          </rPr>
          <t>분기</t>
        </r>
        <r>
          <rPr>
            <b/>
            <sz val="12"/>
            <color indexed="81"/>
            <rFont val="Tahoma"/>
            <family val="2"/>
          </rPr>
          <t xml:space="preserve"> </t>
        </r>
        <r>
          <rPr>
            <b/>
            <sz val="12"/>
            <color indexed="81"/>
            <rFont val="돋움"/>
            <family val="3"/>
            <charset val="129"/>
          </rPr>
          <t>기준</t>
        </r>
        <r>
          <rPr>
            <b/>
            <sz val="12"/>
            <color indexed="81"/>
            <rFont val="Tahoma"/>
            <family val="2"/>
          </rPr>
          <t xml:space="preserve"> </t>
        </r>
        <r>
          <rPr>
            <b/>
            <sz val="12"/>
            <color indexed="81"/>
            <rFont val="돋움"/>
            <family val="3"/>
            <charset val="129"/>
          </rPr>
          <t>한국</t>
        </r>
        <r>
          <rPr>
            <b/>
            <sz val="12"/>
            <color indexed="81"/>
            <rFont val="Tahoma"/>
            <family val="2"/>
          </rPr>
          <t xml:space="preserve"> </t>
        </r>
        <r>
          <rPr>
            <b/>
            <sz val="12"/>
            <color indexed="81"/>
            <rFont val="돋움"/>
            <family val="3"/>
            <charset val="129"/>
          </rPr>
          <t>공장의</t>
        </r>
        <r>
          <rPr>
            <b/>
            <sz val="12"/>
            <color indexed="81"/>
            <rFont val="Tahoma"/>
            <family val="2"/>
          </rPr>
          <t xml:space="preserve"> </t>
        </r>
        <r>
          <rPr>
            <b/>
            <sz val="12"/>
            <color indexed="81"/>
            <rFont val="돋움"/>
            <family val="3"/>
            <charset val="129"/>
          </rPr>
          <t>기말</t>
        </r>
        <r>
          <rPr>
            <b/>
            <sz val="12"/>
            <color indexed="81"/>
            <rFont val="Tahoma"/>
            <family val="2"/>
          </rPr>
          <t xml:space="preserve"> </t>
        </r>
        <r>
          <rPr>
            <b/>
            <sz val="12"/>
            <color indexed="81"/>
            <rFont val="돋움"/>
            <family val="3"/>
            <charset val="129"/>
          </rPr>
          <t>장부가는</t>
        </r>
        <r>
          <rPr>
            <b/>
            <sz val="12"/>
            <color indexed="81"/>
            <rFont val="Tahoma"/>
            <family val="2"/>
          </rPr>
          <t xml:space="preserve"> 52</t>
        </r>
        <r>
          <rPr>
            <b/>
            <sz val="12"/>
            <color indexed="81"/>
            <rFont val="돋움"/>
            <family val="3"/>
            <charset val="129"/>
          </rPr>
          <t>억이며</t>
        </r>
        <r>
          <rPr>
            <b/>
            <sz val="12"/>
            <color indexed="81"/>
            <rFont val="Tahoma"/>
            <family val="2"/>
          </rPr>
          <t xml:space="preserve"> </t>
        </r>
        <r>
          <rPr>
            <b/>
            <sz val="12"/>
            <color indexed="81"/>
            <rFont val="돋움"/>
            <family val="3"/>
            <charset val="129"/>
          </rPr>
          <t>매</t>
        </r>
        <r>
          <rPr>
            <b/>
            <sz val="12"/>
            <color indexed="81"/>
            <rFont val="Tahoma"/>
            <family val="2"/>
          </rPr>
          <t xml:space="preserve"> </t>
        </r>
        <r>
          <rPr>
            <b/>
            <sz val="12"/>
            <color indexed="81"/>
            <rFont val="돋움"/>
            <family val="3"/>
            <charset val="129"/>
          </rPr>
          <t>기</t>
        </r>
        <r>
          <rPr>
            <b/>
            <sz val="12"/>
            <color indexed="81"/>
            <rFont val="Tahoma"/>
            <family val="2"/>
          </rPr>
          <t xml:space="preserve">  4</t>
        </r>
        <r>
          <rPr>
            <b/>
            <sz val="12"/>
            <color indexed="81"/>
            <rFont val="돋움"/>
            <family val="3"/>
            <charset val="129"/>
          </rPr>
          <t>억씩</t>
        </r>
        <r>
          <rPr>
            <b/>
            <sz val="12"/>
            <color indexed="81"/>
            <rFont val="Tahoma"/>
            <family val="2"/>
          </rPr>
          <t xml:space="preserve"> </t>
        </r>
        <r>
          <rPr>
            <b/>
            <sz val="12"/>
            <color indexed="81"/>
            <rFont val="돋움"/>
            <family val="3"/>
            <charset val="129"/>
          </rPr>
          <t>감가상각</t>
        </r>
        <r>
          <rPr>
            <b/>
            <sz val="12"/>
            <color indexed="81"/>
            <rFont val="Tahoma"/>
            <family val="2"/>
          </rPr>
          <t xml:space="preserve"> </t>
        </r>
        <r>
          <rPr>
            <b/>
            <sz val="12"/>
            <color indexed="81"/>
            <rFont val="돋움"/>
            <family val="3"/>
            <charset val="129"/>
          </rPr>
          <t>되고</t>
        </r>
        <r>
          <rPr>
            <b/>
            <sz val="12"/>
            <color indexed="81"/>
            <rFont val="Tahoma"/>
            <family val="2"/>
          </rPr>
          <t xml:space="preserve"> </t>
        </r>
        <r>
          <rPr>
            <b/>
            <sz val="12"/>
            <color indexed="81"/>
            <rFont val="돋움"/>
            <family val="3"/>
            <charset val="129"/>
          </rPr>
          <t>있음</t>
        </r>
      </text>
    </comment>
    <comment ref="AJ18" authorId="0" shapeId="0" xr:uid="{00000000-0006-0000-0400-00000E000000}">
      <text>
        <r>
          <rPr>
            <b/>
            <sz val="12"/>
            <color indexed="81"/>
            <rFont val="돋움"/>
            <family val="3"/>
            <charset val="129"/>
          </rPr>
          <t>취득가의 5%씩 매 기 감가상각 됨
3차년도 4분기 기준 한국 6개 정규 생산라인에 대한 기말 
장부가는 48억이며 매 기 라인당 1억씩 감가상각 되고 있음</t>
        </r>
      </text>
    </comment>
    <comment ref="AJ19" authorId="2" shapeId="0" xr:uid="{00000000-0006-0000-0400-000010000000}">
      <text>
        <r>
          <rPr>
            <b/>
            <sz val="12"/>
            <color indexed="81"/>
            <rFont val="돋움"/>
            <family val="3"/>
            <charset val="129"/>
          </rPr>
          <t>투자자산은</t>
        </r>
        <r>
          <rPr>
            <b/>
            <sz val="12"/>
            <color indexed="81"/>
            <rFont val="Tahoma"/>
            <family val="2"/>
          </rPr>
          <t xml:space="preserve"> </t>
        </r>
        <r>
          <rPr>
            <b/>
            <sz val="12"/>
            <color indexed="81"/>
            <rFont val="돋움"/>
            <family val="3"/>
            <charset val="129"/>
          </rPr>
          <t>없음</t>
        </r>
      </text>
    </comment>
    <comment ref="CD19" authorId="0" shapeId="0" xr:uid="{00000000-0006-0000-0600-000001000000}">
      <text>
        <r>
          <rPr>
            <b/>
            <sz val="9"/>
            <color indexed="81"/>
            <rFont val="돋움"/>
            <family val="3"/>
            <charset val="129"/>
          </rPr>
          <t>각</t>
        </r>
        <r>
          <rPr>
            <b/>
            <sz val="9"/>
            <color indexed="81"/>
            <rFont val="Tahoma"/>
            <family val="2"/>
          </rPr>
          <t xml:space="preserve"> </t>
        </r>
        <r>
          <rPr>
            <b/>
            <sz val="9"/>
            <color indexed="81"/>
            <rFont val="돋움"/>
            <family val="3"/>
            <charset val="129"/>
          </rPr>
          <t>시장별</t>
        </r>
        <r>
          <rPr>
            <b/>
            <sz val="9"/>
            <color indexed="81"/>
            <rFont val="Tahoma"/>
            <family val="2"/>
          </rPr>
          <t xml:space="preserve"> </t>
        </r>
        <r>
          <rPr>
            <b/>
            <sz val="9"/>
            <color indexed="81"/>
            <rFont val="돋움"/>
            <family val="3"/>
            <charset val="129"/>
          </rPr>
          <t>소비자</t>
        </r>
        <r>
          <rPr>
            <b/>
            <sz val="9"/>
            <color indexed="81"/>
            <rFont val="Tahoma"/>
            <family val="2"/>
          </rPr>
          <t xml:space="preserve"> </t>
        </r>
        <r>
          <rPr>
            <b/>
            <sz val="9"/>
            <color indexed="81"/>
            <rFont val="돋움"/>
            <family val="3"/>
            <charset val="129"/>
          </rPr>
          <t>물가지수</t>
        </r>
        <r>
          <rPr>
            <b/>
            <sz val="9"/>
            <color indexed="81"/>
            <rFont val="Tahoma"/>
            <family val="2"/>
          </rPr>
          <t xml:space="preserve"> </t>
        </r>
        <r>
          <rPr>
            <b/>
            <sz val="9"/>
            <color indexed="81"/>
            <rFont val="돋움"/>
            <family val="3"/>
            <charset val="129"/>
          </rPr>
          <t>예측치</t>
        </r>
      </text>
    </comment>
    <comment ref="CD20" authorId="0" shapeId="0" xr:uid="{00000000-0006-0000-0600-000002000000}">
      <text>
        <r>
          <rPr>
            <b/>
            <sz val="9"/>
            <color indexed="81"/>
            <rFont val="돋움"/>
            <family val="3"/>
            <charset val="129"/>
          </rPr>
          <t>각</t>
        </r>
        <r>
          <rPr>
            <b/>
            <sz val="9"/>
            <color indexed="81"/>
            <rFont val="Tahoma"/>
            <family val="2"/>
          </rPr>
          <t xml:space="preserve"> </t>
        </r>
        <r>
          <rPr>
            <b/>
            <sz val="9"/>
            <color indexed="81"/>
            <rFont val="돋움"/>
            <family val="3"/>
            <charset val="129"/>
          </rPr>
          <t>시장별</t>
        </r>
        <r>
          <rPr>
            <b/>
            <sz val="9"/>
            <color indexed="81"/>
            <rFont val="Tahoma"/>
            <family val="2"/>
          </rPr>
          <t xml:space="preserve"> </t>
        </r>
        <r>
          <rPr>
            <b/>
            <sz val="9"/>
            <color indexed="81"/>
            <rFont val="돋움"/>
            <family val="3"/>
            <charset val="129"/>
          </rPr>
          <t>환율</t>
        </r>
        <r>
          <rPr>
            <b/>
            <sz val="9"/>
            <color indexed="81"/>
            <rFont val="Tahoma"/>
            <family val="2"/>
          </rPr>
          <t xml:space="preserve"> </t>
        </r>
        <r>
          <rPr>
            <b/>
            <sz val="9"/>
            <color indexed="81"/>
            <rFont val="돋움"/>
            <family val="3"/>
            <charset val="129"/>
          </rPr>
          <t>예측치</t>
        </r>
        <r>
          <rPr>
            <b/>
            <sz val="9"/>
            <color indexed="81"/>
            <rFont val="Tahoma"/>
            <family val="2"/>
          </rPr>
          <t xml:space="preserve"> (</t>
        </r>
        <r>
          <rPr>
            <b/>
            <sz val="9"/>
            <color indexed="81"/>
            <rFont val="돋움"/>
            <family val="3"/>
            <charset val="129"/>
          </rPr>
          <t>경제동향보고서</t>
        </r>
        <r>
          <rPr>
            <b/>
            <sz val="9"/>
            <color indexed="81"/>
            <rFont val="Tahoma"/>
            <family val="2"/>
          </rPr>
          <t xml:space="preserve"> </t>
        </r>
        <r>
          <rPr>
            <b/>
            <sz val="9"/>
            <color indexed="81"/>
            <rFont val="돋움"/>
            <family val="3"/>
            <charset val="129"/>
          </rPr>
          <t>환율예측치</t>
        </r>
        <r>
          <rPr>
            <b/>
            <sz val="9"/>
            <color indexed="81"/>
            <rFont val="Tahoma"/>
            <family val="2"/>
          </rPr>
          <t xml:space="preserve"> </t>
        </r>
        <r>
          <rPr>
            <b/>
            <sz val="9"/>
            <color indexed="81"/>
            <rFont val="돋움"/>
            <family val="3"/>
            <charset val="129"/>
          </rPr>
          <t>참고</t>
        </r>
        <r>
          <rPr>
            <b/>
            <sz val="9"/>
            <color indexed="81"/>
            <rFont val="Tahoma"/>
            <family val="2"/>
          </rPr>
          <t>)</t>
        </r>
      </text>
    </comment>
    <comment ref="AB22" authorId="0" shapeId="0" xr:uid="{00000000-0006-0000-0400-000011000000}">
      <text>
        <r>
          <rPr>
            <b/>
            <sz val="12"/>
            <color indexed="81"/>
            <rFont val="맑은 고딕"/>
            <family val="3"/>
            <charset val="129"/>
          </rPr>
          <t>생산라인 폐쇄 시 발생
(= 장부가*1-폐쇄손실비율)</t>
        </r>
      </text>
    </comment>
    <comment ref="AJ22" authorId="0" shapeId="0" xr:uid="{00000000-0006-0000-0400-000013000000}">
      <text>
        <r>
          <rPr>
            <b/>
            <sz val="12"/>
            <color indexed="81"/>
            <rFont val="돋움"/>
            <family val="3"/>
            <charset val="129"/>
          </rPr>
          <t>단기차입금 + 긴급자금대출</t>
        </r>
      </text>
    </comment>
    <comment ref="AB23" authorId="0" shapeId="0" xr:uid="{00000000-0006-0000-0400-000012000000}">
      <text>
        <r>
          <rPr>
            <b/>
            <sz val="11"/>
            <color indexed="81"/>
            <rFont val="맑은 고딕"/>
            <family val="3"/>
            <charset val="129"/>
          </rPr>
          <t>공장 폐쇄 시 발생
(=장부가*1-폐쇄손실비율)</t>
        </r>
      </text>
    </comment>
    <comment ref="AJ24" authorId="0" shapeId="0" xr:uid="{00000000-0006-0000-0400-000014000000}">
      <text>
        <r>
          <rPr>
            <b/>
            <sz val="12"/>
            <color indexed="81"/>
            <rFont val="돋움"/>
            <family val="3"/>
            <charset val="129"/>
          </rPr>
          <t>당기</t>
        </r>
        <r>
          <rPr>
            <b/>
            <sz val="12"/>
            <color indexed="81"/>
            <rFont val="Tahoma"/>
            <family val="2"/>
          </rPr>
          <t xml:space="preserve"> </t>
        </r>
        <r>
          <rPr>
            <b/>
            <sz val="12"/>
            <color indexed="81"/>
            <rFont val="돋움"/>
            <family val="3"/>
            <charset val="129"/>
          </rPr>
          <t>회사채</t>
        </r>
        <r>
          <rPr>
            <b/>
            <sz val="12"/>
            <color indexed="81"/>
            <rFont val="Tahoma"/>
            <family val="2"/>
          </rPr>
          <t xml:space="preserve"> </t>
        </r>
        <r>
          <rPr>
            <b/>
            <sz val="12"/>
            <color indexed="81"/>
            <rFont val="돋움"/>
            <family val="3"/>
            <charset val="129"/>
          </rPr>
          <t>발행</t>
        </r>
        <r>
          <rPr>
            <b/>
            <sz val="12"/>
            <color indexed="81"/>
            <rFont val="Tahoma"/>
            <family val="2"/>
          </rPr>
          <t xml:space="preserve"> </t>
        </r>
        <r>
          <rPr>
            <b/>
            <sz val="12"/>
            <color indexed="81"/>
            <rFont val="돋움"/>
            <family val="3"/>
            <charset val="129"/>
          </rPr>
          <t>금액</t>
        </r>
      </text>
    </comment>
    <comment ref="E26" authorId="0" shapeId="0" xr:uid="{00000000-0006-0000-0400-000030000000}">
      <text>
        <r>
          <rPr>
            <b/>
            <sz val="12"/>
            <color indexed="81"/>
            <rFont val="돋움"/>
            <family val="3"/>
            <charset val="129"/>
          </rPr>
          <t>당기</t>
        </r>
        <r>
          <rPr>
            <b/>
            <sz val="12"/>
            <color indexed="81"/>
            <rFont val="Tahoma"/>
            <family val="2"/>
          </rPr>
          <t xml:space="preserve"> </t>
        </r>
        <r>
          <rPr>
            <b/>
            <sz val="12"/>
            <color indexed="81"/>
            <rFont val="돋움"/>
            <family val="3"/>
            <charset val="129"/>
          </rPr>
          <t>기초</t>
        </r>
        <r>
          <rPr>
            <b/>
            <sz val="12"/>
            <color indexed="81"/>
            <rFont val="Tahoma"/>
            <family val="2"/>
          </rPr>
          <t xml:space="preserve"> </t>
        </r>
        <r>
          <rPr>
            <b/>
            <sz val="12"/>
            <color indexed="81"/>
            <rFont val="돋움"/>
            <family val="3"/>
            <charset val="129"/>
          </rPr>
          <t>영업직원</t>
        </r>
        <r>
          <rPr>
            <b/>
            <sz val="12"/>
            <color indexed="81"/>
            <rFont val="Tahoma"/>
            <family val="2"/>
          </rPr>
          <t xml:space="preserve"> </t>
        </r>
        <r>
          <rPr>
            <b/>
            <sz val="12"/>
            <color indexed="81"/>
            <rFont val="돋움"/>
            <family val="3"/>
            <charset val="129"/>
          </rPr>
          <t xml:space="preserve">수
</t>
        </r>
        <r>
          <rPr>
            <b/>
            <sz val="12"/>
            <color indexed="81"/>
            <rFont val="Tahoma"/>
            <family val="2"/>
          </rPr>
          <t xml:space="preserve"> C4. HR</t>
        </r>
        <r>
          <rPr>
            <b/>
            <sz val="12"/>
            <color indexed="81"/>
            <rFont val="돋움"/>
            <family val="3"/>
            <charset val="129"/>
          </rPr>
          <t>보고서</t>
        </r>
        <r>
          <rPr>
            <b/>
            <sz val="12"/>
            <color indexed="81"/>
            <rFont val="Tahoma"/>
            <family val="2"/>
          </rPr>
          <t xml:space="preserve"> </t>
        </r>
        <r>
          <rPr>
            <b/>
            <sz val="12"/>
            <color indexed="81"/>
            <rFont val="돋움"/>
            <family val="3"/>
            <charset val="129"/>
          </rPr>
          <t>참고</t>
        </r>
      </text>
    </comment>
    <comment ref="E27" authorId="0" shapeId="0" xr:uid="{00000000-0006-0000-0400-000031000000}">
      <text>
        <r>
          <rPr>
            <b/>
            <sz val="12"/>
            <color indexed="81"/>
            <rFont val="돋움"/>
            <family val="3"/>
            <charset val="129"/>
          </rPr>
          <t xml:space="preserve">해고 의사결정이 아닌 매 분기마다 자연적으로 퇴직하는 영업직원 수 (C4. HR보고서 참고) </t>
        </r>
      </text>
    </comment>
    <comment ref="AB27" authorId="0" shapeId="0" xr:uid="{00000000-0006-0000-0400-000015000000}">
      <text>
        <r>
          <rPr>
            <b/>
            <sz val="11"/>
            <color indexed="81"/>
            <rFont val="맑은 고딕"/>
            <family val="3"/>
            <charset val="129"/>
          </rPr>
          <t>정규 생산 라인신설 시 발생하며 2분기에 걸쳐 지출됨</t>
        </r>
      </text>
    </comment>
    <comment ref="E28" authorId="3" shapeId="0" xr:uid="{00000000-0006-0000-0400-000032000000}">
      <text>
        <r>
          <rPr>
            <b/>
            <sz val="12"/>
            <color indexed="81"/>
            <rFont val="돋움"/>
            <family val="3"/>
            <charset val="129"/>
          </rPr>
          <t>해고한</t>
        </r>
        <r>
          <rPr>
            <b/>
            <sz val="12"/>
            <color indexed="81"/>
            <rFont val="Tahoma"/>
            <family val="2"/>
          </rPr>
          <t xml:space="preserve"> </t>
        </r>
        <r>
          <rPr>
            <b/>
            <sz val="12"/>
            <color indexed="81"/>
            <rFont val="돋움"/>
            <family val="3"/>
            <charset val="129"/>
          </rPr>
          <t>직원과</t>
        </r>
        <r>
          <rPr>
            <b/>
            <sz val="12"/>
            <color indexed="81"/>
            <rFont val="Tahoma"/>
            <family val="2"/>
          </rPr>
          <t xml:space="preserve"> </t>
        </r>
        <r>
          <rPr>
            <b/>
            <sz val="12"/>
            <color indexed="81"/>
            <rFont val="돋움"/>
            <family val="3"/>
            <charset val="129"/>
          </rPr>
          <t>자연퇴직한</t>
        </r>
        <r>
          <rPr>
            <b/>
            <sz val="12"/>
            <color indexed="81"/>
            <rFont val="Tahoma"/>
            <family val="2"/>
          </rPr>
          <t xml:space="preserve"> </t>
        </r>
        <r>
          <rPr>
            <b/>
            <sz val="12"/>
            <color indexed="81"/>
            <rFont val="돋움"/>
            <family val="3"/>
            <charset val="129"/>
          </rPr>
          <t>영업직원수로</t>
        </r>
        <r>
          <rPr>
            <b/>
            <sz val="12"/>
            <color indexed="81"/>
            <rFont val="Tahoma"/>
            <family val="2"/>
          </rPr>
          <t xml:space="preserve"> 
</t>
        </r>
        <r>
          <rPr>
            <b/>
            <sz val="12"/>
            <color indexed="81"/>
            <rFont val="돋움"/>
            <family val="3"/>
            <charset val="129"/>
          </rPr>
          <t>회사에서</t>
        </r>
        <r>
          <rPr>
            <b/>
            <sz val="12"/>
            <color indexed="81"/>
            <rFont val="Tahoma"/>
            <family val="2"/>
          </rPr>
          <t xml:space="preserve"> </t>
        </r>
        <r>
          <rPr>
            <b/>
            <sz val="12"/>
            <color indexed="81"/>
            <rFont val="돋움"/>
            <family val="3"/>
            <charset val="129"/>
          </rPr>
          <t>퇴직하는</t>
        </r>
        <r>
          <rPr>
            <b/>
            <sz val="12"/>
            <color indexed="81"/>
            <rFont val="Tahoma"/>
            <family val="2"/>
          </rPr>
          <t xml:space="preserve"> </t>
        </r>
        <r>
          <rPr>
            <b/>
            <sz val="12"/>
            <color indexed="81"/>
            <rFont val="돋움"/>
            <family val="3"/>
            <charset val="129"/>
          </rPr>
          <t>총</t>
        </r>
        <r>
          <rPr>
            <b/>
            <sz val="12"/>
            <color indexed="81"/>
            <rFont val="Tahoma"/>
            <family val="2"/>
          </rPr>
          <t xml:space="preserve"> </t>
        </r>
        <r>
          <rPr>
            <b/>
            <sz val="12"/>
            <color indexed="81"/>
            <rFont val="돋움"/>
            <family val="3"/>
            <charset val="129"/>
          </rPr>
          <t>직원수</t>
        </r>
        <r>
          <rPr>
            <b/>
            <sz val="12"/>
            <color indexed="81"/>
            <rFont val="Tahoma"/>
            <family val="2"/>
          </rPr>
          <t xml:space="preserve">
</t>
        </r>
      </text>
    </comment>
    <comment ref="AB28" authorId="0" shapeId="0" xr:uid="{77E44B2F-B0AE-458A-B5C0-A66E12C4EAA7}">
      <text>
        <r>
          <rPr>
            <b/>
            <sz val="11"/>
            <color indexed="81"/>
            <rFont val="맑은 고딕"/>
            <family val="3"/>
            <charset val="129"/>
          </rPr>
          <t>공장 신설 시 발생하며 2분기에 걸쳐 지출됨</t>
        </r>
      </text>
    </comment>
    <comment ref="AJ28" authorId="0" shapeId="0" xr:uid="{00000000-0006-0000-0400-000018000000}">
      <text>
        <r>
          <rPr>
            <b/>
            <sz val="12"/>
            <color indexed="81"/>
            <rFont val="돋움"/>
            <family val="3"/>
            <charset val="129"/>
          </rPr>
          <t>전분기</t>
        </r>
        <r>
          <rPr>
            <b/>
            <sz val="12"/>
            <color indexed="81"/>
            <rFont val="Tahoma"/>
            <family val="2"/>
          </rPr>
          <t xml:space="preserve"> </t>
        </r>
        <r>
          <rPr>
            <b/>
            <sz val="12"/>
            <color indexed="81"/>
            <rFont val="돋움"/>
            <family val="3"/>
            <charset val="129"/>
          </rPr>
          <t>재무상태표의</t>
        </r>
        <r>
          <rPr>
            <b/>
            <sz val="12"/>
            <color indexed="81"/>
            <rFont val="Tahoma"/>
            <family val="2"/>
          </rPr>
          <t xml:space="preserve"> </t>
        </r>
        <r>
          <rPr>
            <b/>
            <sz val="12"/>
            <color indexed="81"/>
            <rFont val="돋움"/>
            <family val="3"/>
            <charset val="129"/>
          </rPr>
          <t>자본잉여금</t>
        </r>
        <r>
          <rPr>
            <b/>
            <sz val="12"/>
            <color indexed="81"/>
            <rFont val="Tahoma"/>
            <family val="2"/>
          </rPr>
          <t xml:space="preserve"> </t>
        </r>
        <r>
          <rPr>
            <b/>
            <sz val="12"/>
            <color indexed="81"/>
            <rFont val="돋움"/>
            <family val="3"/>
            <charset val="129"/>
          </rPr>
          <t>참고</t>
        </r>
      </text>
    </comment>
    <comment ref="E29" authorId="0" shapeId="0" xr:uid="{00000000-0006-0000-0400-000033000000}">
      <text>
        <r>
          <rPr>
            <b/>
            <sz val="12"/>
            <color indexed="81"/>
            <rFont val="돋움"/>
            <family val="3"/>
            <charset val="129"/>
          </rPr>
          <t>당기말</t>
        </r>
        <r>
          <rPr>
            <b/>
            <sz val="12"/>
            <color indexed="81"/>
            <rFont val="Tahoma"/>
            <family val="2"/>
          </rPr>
          <t xml:space="preserve"> </t>
        </r>
        <r>
          <rPr>
            <b/>
            <sz val="12"/>
            <color indexed="81"/>
            <rFont val="돋움"/>
            <family val="3"/>
            <charset val="129"/>
          </rPr>
          <t>예상</t>
        </r>
        <r>
          <rPr>
            <b/>
            <sz val="12"/>
            <color indexed="81"/>
            <rFont val="Tahoma"/>
            <family val="2"/>
          </rPr>
          <t xml:space="preserve"> </t>
        </r>
        <r>
          <rPr>
            <b/>
            <sz val="12"/>
            <color indexed="81"/>
            <rFont val="돋움"/>
            <family val="3"/>
            <charset val="129"/>
          </rPr>
          <t>영업직원</t>
        </r>
        <r>
          <rPr>
            <b/>
            <sz val="12"/>
            <color indexed="81"/>
            <rFont val="Tahoma"/>
            <family val="2"/>
          </rPr>
          <t xml:space="preserve"> </t>
        </r>
        <r>
          <rPr>
            <b/>
            <sz val="12"/>
            <color indexed="81"/>
            <rFont val="돋움"/>
            <family val="3"/>
            <charset val="129"/>
          </rPr>
          <t>수</t>
        </r>
      </text>
    </comment>
    <comment ref="AJ29" authorId="0" shapeId="0" xr:uid="{D9A23DD4-2F03-47E5-A7C2-DF0BC03669DB}">
      <text>
        <r>
          <rPr>
            <b/>
            <sz val="12"/>
            <color indexed="81"/>
            <rFont val="Tahoma"/>
            <family val="2"/>
          </rPr>
          <t>=</t>
        </r>
        <r>
          <rPr>
            <b/>
            <sz val="12"/>
            <color indexed="81"/>
            <rFont val="돋움"/>
            <family val="3"/>
            <charset val="129"/>
          </rPr>
          <t>현분기</t>
        </r>
        <r>
          <rPr>
            <b/>
            <sz val="12"/>
            <color indexed="81"/>
            <rFont val="Tahoma"/>
            <family val="2"/>
          </rPr>
          <t xml:space="preserve"> </t>
        </r>
        <r>
          <rPr>
            <b/>
            <sz val="12"/>
            <color indexed="81"/>
            <rFont val="돋움"/>
            <family val="3"/>
            <charset val="129"/>
          </rPr>
          <t>발행주식</t>
        </r>
        <r>
          <rPr>
            <b/>
            <sz val="12"/>
            <color indexed="81"/>
            <rFont val="Tahoma"/>
            <family val="2"/>
          </rPr>
          <t xml:space="preserve"> </t>
        </r>
        <r>
          <rPr>
            <b/>
            <sz val="12"/>
            <color indexed="81"/>
            <rFont val="돋움"/>
            <family val="3"/>
            <charset val="129"/>
          </rPr>
          <t>수</t>
        </r>
        <r>
          <rPr>
            <b/>
            <sz val="12"/>
            <color indexed="81"/>
            <rFont val="Tahoma"/>
            <family val="2"/>
          </rPr>
          <t xml:space="preserve"> * (</t>
        </r>
        <r>
          <rPr>
            <b/>
            <sz val="12"/>
            <color indexed="81"/>
            <rFont val="돋움"/>
            <family val="3"/>
            <charset val="129"/>
          </rPr>
          <t>전분기</t>
        </r>
        <r>
          <rPr>
            <b/>
            <sz val="12"/>
            <color indexed="81"/>
            <rFont val="Tahoma"/>
            <family val="2"/>
          </rPr>
          <t xml:space="preserve"> </t>
        </r>
        <r>
          <rPr>
            <b/>
            <sz val="12"/>
            <color indexed="81"/>
            <rFont val="돋움"/>
            <family val="3"/>
            <charset val="129"/>
          </rPr>
          <t>주가</t>
        </r>
        <r>
          <rPr>
            <b/>
            <sz val="12"/>
            <color indexed="81"/>
            <rFont val="Tahoma"/>
            <family val="2"/>
          </rPr>
          <t xml:space="preserve"> - </t>
        </r>
        <r>
          <rPr>
            <b/>
            <sz val="12"/>
            <color indexed="81"/>
            <rFont val="돋움"/>
            <family val="3"/>
            <charset val="129"/>
          </rPr>
          <t>액면가</t>
        </r>
        <r>
          <rPr>
            <b/>
            <sz val="12"/>
            <color indexed="81"/>
            <rFont val="Tahoma"/>
            <family val="2"/>
          </rPr>
          <t>)</t>
        </r>
      </text>
    </comment>
    <comment ref="E30" authorId="0" shapeId="0" xr:uid="{00000000-0006-0000-0400-000034000000}">
      <text>
        <r>
          <rPr>
            <b/>
            <sz val="12"/>
            <color indexed="81"/>
            <rFont val="돋움"/>
            <family val="3"/>
            <charset val="129"/>
          </rPr>
          <t>당기말</t>
        </r>
        <r>
          <rPr>
            <b/>
            <sz val="12"/>
            <color indexed="81"/>
            <rFont val="Tahoma"/>
            <family val="2"/>
          </rPr>
          <t xml:space="preserve"> </t>
        </r>
        <r>
          <rPr>
            <b/>
            <sz val="12"/>
            <color indexed="81"/>
            <rFont val="돋움"/>
            <family val="3"/>
            <charset val="129"/>
          </rPr>
          <t>예상</t>
        </r>
        <r>
          <rPr>
            <b/>
            <sz val="12"/>
            <color indexed="81"/>
            <rFont val="Tahoma"/>
            <family val="2"/>
          </rPr>
          <t xml:space="preserve"> </t>
        </r>
        <r>
          <rPr>
            <b/>
            <sz val="12"/>
            <color indexed="81"/>
            <rFont val="돋움"/>
            <family val="3"/>
            <charset val="129"/>
          </rPr>
          <t>영업직원</t>
        </r>
        <r>
          <rPr>
            <b/>
            <sz val="12"/>
            <color indexed="81"/>
            <rFont val="Tahoma"/>
            <family val="2"/>
          </rPr>
          <t xml:space="preserve"> </t>
        </r>
        <r>
          <rPr>
            <b/>
            <sz val="12"/>
            <color indexed="81"/>
            <rFont val="돋움"/>
            <family val="3"/>
            <charset val="129"/>
          </rPr>
          <t>수</t>
        </r>
      </text>
    </comment>
    <comment ref="AJ30" authorId="0" shapeId="0" xr:uid="{00000000-0006-0000-0400-00001C000000}">
      <text>
        <r>
          <rPr>
            <b/>
            <sz val="11"/>
            <color indexed="81"/>
            <rFont val="맑은 고딕"/>
            <family val="3"/>
            <charset val="129"/>
          </rPr>
          <t>전분기 자사의 주가에서 액면가 5,000원을 뺀 금액</t>
        </r>
      </text>
    </comment>
    <comment ref="O31" authorId="3" shapeId="0" xr:uid="{462E28E4-DD5D-400F-BFD7-2A1161AF7539}">
      <text>
        <r>
          <rPr>
            <b/>
            <sz val="12"/>
            <color indexed="81"/>
            <rFont val="돋움"/>
            <family val="3"/>
            <charset val="129"/>
          </rPr>
          <t>양도성</t>
        </r>
        <r>
          <rPr>
            <b/>
            <sz val="12"/>
            <color indexed="81"/>
            <rFont val="Tahoma"/>
            <family val="2"/>
          </rPr>
          <t xml:space="preserve"> </t>
        </r>
        <r>
          <rPr>
            <b/>
            <sz val="12"/>
            <color indexed="81"/>
            <rFont val="돋움"/>
            <family val="3"/>
            <charset val="129"/>
          </rPr>
          <t>예측증서</t>
        </r>
        <r>
          <rPr>
            <b/>
            <sz val="12"/>
            <color indexed="81"/>
            <rFont val="Tahoma"/>
            <family val="2"/>
          </rPr>
          <t xml:space="preserve"> </t>
        </r>
        <r>
          <rPr>
            <b/>
            <sz val="12"/>
            <color indexed="81"/>
            <rFont val="돋움"/>
            <family val="3"/>
            <charset val="129"/>
          </rPr>
          <t>투자로</t>
        </r>
        <r>
          <rPr>
            <b/>
            <sz val="12"/>
            <color indexed="81"/>
            <rFont val="Tahoma"/>
            <family val="2"/>
          </rPr>
          <t xml:space="preserve"> </t>
        </r>
        <r>
          <rPr>
            <b/>
            <sz val="12"/>
            <color indexed="81"/>
            <rFont val="돋움"/>
            <family val="3"/>
            <charset val="129"/>
          </rPr>
          <t>얻게되는</t>
        </r>
        <r>
          <rPr>
            <b/>
            <sz val="12"/>
            <color indexed="81"/>
            <rFont val="Tahoma"/>
            <family val="2"/>
          </rPr>
          <t xml:space="preserve"> </t>
        </r>
        <r>
          <rPr>
            <b/>
            <sz val="12"/>
            <color indexed="81"/>
            <rFont val="돋움"/>
            <family val="3"/>
            <charset val="129"/>
          </rPr>
          <t>이자</t>
        </r>
        <r>
          <rPr>
            <b/>
            <sz val="12"/>
            <color indexed="81"/>
            <rFont val="Tahoma"/>
            <family val="2"/>
          </rPr>
          <t xml:space="preserve"> </t>
        </r>
        <r>
          <rPr>
            <b/>
            <sz val="12"/>
            <color indexed="81"/>
            <rFont val="돋움"/>
            <family val="3"/>
            <charset val="129"/>
          </rPr>
          <t>수입</t>
        </r>
      </text>
    </comment>
    <comment ref="O32" authorId="3" shapeId="0" xr:uid="{00000000-0006-0000-0400-00001B000000}">
      <text>
        <r>
          <rPr>
            <b/>
            <sz val="11"/>
            <color indexed="81"/>
            <rFont val="돋움"/>
            <family val="3"/>
            <charset val="129"/>
          </rPr>
          <t>펀드</t>
        </r>
        <r>
          <rPr>
            <b/>
            <sz val="11"/>
            <color indexed="81"/>
            <rFont val="Tahoma"/>
            <family val="2"/>
          </rPr>
          <t xml:space="preserve"> </t>
        </r>
        <r>
          <rPr>
            <b/>
            <sz val="11"/>
            <color indexed="81"/>
            <rFont val="돋움"/>
            <family val="3"/>
            <charset val="129"/>
          </rPr>
          <t>투자를</t>
        </r>
        <r>
          <rPr>
            <b/>
            <sz val="11"/>
            <color indexed="81"/>
            <rFont val="Tahoma"/>
            <family val="2"/>
          </rPr>
          <t xml:space="preserve"> </t>
        </r>
        <r>
          <rPr>
            <b/>
            <sz val="11"/>
            <color indexed="81"/>
            <rFont val="돋움"/>
            <family val="3"/>
            <charset val="129"/>
          </rPr>
          <t>통해서</t>
        </r>
        <r>
          <rPr>
            <b/>
            <sz val="11"/>
            <color indexed="81"/>
            <rFont val="Tahoma"/>
            <family val="2"/>
          </rPr>
          <t xml:space="preserve"> </t>
        </r>
        <r>
          <rPr>
            <b/>
            <sz val="11"/>
            <color indexed="81"/>
            <rFont val="돋움"/>
            <family val="3"/>
            <charset val="129"/>
          </rPr>
          <t>얻게되는</t>
        </r>
        <r>
          <rPr>
            <b/>
            <sz val="11"/>
            <color indexed="81"/>
            <rFont val="Tahoma"/>
            <family val="2"/>
          </rPr>
          <t xml:space="preserve"> </t>
        </r>
        <r>
          <rPr>
            <b/>
            <sz val="11"/>
            <color indexed="81"/>
            <rFont val="돋움"/>
            <family val="3"/>
            <charset val="129"/>
          </rPr>
          <t>이익</t>
        </r>
      </text>
    </comment>
    <comment ref="AJ32" authorId="0" shapeId="0" xr:uid="{00000000-0006-0000-0400-00001E000000}">
      <text>
        <r>
          <rPr>
            <b/>
            <sz val="12"/>
            <color indexed="81"/>
            <rFont val="돋움"/>
            <family val="3"/>
            <charset val="129"/>
          </rPr>
          <t>전분기</t>
        </r>
        <r>
          <rPr>
            <b/>
            <sz val="12"/>
            <color indexed="81"/>
            <rFont val="Tahoma"/>
            <family val="2"/>
          </rPr>
          <t xml:space="preserve"> </t>
        </r>
        <r>
          <rPr>
            <b/>
            <sz val="12"/>
            <color indexed="81"/>
            <rFont val="돋움"/>
            <family val="3"/>
            <charset val="129"/>
          </rPr>
          <t>재무상태표의</t>
        </r>
        <r>
          <rPr>
            <b/>
            <sz val="12"/>
            <color indexed="81"/>
            <rFont val="Tahoma"/>
            <family val="2"/>
          </rPr>
          <t xml:space="preserve"> </t>
        </r>
        <r>
          <rPr>
            <b/>
            <sz val="12"/>
            <color indexed="81"/>
            <rFont val="돋움"/>
            <family val="3"/>
            <charset val="129"/>
          </rPr>
          <t>이익잉여금</t>
        </r>
        <r>
          <rPr>
            <b/>
            <sz val="12"/>
            <color indexed="81"/>
            <rFont val="Tahoma"/>
            <family val="2"/>
          </rPr>
          <t xml:space="preserve"> </t>
        </r>
        <r>
          <rPr>
            <b/>
            <sz val="12"/>
            <color indexed="81"/>
            <rFont val="돋움"/>
            <family val="3"/>
            <charset val="129"/>
          </rPr>
          <t>참고</t>
        </r>
      </text>
    </comment>
    <comment ref="AJ33" authorId="0" shapeId="0" xr:uid="{00000000-0006-0000-0400-000020000000}">
      <text>
        <r>
          <rPr>
            <b/>
            <sz val="12"/>
            <color indexed="81"/>
            <rFont val="Tahoma"/>
            <family val="2"/>
          </rPr>
          <t>=</t>
        </r>
        <r>
          <rPr>
            <b/>
            <sz val="12"/>
            <color indexed="81"/>
            <rFont val="돋움"/>
            <family val="3"/>
            <charset val="129"/>
          </rPr>
          <t>당기</t>
        </r>
        <r>
          <rPr>
            <b/>
            <sz val="12"/>
            <color indexed="81"/>
            <rFont val="Tahoma"/>
            <family val="2"/>
          </rPr>
          <t xml:space="preserve"> </t>
        </r>
        <r>
          <rPr>
            <b/>
            <sz val="12"/>
            <color indexed="81"/>
            <rFont val="돋움"/>
            <family val="3"/>
            <charset val="129"/>
          </rPr>
          <t>순이익</t>
        </r>
        <r>
          <rPr>
            <b/>
            <sz val="12"/>
            <color indexed="81"/>
            <rFont val="Tahoma"/>
            <family val="2"/>
          </rPr>
          <t xml:space="preserve"> - </t>
        </r>
        <r>
          <rPr>
            <b/>
            <sz val="12"/>
            <color indexed="81"/>
            <rFont val="돋움"/>
            <family val="3"/>
            <charset val="129"/>
          </rPr>
          <t>배당금</t>
        </r>
      </text>
    </comment>
    <comment ref="O34" authorId="3" shapeId="0" xr:uid="{00000000-0006-0000-0400-00001D000000}">
      <text>
        <r>
          <rPr>
            <b/>
            <sz val="11"/>
            <color indexed="81"/>
            <rFont val="돋움"/>
            <family val="3"/>
            <charset val="129"/>
          </rPr>
          <t>긴급자금</t>
        </r>
        <r>
          <rPr>
            <b/>
            <sz val="11"/>
            <color indexed="81"/>
            <rFont val="Tahoma"/>
            <family val="2"/>
          </rPr>
          <t xml:space="preserve"> </t>
        </r>
        <r>
          <rPr>
            <b/>
            <sz val="11"/>
            <color indexed="81"/>
            <rFont val="돋움"/>
            <family val="3"/>
            <charset val="129"/>
          </rPr>
          <t>대출이나</t>
        </r>
        <r>
          <rPr>
            <b/>
            <sz val="11"/>
            <color indexed="81"/>
            <rFont val="Tahoma"/>
            <family val="2"/>
          </rPr>
          <t xml:space="preserve"> </t>
        </r>
        <r>
          <rPr>
            <b/>
            <sz val="11"/>
            <color indexed="81"/>
            <rFont val="돋움"/>
            <family val="3"/>
            <charset val="129"/>
          </rPr>
          <t>회사채</t>
        </r>
        <r>
          <rPr>
            <b/>
            <sz val="11"/>
            <color indexed="81"/>
            <rFont val="Tahoma"/>
            <family val="2"/>
          </rPr>
          <t xml:space="preserve"> </t>
        </r>
        <r>
          <rPr>
            <b/>
            <sz val="11"/>
            <color indexed="81"/>
            <rFont val="돋움"/>
            <family val="3"/>
            <charset val="129"/>
          </rPr>
          <t>발행으로</t>
        </r>
        <r>
          <rPr>
            <b/>
            <sz val="11"/>
            <color indexed="81"/>
            <rFont val="Tahoma"/>
            <family val="2"/>
          </rPr>
          <t xml:space="preserve"> </t>
        </r>
        <r>
          <rPr>
            <b/>
            <sz val="11"/>
            <color indexed="81"/>
            <rFont val="돋움"/>
            <family val="3"/>
            <charset val="129"/>
          </rPr>
          <t>발생하는</t>
        </r>
        <r>
          <rPr>
            <b/>
            <sz val="11"/>
            <color indexed="81"/>
            <rFont val="Tahoma"/>
            <family val="2"/>
          </rPr>
          <t xml:space="preserve"> </t>
        </r>
        <r>
          <rPr>
            <b/>
            <sz val="11"/>
            <color indexed="81"/>
            <rFont val="돋움"/>
            <family val="3"/>
            <charset val="129"/>
          </rPr>
          <t>이자</t>
        </r>
        <r>
          <rPr>
            <b/>
            <sz val="11"/>
            <color indexed="81"/>
            <rFont val="Tahoma"/>
            <family val="2"/>
          </rPr>
          <t xml:space="preserve"> </t>
        </r>
        <r>
          <rPr>
            <b/>
            <sz val="11"/>
            <color indexed="81"/>
            <rFont val="돋움"/>
            <family val="3"/>
            <charset val="129"/>
          </rPr>
          <t>비용</t>
        </r>
        <r>
          <rPr>
            <b/>
            <sz val="11"/>
            <color indexed="81"/>
            <rFont val="Tahoma"/>
            <family val="2"/>
          </rPr>
          <t xml:space="preserve"> </t>
        </r>
        <r>
          <rPr>
            <sz val="11"/>
            <color indexed="81"/>
            <rFont val="Tahoma"/>
            <family val="2"/>
          </rPr>
          <t xml:space="preserve">
</t>
        </r>
      </text>
    </comment>
    <comment ref="E35" authorId="0" shapeId="0" xr:uid="{96E77A6E-6BA8-4440-9383-6B4F21CDAD4E}">
      <text>
        <r>
          <rPr>
            <b/>
            <sz val="12"/>
            <color indexed="81"/>
            <rFont val="돋움"/>
            <family val="3"/>
            <charset val="129"/>
          </rPr>
          <t>당기말</t>
        </r>
        <r>
          <rPr>
            <b/>
            <sz val="12"/>
            <color indexed="81"/>
            <rFont val="Tahoma"/>
            <family val="2"/>
          </rPr>
          <t xml:space="preserve"> </t>
        </r>
        <r>
          <rPr>
            <b/>
            <sz val="12"/>
            <color indexed="81"/>
            <rFont val="돋움"/>
            <family val="3"/>
            <charset val="129"/>
          </rPr>
          <t>예상</t>
        </r>
        <r>
          <rPr>
            <b/>
            <sz val="12"/>
            <color indexed="81"/>
            <rFont val="Tahoma"/>
            <family val="2"/>
          </rPr>
          <t xml:space="preserve"> </t>
        </r>
        <r>
          <rPr>
            <b/>
            <sz val="12"/>
            <color indexed="81"/>
            <rFont val="돋움"/>
            <family val="3"/>
            <charset val="129"/>
          </rPr>
          <t>영업직원</t>
        </r>
        <r>
          <rPr>
            <b/>
            <sz val="12"/>
            <color indexed="81"/>
            <rFont val="Tahoma"/>
            <family val="2"/>
          </rPr>
          <t xml:space="preserve"> </t>
        </r>
        <r>
          <rPr>
            <b/>
            <sz val="12"/>
            <color indexed="81"/>
            <rFont val="돋움"/>
            <family val="3"/>
            <charset val="129"/>
          </rPr>
          <t>수</t>
        </r>
      </text>
    </comment>
    <comment ref="O35" authorId="3" shapeId="0" xr:uid="{00000000-0006-0000-0400-00001F000000}">
      <text>
        <r>
          <rPr>
            <b/>
            <sz val="11"/>
            <color indexed="81"/>
            <rFont val="돋움"/>
            <family val="3"/>
            <charset val="129"/>
          </rPr>
          <t>펀드</t>
        </r>
        <r>
          <rPr>
            <b/>
            <sz val="11"/>
            <color indexed="81"/>
            <rFont val="Tahoma"/>
            <family val="2"/>
          </rPr>
          <t xml:space="preserve"> </t>
        </r>
        <r>
          <rPr>
            <b/>
            <sz val="11"/>
            <color indexed="81"/>
            <rFont val="돋움"/>
            <family val="3"/>
            <charset val="129"/>
          </rPr>
          <t>투자를</t>
        </r>
        <r>
          <rPr>
            <b/>
            <sz val="11"/>
            <color indexed="81"/>
            <rFont val="Tahoma"/>
            <family val="2"/>
          </rPr>
          <t xml:space="preserve"> </t>
        </r>
        <r>
          <rPr>
            <b/>
            <sz val="11"/>
            <color indexed="81"/>
            <rFont val="돋움"/>
            <family val="3"/>
            <charset val="129"/>
          </rPr>
          <t>통해서</t>
        </r>
        <r>
          <rPr>
            <b/>
            <sz val="11"/>
            <color indexed="81"/>
            <rFont val="Tahoma"/>
            <family val="2"/>
          </rPr>
          <t xml:space="preserve"> </t>
        </r>
        <r>
          <rPr>
            <b/>
            <sz val="11"/>
            <color indexed="81"/>
            <rFont val="돋움"/>
            <family val="3"/>
            <charset val="129"/>
          </rPr>
          <t>발생한</t>
        </r>
        <r>
          <rPr>
            <b/>
            <sz val="11"/>
            <color indexed="81"/>
            <rFont val="Tahoma"/>
            <family val="2"/>
          </rPr>
          <t xml:space="preserve"> </t>
        </r>
        <r>
          <rPr>
            <b/>
            <sz val="11"/>
            <color indexed="81"/>
            <rFont val="돋움"/>
            <family val="3"/>
            <charset val="129"/>
          </rPr>
          <t>손실</t>
        </r>
        <r>
          <rPr>
            <sz val="11"/>
            <color indexed="81"/>
            <rFont val="Tahoma"/>
            <family val="2"/>
          </rPr>
          <t xml:space="preserve">
</t>
        </r>
      </text>
    </comment>
    <comment ref="E36" authorId="0" shapeId="0" xr:uid="{DB474A17-9783-4E21-B87B-C0C2D09137A4}">
      <text>
        <r>
          <rPr>
            <b/>
            <sz val="11"/>
            <color indexed="81"/>
            <rFont val="맑은 고딕"/>
            <family val="3"/>
            <charset val="129"/>
          </rPr>
          <t>3차년도 4분기말 10,000,000 계좌 보유중</t>
        </r>
      </text>
    </comment>
    <comment ref="O36" authorId="3" shapeId="0" xr:uid="{00000000-0006-0000-0400-000021000000}">
      <text>
        <r>
          <rPr>
            <sz val="12"/>
            <color indexed="81"/>
            <rFont val="돋움"/>
            <family val="3"/>
            <charset val="129"/>
          </rPr>
          <t>유형자산</t>
        </r>
        <r>
          <rPr>
            <sz val="12"/>
            <color indexed="81"/>
            <rFont val="Tahoma"/>
            <family val="2"/>
          </rPr>
          <t xml:space="preserve"> </t>
        </r>
        <r>
          <rPr>
            <sz val="12"/>
            <color indexed="81"/>
            <rFont val="돋움"/>
            <family val="3"/>
            <charset val="129"/>
          </rPr>
          <t>매각으로</t>
        </r>
        <r>
          <rPr>
            <sz val="12"/>
            <color indexed="81"/>
            <rFont val="Tahoma"/>
            <family val="2"/>
          </rPr>
          <t xml:space="preserve"> </t>
        </r>
        <r>
          <rPr>
            <sz val="12"/>
            <color indexed="81"/>
            <rFont val="돋움"/>
            <family val="3"/>
            <charset val="129"/>
          </rPr>
          <t>발생하는</t>
        </r>
        <r>
          <rPr>
            <sz val="12"/>
            <color indexed="81"/>
            <rFont val="Tahoma"/>
            <family val="2"/>
          </rPr>
          <t xml:space="preserve"> </t>
        </r>
        <r>
          <rPr>
            <sz val="12"/>
            <color indexed="81"/>
            <rFont val="돋움"/>
            <family val="3"/>
            <charset val="129"/>
          </rPr>
          <t>손실</t>
        </r>
        <r>
          <rPr>
            <sz val="12"/>
            <color indexed="81"/>
            <rFont val="Tahoma"/>
            <family val="2"/>
          </rPr>
          <t xml:space="preserve"> 
</t>
        </r>
      </text>
    </comment>
    <comment ref="AJ36" authorId="0" shapeId="0" xr:uid="{00000000-0006-0000-0400-000022000000}">
      <text>
        <r>
          <rPr>
            <b/>
            <sz val="12"/>
            <color indexed="81"/>
            <rFont val="돋움"/>
            <family val="3"/>
            <charset val="129"/>
          </rPr>
          <t>자본</t>
        </r>
        <r>
          <rPr>
            <b/>
            <sz val="12"/>
            <color indexed="81"/>
            <rFont val="Tahoma"/>
            <family val="2"/>
          </rPr>
          <t xml:space="preserve"> </t>
        </r>
        <r>
          <rPr>
            <b/>
            <sz val="12"/>
            <color indexed="81"/>
            <rFont val="돋움"/>
            <family val="3"/>
            <charset val="129"/>
          </rPr>
          <t>조정</t>
        </r>
        <r>
          <rPr>
            <b/>
            <sz val="12"/>
            <color indexed="81"/>
            <rFont val="Tahoma"/>
            <family val="2"/>
          </rPr>
          <t xml:space="preserve"> </t>
        </r>
        <r>
          <rPr>
            <b/>
            <sz val="12"/>
            <color indexed="81"/>
            <rFont val="돋움"/>
            <family val="3"/>
            <charset val="129"/>
          </rPr>
          <t>없음</t>
        </r>
        <r>
          <rPr>
            <b/>
            <sz val="12"/>
            <color indexed="81"/>
            <rFont val="Tahoma"/>
            <family val="2"/>
          </rPr>
          <t xml:space="preserve"> </t>
        </r>
      </text>
    </comment>
    <comment ref="E37" authorId="0" shapeId="0" xr:uid="{068FEFFB-511B-4622-AE3C-5C6EC5DAEF94}">
      <text>
        <r>
          <rPr>
            <b/>
            <sz val="12"/>
            <color indexed="81"/>
            <rFont val="돋움"/>
            <family val="3"/>
            <charset val="129"/>
          </rPr>
          <t>각</t>
        </r>
        <r>
          <rPr>
            <b/>
            <sz val="12"/>
            <color indexed="81"/>
            <rFont val="Tahoma"/>
            <family val="2"/>
          </rPr>
          <t xml:space="preserve"> </t>
        </r>
        <r>
          <rPr>
            <b/>
            <sz val="12"/>
            <color indexed="81"/>
            <rFont val="돋움"/>
            <family val="3"/>
            <charset val="129"/>
          </rPr>
          <t>시장별</t>
        </r>
        <r>
          <rPr>
            <b/>
            <sz val="12"/>
            <color indexed="81"/>
            <rFont val="Tahoma"/>
            <family val="2"/>
          </rPr>
          <t xml:space="preserve"> </t>
        </r>
        <r>
          <rPr>
            <b/>
            <sz val="12"/>
            <color indexed="81"/>
            <rFont val="돋움"/>
            <family val="3"/>
            <charset val="129"/>
          </rPr>
          <t>소비자</t>
        </r>
        <r>
          <rPr>
            <b/>
            <sz val="12"/>
            <color indexed="81"/>
            <rFont val="Tahoma"/>
            <family val="2"/>
          </rPr>
          <t xml:space="preserve"> </t>
        </r>
        <r>
          <rPr>
            <b/>
            <sz val="12"/>
            <color indexed="81"/>
            <rFont val="돋움"/>
            <family val="3"/>
            <charset val="129"/>
          </rPr>
          <t>물가치주</t>
        </r>
        <r>
          <rPr>
            <b/>
            <sz val="12"/>
            <color indexed="81"/>
            <rFont val="Tahoma"/>
            <family val="2"/>
          </rPr>
          <t xml:space="preserve"> </t>
        </r>
        <r>
          <rPr>
            <b/>
            <sz val="12"/>
            <color indexed="81"/>
            <rFont val="돋움"/>
            <family val="3"/>
            <charset val="129"/>
          </rPr>
          <t>예측치</t>
        </r>
        <r>
          <rPr>
            <b/>
            <sz val="12"/>
            <color indexed="81"/>
            <rFont val="Tahoma"/>
            <family val="2"/>
          </rPr>
          <t xml:space="preserve"> (</t>
        </r>
        <r>
          <rPr>
            <b/>
            <sz val="12"/>
            <color indexed="81"/>
            <rFont val="돋움"/>
            <family val="3"/>
            <charset val="129"/>
          </rPr>
          <t>경제동향</t>
        </r>
        <r>
          <rPr>
            <b/>
            <sz val="12"/>
            <color indexed="81"/>
            <rFont val="Tahoma"/>
            <family val="2"/>
          </rPr>
          <t xml:space="preserve"> </t>
        </r>
        <r>
          <rPr>
            <b/>
            <sz val="12"/>
            <color indexed="81"/>
            <rFont val="돋움"/>
            <family val="3"/>
            <charset val="129"/>
          </rPr>
          <t>보고서</t>
        </r>
        <r>
          <rPr>
            <b/>
            <sz val="12"/>
            <color indexed="81"/>
            <rFont val="Tahoma"/>
            <family val="2"/>
          </rPr>
          <t xml:space="preserve"> </t>
        </r>
        <r>
          <rPr>
            <b/>
            <sz val="12"/>
            <color indexed="81"/>
            <rFont val="돋움"/>
            <family val="3"/>
            <charset val="129"/>
          </rPr>
          <t>참고</t>
        </r>
        <r>
          <rPr>
            <b/>
            <sz val="12"/>
            <color indexed="81"/>
            <rFont val="Tahoma"/>
            <family val="2"/>
          </rPr>
          <t>)</t>
        </r>
      </text>
    </comment>
    <comment ref="E38" authorId="0" shapeId="0" xr:uid="{00000000-0006-0000-0400-000037000000}">
      <text>
        <r>
          <rPr>
            <b/>
            <sz val="12"/>
            <color indexed="81"/>
            <rFont val="돋움"/>
            <family val="3"/>
            <charset val="129"/>
          </rPr>
          <t>각</t>
        </r>
        <r>
          <rPr>
            <b/>
            <sz val="12"/>
            <color indexed="81"/>
            <rFont val="Tahoma"/>
            <family val="2"/>
          </rPr>
          <t xml:space="preserve"> </t>
        </r>
        <r>
          <rPr>
            <b/>
            <sz val="12"/>
            <color indexed="81"/>
            <rFont val="돋움"/>
            <family val="3"/>
            <charset val="129"/>
          </rPr>
          <t>시장별</t>
        </r>
        <r>
          <rPr>
            <b/>
            <sz val="12"/>
            <color indexed="81"/>
            <rFont val="Tahoma"/>
            <family val="2"/>
          </rPr>
          <t xml:space="preserve"> </t>
        </r>
        <r>
          <rPr>
            <b/>
            <sz val="12"/>
            <color indexed="81"/>
            <rFont val="돋움"/>
            <family val="3"/>
            <charset val="129"/>
          </rPr>
          <t>환율</t>
        </r>
        <r>
          <rPr>
            <b/>
            <sz val="12"/>
            <color indexed="81"/>
            <rFont val="Tahoma"/>
            <family val="2"/>
          </rPr>
          <t xml:space="preserve"> </t>
        </r>
        <r>
          <rPr>
            <b/>
            <sz val="12"/>
            <color indexed="81"/>
            <rFont val="돋움"/>
            <family val="3"/>
            <charset val="129"/>
          </rPr>
          <t>예측치</t>
        </r>
        <r>
          <rPr>
            <b/>
            <sz val="12"/>
            <color indexed="81"/>
            <rFont val="Tahoma"/>
            <family val="2"/>
          </rPr>
          <t xml:space="preserve"> (</t>
        </r>
        <r>
          <rPr>
            <b/>
            <sz val="12"/>
            <color indexed="81"/>
            <rFont val="돋움"/>
            <family val="3"/>
            <charset val="129"/>
          </rPr>
          <t>경제동향보고서</t>
        </r>
        <r>
          <rPr>
            <b/>
            <sz val="12"/>
            <color indexed="81"/>
            <rFont val="Tahoma"/>
            <family val="2"/>
          </rPr>
          <t xml:space="preserve"> </t>
        </r>
        <r>
          <rPr>
            <b/>
            <sz val="12"/>
            <color indexed="81"/>
            <rFont val="돋움"/>
            <family val="3"/>
            <charset val="129"/>
          </rPr>
          <t>환율예측치</t>
        </r>
        <r>
          <rPr>
            <b/>
            <sz val="12"/>
            <color indexed="81"/>
            <rFont val="Tahoma"/>
            <family val="2"/>
          </rPr>
          <t xml:space="preserve"> </t>
        </r>
        <r>
          <rPr>
            <b/>
            <sz val="12"/>
            <color indexed="81"/>
            <rFont val="돋움"/>
            <family val="3"/>
            <charset val="129"/>
          </rPr>
          <t>참고</t>
        </r>
        <r>
          <rPr>
            <b/>
            <sz val="12"/>
            <color indexed="81"/>
            <rFont val="Tahoma"/>
            <family val="2"/>
          </rPr>
          <t>)</t>
        </r>
      </text>
    </comment>
    <comment ref="E39" authorId="0" shapeId="0" xr:uid="{00000000-0006-0000-0400-000038000000}">
      <text>
        <r>
          <rPr>
            <b/>
            <sz val="12"/>
            <color indexed="81"/>
            <rFont val="돋움"/>
            <family val="3"/>
            <charset val="129"/>
          </rPr>
          <t>경제동향</t>
        </r>
        <r>
          <rPr>
            <b/>
            <sz val="12"/>
            <color indexed="81"/>
            <rFont val="Tahoma"/>
            <family val="2"/>
          </rPr>
          <t xml:space="preserve"> </t>
        </r>
        <r>
          <rPr>
            <b/>
            <sz val="12"/>
            <color indexed="81"/>
            <rFont val="돋움"/>
            <family val="3"/>
            <charset val="129"/>
          </rPr>
          <t>보고서</t>
        </r>
        <r>
          <rPr>
            <b/>
            <sz val="12"/>
            <color indexed="81"/>
            <rFont val="Tahoma"/>
            <family val="2"/>
          </rPr>
          <t xml:space="preserve"> </t>
        </r>
        <r>
          <rPr>
            <b/>
            <sz val="12"/>
            <color indexed="81"/>
            <rFont val="돋움"/>
            <family val="3"/>
            <charset val="129"/>
          </rPr>
          <t>양도성</t>
        </r>
        <r>
          <rPr>
            <b/>
            <sz val="12"/>
            <color indexed="81"/>
            <rFont val="Tahoma"/>
            <family val="2"/>
          </rPr>
          <t xml:space="preserve"> </t>
        </r>
        <r>
          <rPr>
            <b/>
            <sz val="12"/>
            <color indexed="81"/>
            <rFont val="돋움"/>
            <family val="3"/>
            <charset val="129"/>
          </rPr>
          <t>예금증서</t>
        </r>
        <r>
          <rPr>
            <b/>
            <sz val="12"/>
            <color indexed="81"/>
            <rFont val="Tahoma"/>
            <family val="2"/>
          </rPr>
          <t xml:space="preserve"> </t>
        </r>
        <r>
          <rPr>
            <b/>
            <sz val="12"/>
            <color indexed="81"/>
            <rFont val="돋움"/>
            <family val="3"/>
            <charset val="129"/>
          </rPr>
          <t>이자율</t>
        </r>
        <r>
          <rPr>
            <b/>
            <sz val="12"/>
            <color indexed="81"/>
            <rFont val="Tahoma"/>
            <family val="2"/>
          </rPr>
          <t xml:space="preserve"> </t>
        </r>
        <r>
          <rPr>
            <b/>
            <sz val="12"/>
            <color indexed="81"/>
            <rFont val="돋움"/>
            <family val="3"/>
            <charset val="129"/>
          </rPr>
          <t>참고</t>
        </r>
      </text>
    </comment>
    <comment ref="AB41" authorId="0" shapeId="0" xr:uid="{00000000-0006-0000-0400-000023000000}">
      <text>
        <r>
          <rPr>
            <b/>
            <sz val="12"/>
            <color indexed="81"/>
            <rFont val="맑은 고딕"/>
            <family val="3"/>
            <charset val="129"/>
          </rPr>
          <t>현금부족 시 부족분만큼 자동대출됨</t>
        </r>
      </text>
    </comment>
  </commentList>
</comments>
</file>

<file path=xl/sharedStrings.xml><?xml version="1.0" encoding="utf-8"?>
<sst xmlns="http://schemas.openxmlformats.org/spreadsheetml/2006/main" count="2437" uniqueCount="1254">
  <si>
    <t xml:space="preserve">1. 라인당 생산량 Table </t>
    <phoneticPr fontId="3" type="noConversion"/>
  </si>
  <si>
    <t>한국</t>
  </si>
  <si>
    <t xml:space="preserve"> 작업시간</t>
  </si>
  <si>
    <t>정규</t>
  </si>
  <si>
    <t>2교대</t>
  </si>
  <si>
    <t xml:space="preserve">2. 라인당 노무비 Table </t>
    <phoneticPr fontId="3" type="noConversion"/>
  </si>
  <si>
    <t>(정규라인 입력 값에 자동 연동)</t>
    <phoneticPr fontId="3" type="noConversion"/>
  </si>
  <si>
    <t xml:space="preserve"> </t>
  </si>
  <si>
    <t>한국 (원)</t>
    <phoneticPr fontId="3" type="noConversion"/>
  </si>
  <si>
    <t xml:space="preserve">작업시간 </t>
  </si>
  <si>
    <t xml:space="preserve">3. 모델별 재료비 Table </t>
  </si>
  <si>
    <t>모델 번호</t>
  </si>
  <si>
    <t>한국 공장</t>
    <phoneticPr fontId="3" type="noConversion"/>
  </si>
  <si>
    <t>4. 라인당 Utility 비용</t>
    <phoneticPr fontId="3" type="noConversion"/>
  </si>
  <si>
    <t>생산라인</t>
    <phoneticPr fontId="3" type="noConversion"/>
  </si>
  <si>
    <t>비용</t>
    <phoneticPr fontId="3" type="noConversion"/>
  </si>
  <si>
    <t>6. 생산라인 인력 채용 및 훈련 비용 Table (정규 및 2교대 동일)</t>
  </si>
  <si>
    <t>정규 및 2교대</t>
    <phoneticPr fontId="3" type="noConversion"/>
  </si>
  <si>
    <t xml:space="preserve">7. 생산라인 신설비용 Table </t>
    <phoneticPr fontId="3" type="noConversion"/>
  </si>
  <si>
    <t>정규 생산라인</t>
  </si>
  <si>
    <t>8. 공장 신설비용 Table</t>
  </si>
  <si>
    <t>공장 신설비용</t>
  </si>
  <si>
    <t xml:space="preserve">9. 공장 감가상각비율 Table </t>
    <phoneticPr fontId="3" type="noConversion"/>
  </si>
  <si>
    <t>감가상각기간(분기)</t>
    <phoneticPr fontId="3" type="noConversion"/>
  </si>
  <si>
    <t>초기 구입가 (원)</t>
    <phoneticPr fontId="3" type="noConversion"/>
  </si>
  <si>
    <t>감가 상각비율</t>
  </si>
  <si>
    <t>분기별 감가상각비</t>
    <phoneticPr fontId="3" type="noConversion"/>
  </si>
  <si>
    <t xml:space="preserve">한국 공장 </t>
  </si>
  <si>
    <t>10. 생산라인 감가상각비용 Table</t>
    <phoneticPr fontId="3" type="noConversion"/>
  </si>
  <si>
    <t>11. 생산라인의 조업중지 시 노무비율</t>
    <phoneticPr fontId="3" type="noConversion"/>
  </si>
  <si>
    <t xml:space="preserve">12. 생산라인의 패쇄비율 Table </t>
    <phoneticPr fontId="3" type="noConversion"/>
  </si>
  <si>
    <t xml:space="preserve">장부가의 폐쇄 비율 </t>
    <phoneticPr fontId="3" type="noConversion"/>
  </si>
  <si>
    <t xml:space="preserve">13. 공장의 패쇄비율 Table </t>
    <phoneticPr fontId="3" type="noConversion"/>
  </si>
  <si>
    <t xml:space="preserve">14. 영업 본부 임직원 급여 Table </t>
    <phoneticPr fontId="3" type="noConversion"/>
  </si>
  <si>
    <t>분기별 지급액</t>
    <phoneticPr fontId="3" type="noConversion"/>
  </si>
  <si>
    <t xml:space="preserve">15. 한국 본사 임직원 급여 Table </t>
    <phoneticPr fontId="3" type="noConversion"/>
  </si>
  <si>
    <t xml:space="preserve">16. 물류비  Table </t>
    <phoneticPr fontId="3" type="noConversion"/>
  </si>
  <si>
    <t>한국-한국</t>
  </si>
  <si>
    <t>단위당 물류비 (원)</t>
    <phoneticPr fontId="3" type="noConversion"/>
  </si>
  <si>
    <t xml:space="preserve">17. 재고관리비 Table </t>
    <phoneticPr fontId="3" type="noConversion"/>
  </si>
  <si>
    <t>단위당 재고관리비용</t>
    <phoneticPr fontId="3" type="noConversion"/>
  </si>
  <si>
    <t xml:space="preserve">18. 영업본부 관리비 Table </t>
    <phoneticPr fontId="3" type="noConversion"/>
  </si>
  <si>
    <t>분기당</t>
    <phoneticPr fontId="3" type="noConversion"/>
  </si>
  <si>
    <t xml:space="preserve">19. 유통 매장관리비 Table </t>
    <phoneticPr fontId="3" type="noConversion"/>
  </si>
  <si>
    <t>분기 당</t>
    <phoneticPr fontId="3" type="noConversion"/>
  </si>
  <si>
    <t xml:space="preserve">20. 신규영업사원 채용 및 교육훈련비 Table </t>
    <phoneticPr fontId="3" type="noConversion"/>
  </si>
  <si>
    <t>21. 본사 임차료 Table</t>
    <phoneticPr fontId="3" type="noConversion"/>
  </si>
  <si>
    <t>한국 본사 (원)</t>
    <phoneticPr fontId="3" type="noConversion"/>
  </si>
  <si>
    <t xml:space="preserve">22. 제세공과금 비율 Table </t>
    <phoneticPr fontId="3" type="noConversion"/>
  </si>
  <si>
    <t>제세공과금 비율</t>
    <phoneticPr fontId="3" type="noConversion"/>
  </si>
  <si>
    <t>24. 법인세율 Table</t>
    <phoneticPr fontId="3" type="noConversion"/>
  </si>
  <si>
    <t xml:space="preserve">25. 매출 채권 Table </t>
    <phoneticPr fontId="3" type="noConversion"/>
  </si>
  <si>
    <t>26. 은행 대출 Table</t>
    <phoneticPr fontId="3" type="noConversion"/>
  </si>
  <si>
    <t>27. 회사채 발행 Table</t>
    <phoneticPr fontId="3" type="noConversion"/>
  </si>
  <si>
    <t>28. 주식 Table</t>
    <phoneticPr fontId="3" type="noConversion"/>
  </si>
  <si>
    <t xml:space="preserve">주식 수 </t>
    <phoneticPr fontId="3" type="noConversion"/>
  </si>
  <si>
    <t>주식 액면가</t>
    <phoneticPr fontId="3" type="noConversion"/>
  </si>
  <si>
    <t>29. 청산매출액 Table</t>
    <phoneticPr fontId="3" type="noConversion"/>
  </si>
  <si>
    <t>단위당 청산매출액 (원)</t>
    <phoneticPr fontId="3" type="noConversion"/>
  </si>
  <si>
    <t>생산라인</t>
  </si>
  <si>
    <t>초기 구입가</t>
  </si>
  <si>
    <t>분기별 감가상각비</t>
  </si>
  <si>
    <t>1. 당기제품 제조원가</t>
  </si>
  <si>
    <t>2. 생산량</t>
  </si>
  <si>
    <t>3. 단위당 제조원가</t>
  </si>
  <si>
    <t>한국 공장</t>
  </si>
  <si>
    <t>원가항목</t>
  </si>
  <si>
    <t>계산항목</t>
  </si>
  <si>
    <t>총액</t>
  </si>
  <si>
    <t>제품 모델</t>
  </si>
  <si>
    <t>단위당 재료비</t>
  </si>
  <si>
    <t>생산라인수</t>
  </si>
  <si>
    <t>작업시간</t>
  </si>
  <si>
    <t>라인당 노무비</t>
  </si>
  <si>
    <t>1.3.1 공장감가상각</t>
    <phoneticPr fontId="22" type="noConversion"/>
  </si>
  <si>
    <t>1.3.2 설비감가상각</t>
    <phoneticPr fontId="22" type="noConversion"/>
  </si>
  <si>
    <t>라인당 감가상각비</t>
  </si>
  <si>
    <t>1.3.3 utility 비</t>
    <phoneticPr fontId="22" type="noConversion"/>
  </si>
  <si>
    <t>라인당 utility비용</t>
  </si>
  <si>
    <t>1.3.4 공장 기타 경비</t>
    <phoneticPr fontId="22" type="noConversion"/>
  </si>
  <si>
    <t>공장기타경비</t>
  </si>
  <si>
    <t>1.3.6 생산라인교육비</t>
    <phoneticPr fontId="22" type="noConversion"/>
  </si>
  <si>
    <t>신설 라인수</t>
  </si>
  <si>
    <t>1.3.7 조업중지비</t>
    <phoneticPr fontId="22" type="noConversion"/>
  </si>
  <si>
    <t>조업중지 라인 수</t>
  </si>
  <si>
    <t>조업중지 손해율</t>
  </si>
  <si>
    <t>1. 라인당 생산량</t>
  </si>
  <si>
    <t xml:space="preserve"> 한국</t>
  </si>
  <si>
    <t>3. 모델별 재료비</t>
  </si>
  <si>
    <t>비용</t>
  </si>
  <si>
    <t>정규 및 2교대</t>
  </si>
  <si>
    <t>공장신설비용</t>
  </si>
  <si>
    <r>
      <rPr>
        <b/>
        <sz val="14"/>
        <color indexed="10"/>
        <rFont val="맑은 고딕"/>
        <family val="3"/>
        <charset val="129"/>
      </rPr>
      <t xml:space="preserve">(Output) </t>
    </r>
    <r>
      <rPr>
        <b/>
        <sz val="14"/>
        <color indexed="8"/>
        <rFont val="맑은 고딕"/>
        <family val="3"/>
        <charset val="129"/>
      </rPr>
      <t xml:space="preserve"> 현금흐름표 추정치</t>
    </r>
    <phoneticPr fontId="30" type="noConversion"/>
  </si>
  <si>
    <t>ROE 분석 구조도</t>
    <phoneticPr fontId="30" type="noConversion"/>
  </si>
  <si>
    <t>역할</t>
    <phoneticPr fontId="30" type="noConversion"/>
  </si>
  <si>
    <t>의사결정 및 추정변수</t>
    <phoneticPr fontId="22" type="noConversion"/>
  </si>
  <si>
    <t>한국</t>
    <phoneticPr fontId="22" type="noConversion"/>
  </si>
  <si>
    <t>항목</t>
    <phoneticPr fontId="22" type="noConversion"/>
  </si>
  <si>
    <t>예상치</t>
    <phoneticPr fontId="22" type="noConversion"/>
  </si>
  <si>
    <t>항목</t>
  </si>
  <si>
    <t>금액</t>
    <phoneticPr fontId="2" type="noConversion"/>
  </si>
  <si>
    <t>A. 예상치</t>
    <phoneticPr fontId="30" type="noConversion"/>
  </si>
  <si>
    <t>항 목</t>
  </si>
  <si>
    <t xml:space="preserve"> 금 액</t>
  </si>
  <si>
    <t xml:space="preserve"> 합 계</t>
  </si>
  <si>
    <t xml:space="preserve">▶ 경영 성과와 재무 상태에 따른 재무 비율 분석 </t>
    <phoneticPr fontId="2" type="noConversion"/>
  </si>
  <si>
    <t>구분</t>
    <phoneticPr fontId="22" type="noConversion"/>
  </si>
  <si>
    <t>I. 매출액</t>
    <phoneticPr fontId="22" type="noConversion"/>
  </si>
  <si>
    <t>I. 영업활동으로 인한 현금흐름</t>
  </si>
  <si>
    <t>I.  영업활동 현금 흐름</t>
  </si>
  <si>
    <t>Ⅰ. 유동자산</t>
  </si>
  <si>
    <t>구분</t>
    <phoneticPr fontId="2" type="noConversion"/>
  </si>
  <si>
    <t>주요 재무비율</t>
    <phoneticPr fontId="2" type="noConversion"/>
  </si>
  <si>
    <t>구성 요소</t>
    <phoneticPr fontId="2" type="noConversion"/>
  </si>
  <si>
    <t>비율</t>
    <phoneticPr fontId="2" type="noConversion"/>
  </si>
  <si>
    <t>(Input)</t>
    <phoneticPr fontId="2" type="noConversion"/>
  </si>
  <si>
    <t>손익계산서 활용</t>
    <phoneticPr fontId="22" type="noConversion"/>
  </si>
  <si>
    <t>매출액</t>
    <phoneticPr fontId="2" type="noConversion"/>
  </si>
  <si>
    <t>매출원가</t>
    <phoneticPr fontId="2" type="noConversion"/>
  </si>
  <si>
    <t xml:space="preserve">  1. 매출 등 수익활동으로부터 유입액</t>
  </si>
  <si>
    <t>II. 투자활동 현금 흐름</t>
  </si>
  <si>
    <t xml:space="preserve">     1. 당좌자산</t>
    <phoneticPr fontId="2" type="noConversion"/>
  </si>
  <si>
    <t>수익성</t>
    <phoneticPr fontId="22" type="noConversion"/>
  </si>
  <si>
    <t>매출총이익</t>
    <phoneticPr fontId="2" type="noConversion"/>
  </si>
  <si>
    <t>이익</t>
    <phoneticPr fontId="2" type="noConversion"/>
  </si>
  <si>
    <t>III. 재무활동 현금 흐름</t>
  </si>
  <si>
    <t xml:space="preserve">        가. 현금 및 현금 등가물</t>
    <phoneticPr fontId="2" type="noConversion"/>
  </si>
  <si>
    <t>자기자본</t>
    <phoneticPr fontId="2" type="noConversion"/>
  </si>
  <si>
    <t>영업이익</t>
    <phoneticPr fontId="2" type="noConversion"/>
  </si>
  <si>
    <t>+</t>
    <phoneticPr fontId="22" type="noConversion"/>
  </si>
  <si>
    <t>1. 판매제품 모델</t>
    <phoneticPr fontId="22" type="noConversion"/>
  </si>
  <si>
    <t xml:space="preserve">   3. 청산 매출액</t>
    <phoneticPr fontId="22" type="noConversion"/>
  </si>
  <si>
    <t xml:space="preserve">       가. 전기 매출 유입액 (=전기 매출액의 0.4)</t>
    <phoneticPr fontId="2" type="noConversion"/>
  </si>
  <si>
    <t xml:space="preserve">IV. 현금의 증가/손실 (=I+II+III) </t>
  </si>
  <si>
    <t xml:space="preserve">        나. 매출채권</t>
    <phoneticPr fontId="2" type="noConversion"/>
  </si>
  <si>
    <t>경상이익</t>
    <phoneticPr fontId="2" type="noConversion"/>
  </si>
  <si>
    <t>판관비</t>
    <phoneticPr fontId="2" type="noConversion"/>
  </si>
  <si>
    <t>영업외 수익</t>
    <phoneticPr fontId="2" type="noConversion"/>
  </si>
  <si>
    <t>/</t>
    <phoneticPr fontId="2" type="noConversion"/>
  </si>
  <si>
    <t>매출액 이익율</t>
    <phoneticPr fontId="2" type="noConversion"/>
  </si>
  <si>
    <t>II. 매출원가</t>
    <phoneticPr fontId="22" type="noConversion"/>
  </si>
  <si>
    <t xml:space="preserve">       나. 당기 매출 유입액 (=당기 매출액의 0.6)</t>
    <phoneticPr fontId="2" type="noConversion"/>
  </si>
  <si>
    <t xml:space="preserve">   V. 기초의 현금 </t>
    <phoneticPr fontId="2" type="noConversion"/>
  </si>
  <si>
    <t xml:space="preserve">        다. 단기 금융상품</t>
    <phoneticPr fontId="2" type="noConversion"/>
  </si>
  <si>
    <t>순이익</t>
    <phoneticPr fontId="2" type="noConversion"/>
  </si>
  <si>
    <t xml:space="preserve">   1. 기초 제품 재고액</t>
    <phoneticPr fontId="22" type="noConversion"/>
  </si>
  <si>
    <t xml:space="preserve">  2. 매입 및 종업원에 대한 유출액</t>
  </si>
  <si>
    <t xml:space="preserve">   VI. 기말의 현금 (=IV+V) </t>
    <phoneticPr fontId="2" type="noConversion"/>
  </si>
  <si>
    <t xml:space="preserve">        라. 단기 매매증권(=유가증권의 기말장부가)</t>
    <phoneticPr fontId="2" type="noConversion"/>
  </si>
  <si>
    <t>유동성</t>
    <phoneticPr fontId="22" type="noConversion"/>
  </si>
  <si>
    <t>당좌자산</t>
    <phoneticPr fontId="2" type="noConversion"/>
  </si>
  <si>
    <t>재무상태표 활용</t>
    <phoneticPr fontId="22" type="noConversion"/>
  </si>
  <si>
    <t>자산</t>
    <phoneticPr fontId="2" type="noConversion"/>
  </si>
  <si>
    <t>-</t>
    <phoneticPr fontId="2" type="noConversion"/>
  </si>
  <si>
    <t>4. 유통매장 신설 및 폐쇄</t>
    <phoneticPr fontId="22" type="noConversion"/>
  </si>
  <si>
    <t xml:space="preserve">   2. 당분기 제조원가 </t>
    <phoneticPr fontId="22" type="noConversion"/>
  </si>
  <si>
    <t xml:space="preserve">       가. 총 제조원가</t>
    <phoneticPr fontId="2" type="noConversion"/>
  </si>
  <si>
    <t xml:space="preserve">     2. 재고자산</t>
    <phoneticPr fontId="2" type="noConversion"/>
  </si>
  <si>
    <t>유동부채</t>
    <phoneticPr fontId="2" type="noConversion"/>
  </si>
  <si>
    <t>자본</t>
    <phoneticPr fontId="2" type="noConversion"/>
  </si>
  <si>
    <t xml:space="preserve">영업외 비용 </t>
    <phoneticPr fontId="2" type="noConversion"/>
  </si>
  <si>
    <t>비용</t>
    <phoneticPr fontId="2" type="noConversion"/>
  </si>
  <si>
    <t>5. 광고비</t>
    <phoneticPr fontId="22" type="noConversion"/>
  </si>
  <si>
    <t xml:space="preserve">   3. 기말 제품 재고액</t>
    <phoneticPr fontId="22" type="noConversion"/>
  </si>
  <si>
    <t xml:space="preserve">       나. 감가상각비</t>
    <phoneticPr fontId="2" type="noConversion"/>
  </si>
  <si>
    <t>안정성</t>
    <phoneticPr fontId="2" type="noConversion"/>
  </si>
  <si>
    <t>부채총계</t>
    <phoneticPr fontId="2" type="noConversion"/>
  </si>
  <si>
    <t>(Output)</t>
    <phoneticPr fontId="2" type="noConversion"/>
  </si>
  <si>
    <t>1. 자기자본 이익률 (ROE)</t>
    <phoneticPr fontId="2" type="noConversion"/>
  </si>
  <si>
    <t>순이익 / 자본</t>
    <phoneticPr fontId="2" type="noConversion"/>
  </si>
  <si>
    <t>*</t>
    <phoneticPr fontId="2" type="noConversion"/>
  </si>
  <si>
    <t>6. 매장당 판매촉진비</t>
    <phoneticPr fontId="22" type="noConversion"/>
  </si>
  <si>
    <t>III. 매출 총 이익</t>
    <phoneticPr fontId="22" type="noConversion"/>
  </si>
  <si>
    <t xml:space="preserve">       다. 판매 및 관리비</t>
    <phoneticPr fontId="2" type="noConversion"/>
  </si>
  <si>
    <t>Ⅱ. 비유동자산</t>
  </si>
  <si>
    <t xml:space="preserve">    1-1. 매출액 이익률 (영업활동, 수익성)</t>
    <phoneticPr fontId="2" type="noConversion"/>
  </si>
  <si>
    <t>순이익 / 매출액</t>
    <phoneticPr fontId="2" type="noConversion"/>
  </si>
  <si>
    <t>1. 가동하는 정규 생산라인 수</t>
  </si>
  <si>
    <t>IV. 판매 및 관리비</t>
    <phoneticPr fontId="22" type="noConversion"/>
  </si>
  <si>
    <t xml:space="preserve">  3. 이자 수익 유입액</t>
  </si>
  <si>
    <t>활동성</t>
    <phoneticPr fontId="2" type="noConversion"/>
  </si>
  <si>
    <t xml:space="preserve">    1-2. 자산 회전율 (투자활동, 활동성 )</t>
    <phoneticPr fontId="2" type="noConversion"/>
  </si>
  <si>
    <t>매출액 / 자산</t>
    <phoneticPr fontId="2" type="noConversion"/>
  </si>
  <si>
    <t>법인세</t>
    <phoneticPr fontId="2" type="noConversion"/>
  </si>
  <si>
    <t>2. 조업 중지 정규 생산라인 수</t>
  </si>
  <si>
    <t xml:space="preserve">  4. 이자 비용 유출액</t>
  </si>
  <si>
    <t>총자산</t>
    <phoneticPr fontId="2" type="noConversion"/>
  </si>
  <si>
    <t xml:space="preserve">    1-3. 레버리지 비율 (재무활동, 부채비율) </t>
    <phoneticPr fontId="2" type="noConversion"/>
  </si>
  <si>
    <t>자산 / 자본</t>
    <phoneticPr fontId="2" type="noConversion"/>
  </si>
  <si>
    <t>유동자산</t>
    <phoneticPr fontId="2" type="noConversion"/>
  </si>
  <si>
    <t xml:space="preserve">3. 폐쇄하는 정규 생산라인 수  </t>
  </si>
  <si>
    <t xml:space="preserve">  5. 법인세의 지급</t>
  </si>
  <si>
    <t>성장성</t>
    <phoneticPr fontId="2" type="noConversion"/>
  </si>
  <si>
    <t xml:space="preserve">2. 영역별 효율성 </t>
    <phoneticPr fontId="2" type="noConversion"/>
  </si>
  <si>
    <t>자산회전율</t>
    <phoneticPr fontId="2" type="noConversion"/>
  </si>
  <si>
    <t>ROE</t>
    <phoneticPr fontId="2" type="noConversion"/>
  </si>
  <si>
    <t xml:space="preserve">4. 정규 생산라인의 작업 시간 </t>
  </si>
  <si>
    <t>II. 투자활동으로 인한 현금흐름</t>
  </si>
  <si>
    <t xml:space="preserve">    2-1. 생산/구매 효율성</t>
    <phoneticPr fontId="2" type="noConversion"/>
  </si>
  <si>
    <t>(매출액-매출원가) / 매출액</t>
    <phoneticPr fontId="2" type="noConversion"/>
  </si>
  <si>
    <t>+</t>
    <phoneticPr fontId="2" type="noConversion"/>
  </si>
  <si>
    <t xml:space="preserve">5. 가동하는 2교대 생산라인 수 </t>
  </si>
  <si>
    <t xml:space="preserve">   4. 광고비   </t>
    <phoneticPr fontId="22" type="noConversion"/>
  </si>
  <si>
    <t xml:space="preserve">   1. 투자활동으로 인한 현금 유입액</t>
  </si>
  <si>
    <t xml:space="preserve">    2-2. 경영관리 효율성</t>
    <phoneticPr fontId="2" type="noConversion"/>
  </si>
  <si>
    <t xml:space="preserve">(매출 총이익-판관비) / 매출총이익 </t>
    <phoneticPr fontId="2" type="noConversion"/>
  </si>
  <si>
    <t>비유동자산</t>
    <phoneticPr fontId="2" type="noConversion"/>
  </si>
  <si>
    <t xml:space="preserve">6. 조업 중지 2교대 생산라인 수 </t>
  </si>
  <si>
    <t xml:space="preserve">   5. 판매 촉진비 </t>
    <phoneticPr fontId="22" type="noConversion"/>
  </si>
  <si>
    <t xml:space="preserve">    2-3. 자금관리 효율성</t>
    <phoneticPr fontId="2" type="noConversion"/>
  </si>
  <si>
    <t xml:space="preserve">경상이익 / 영업이익 </t>
    <phoneticPr fontId="2" type="noConversion"/>
  </si>
  <si>
    <t xml:space="preserve">7. 폐쇄하는 2교대 생산라인 수  </t>
  </si>
  <si>
    <t>자산총계</t>
  </si>
  <si>
    <t xml:space="preserve">    2-4. 세금 경쟁력</t>
    <phoneticPr fontId="2" type="noConversion"/>
  </si>
  <si>
    <t xml:space="preserve">(경상이익-법인세 비용) / 경상이익 </t>
    <phoneticPr fontId="2" type="noConversion"/>
  </si>
  <si>
    <t xml:space="preserve">8. 2교대 생산라인의 작업 시간 </t>
  </si>
  <si>
    <t xml:space="preserve">   7. 재고관리비 </t>
    <phoneticPr fontId="22" type="noConversion"/>
  </si>
  <si>
    <t xml:space="preserve">       다. 생산설비의 매각</t>
    <phoneticPr fontId="2" type="noConversion"/>
  </si>
  <si>
    <t>Ⅰ. 유동부채</t>
  </si>
  <si>
    <t xml:space="preserve">   8. 영업본부 유지비  </t>
    <phoneticPr fontId="22" type="noConversion"/>
  </si>
  <si>
    <t xml:space="preserve">       라. 공장의 매각</t>
    <phoneticPr fontId="2" type="noConversion"/>
  </si>
  <si>
    <t xml:space="preserve">     1. 단기차입금</t>
    <phoneticPr fontId="2" type="noConversion"/>
  </si>
  <si>
    <t>부채</t>
    <phoneticPr fontId="2" type="noConversion"/>
  </si>
  <si>
    <t xml:space="preserve">   2. 투자활동으로 인한 현금 유출액</t>
  </si>
  <si>
    <t>Ⅱ. 비유동부채</t>
  </si>
  <si>
    <t xml:space="preserve">     1. 사채</t>
    <phoneticPr fontId="2" type="noConversion"/>
  </si>
  <si>
    <t>레버리지 비율</t>
    <phoneticPr fontId="2" type="noConversion"/>
  </si>
  <si>
    <t>부채총계</t>
  </si>
  <si>
    <t xml:space="preserve">       다. 생산설비의 취득</t>
    <phoneticPr fontId="2" type="noConversion"/>
  </si>
  <si>
    <t xml:space="preserve">       라. 공장의 취득</t>
    <phoneticPr fontId="2" type="noConversion"/>
  </si>
  <si>
    <t>Ⅱ. 자본 잉여금</t>
  </si>
  <si>
    <t>V. 영업이익</t>
  </si>
  <si>
    <t>VI. 영업외 수익</t>
  </si>
  <si>
    <t>III. 재무활동으로 인한 현금흐름</t>
  </si>
  <si>
    <t xml:space="preserve">   2. 유가증권 평가 이익</t>
    <phoneticPr fontId="22" type="noConversion"/>
  </si>
  <si>
    <t>VII. 영업외 비용</t>
  </si>
  <si>
    <t xml:space="preserve">       나. 사채의 발행 (=당기 회사채 발행금액)</t>
    <phoneticPr fontId="2" type="noConversion"/>
  </si>
  <si>
    <t>Ⅲ. 이익 잉여금</t>
  </si>
  <si>
    <t>2. 회사채 발행</t>
    <phoneticPr fontId="22" type="noConversion"/>
  </si>
  <si>
    <t xml:space="preserve">   1. 이자비용</t>
    <phoneticPr fontId="22" type="noConversion"/>
  </si>
  <si>
    <t xml:space="preserve">       다. 주식의 발행 (=당기 발행 주식수*전기 주가)</t>
    <phoneticPr fontId="2" type="noConversion"/>
  </si>
  <si>
    <t>3. 주식발행 (주)</t>
    <phoneticPr fontId="22" type="noConversion"/>
  </si>
  <si>
    <t xml:space="preserve">   2. 유가증권 평가 손실</t>
    <phoneticPr fontId="22" type="noConversion"/>
  </si>
  <si>
    <t>(전기 주가)</t>
    <phoneticPr fontId="2" type="noConversion"/>
  </si>
  <si>
    <t>4. 양도성 예금증서 투자</t>
    <phoneticPr fontId="22" type="noConversion"/>
  </si>
  <si>
    <t xml:space="preserve">   2. 재무활동으로 인한 현금 유출액</t>
  </si>
  <si>
    <t>5. 펀드투자 (계좌수)</t>
    <phoneticPr fontId="22" type="noConversion"/>
  </si>
  <si>
    <t>VIII. 경상이익</t>
  </si>
  <si>
    <t xml:space="preserve">        2-2. 배당금</t>
    <phoneticPr fontId="2" type="noConversion"/>
  </si>
  <si>
    <t>6. 배당</t>
    <phoneticPr fontId="22" type="noConversion"/>
  </si>
  <si>
    <t>IX. 중단 사업 손익</t>
    <phoneticPr fontId="2" type="noConversion"/>
  </si>
  <si>
    <t xml:space="preserve">       나. 사채의 상환 (=회사채 발행 시 4분기 후 자동상환)</t>
    <phoneticPr fontId="2" type="noConversion"/>
  </si>
  <si>
    <t>Ⅳ. 자본 조정</t>
  </si>
  <si>
    <t>X. 법인세비용 차감전 순이익</t>
  </si>
  <si>
    <t xml:space="preserve">       다. 배당금 지급</t>
    <phoneticPr fontId="2" type="noConversion"/>
  </si>
  <si>
    <t>자본 총계</t>
  </si>
  <si>
    <t>XI. 법인세 비용</t>
  </si>
  <si>
    <t>부채와 자본 총계</t>
  </si>
  <si>
    <t xml:space="preserve">ⅩII. 당기 순이익 </t>
  </si>
  <si>
    <t>V. 기초의 현금</t>
    <phoneticPr fontId="22" type="noConversion"/>
  </si>
  <si>
    <t>※자산총계와 부채와 자본 총계의 불일치 시 이익잉여금으로 조정함</t>
  </si>
  <si>
    <t>합계</t>
    <phoneticPr fontId="22" type="noConversion"/>
  </si>
  <si>
    <t>합계</t>
  </si>
  <si>
    <t xml:space="preserve">  1. 국내 매출액</t>
    <phoneticPr fontId="22" type="noConversion"/>
  </si>
  <si>
    <t xml:space="preserve">       1-2. 한국영업본부 판매량 </t>
    <phoneticPr fontId="2" type="noConversion"/>
  </si>
  <si>
    <t xml:space="preserve">  2. 수출액</t>
    <phoneticPr fontId="22" type="noConversion"/>
  </si>
  <si>
    <t xml:space="preserve">     3-1. 한국영업본부 청산매출액 </t>
    <phoneticPr fontId="2" type="noConversion"/>
  </si>
  <si>
    <t>생산라인수</t>
    <phoneticPr fontId="2" type="noConversion"/>
  </si>
  <si>
    <t xml:space="preserve">          한국 영업직원 수 </t>
  </si>
  <si>
    <t xml:space="preserve">          한국영업본부 기본급</t>
  </si>
  <si>
    <t>▶ 생산 Paramter Table</t>
    <phoneticPr fontId="2" type="noConversion"/>
  </si>
  <si>
    <t xml:space="preserve">         한국 영업본부 매장 수</t>
  </si>
  <si>
    <t xml:space="preserve">  7. 재고관리비 </t>
  </si>
  <si>
    <t xml:space="preserve">  8. 영업본부 유지비 </t>
  </si>
  <si>
    <t xml:space="preserve">  9. 유통 매장 유지비</t>
    <phoneticPr fontId="2" type="noConversion"/>
  </si>
  <si>
    <t xml:space="preserve">  11. 연구 개발비  </t>
    <phoneticPr fontId="2" type="noConversion"/>
  </si>
  <si>
    <t xml:space="preserve">  12. 본사 임차료 </t>
  </si>
  <si>
    <t>2. 영업본부의 공장 발주량</t>
    <phoneticPr fontId="22" type="noConversion"/>
  </si>
  <si>
    <t>3. 판매가격</t>
    <phoneticPr fontId="22" type="noConversion"/>
  </si>
  <si>
    <t>9. 부품 구매량</t>
    <phoneticPr fontId="45" type="noConversion"/>
  </si>
  <si>
    <t xml:space="preserve">       1-1. 한국영업본부 가격 </t>
    <phoneticPr fontId="2" type="noConversion"/>
  </si>
  <si>
    <t xml:space="preserve">   2. 영업 직원 급여</t>
  </si>
  <si>
    <t xml:space="preserve">          한국 본사 임직원급여</t>
    <phoneticPr fontId="28" type="noConversion"/>
  </si>
  <si>
    <t xml:space="preserve">          한국 영업본부 임직원급여</t>
    <phoneticPr fontId="28" type="noConversion"/>
  </si>
  <si>
    <t xml:space="preserve">          한국 영업직원 복리후생비</t>
    <phoneticPr fontId="28" type="noConversion"/>
  </si>
  <si>
    <t>유통채널 M&amp;A</t>
    <phoneticPr fontId="28" type="noConversion"/>
  </si>
  <si>
    <t>1. 은행 대출</t>
    <phoneticPr fontId="22" type="noConversion"/>
  </si>
  <si>
    <t>IX. 중단 사업 손익</t>
    <phoneticPr fontId="28" type="noConversion"/>
  </si>
  <si>
    <t xml:space="preserve">  3. 청산 매출액</t>
    <phoneticPr fontId="22" type="noConversion"/>
  </si>
  <si>
    <t xml:space="preserve">  1. 기초 제품 재고액</t>
    <phoneticPr fontId="22" type="noConversion"/>
  </si>
  <si>
    <t xml:space="preserve">  2. 당분기 생산원가 </t>
    <phoneticPr fontId="22" type="noConversion"/>
  </si>
  <si>
    <t xml:space="preserve">  3. 기말 제품 재고액</t>
    <phoneticPr fontId="22" type="noConversion"/>
  </si>
  <si>
    <t xml:space="preserve">  1. 임직원 급여</t>
    <phoneticPr fontId="2" type="noConversion"/>
  </si>
  <si>
    <t xml:space="preserve">    1-1. 한국 임직원 급여</t>
    <phoneticPr fontId="28" type="noConversion"/>
  </si>
  <si>
    <t xml:space="preserve">    2-1. 한국영업본부 영업직원 급여</t>
    <phoneticPr fontId="28" type="noConversion"/>
  </si>
  <si>
    <t xml:space="preserve">    4-1. 한국영업본부 광고비</t>
    <phoneticPr fontId="2" type="noConversion"/>
  </si>
  <si>
    <t xml:space="preserve">    5-1. 한국 영업본부 판매촉진비</t>
    <phoneticPr fontId="2" type="noConversion"/>
  </si>
  <si>
    <t xml:space="preserve">    6-1. 한국영업본부 물류비</t>
    <phoneticPr fontId="2" type="noConversion"/>
  </si>
  <si>
    <t xml:space="preserve">    7-1. 한국영업본부 재고관리비</t>
    <phoneticPr fontId="2" type="noConversion"/>
  </si>
  <si>
    <t xml:space="preserve">    9-1. 한국 유통매장 관리비</t>
    <phoneticPr fontId="2" type="noConversion"/>
  </si>
  <si>
    <t xml:space="preserve">    10-1. 영업 교육 훈련비</t>
    <phoneticPr fontId="2" type="noConversion"/>
  </si>
  <si>
    <t xml:space="preserve">  4. 광고비 </t>
    <phoneticPr fontId="28" type="noConversion"/>
  </si>
  <si>
    <t xml:space="preserve">  5. 판매 촉진비 </t>
    <phoneticPr fontId="28" type="noConversion"/>
  </si>
  <si>
    <t xml:space="preserve">  6. 물류비 </t>
    <phoneticPr fontId="28" type="noConversion"/>
  </si>
  <si>
    <t xml:space="preserve">  10. 교육 훈련비 </t>
    <phoneticPr fontId="28" type="noConversion"/>
  </si>
  <si>
    <t xml:space="preserve">       한국 유통 매장 수 </t>
    <phoneticPr fontId="2" type="noConversion"/>
  </si>
  <si>
    <t xml:space="preserve">       * 한국 신규 채용 영업직원 수</t>
    <phoneticPr fontId="28" type="noConversion"/>
  </si>
  <si>
    <t xml:space="preserve">       * 한국영업본부 퇴직금</t>
    <phoneticPr fontId="2" type="noConversion"/>
  </si>
  <si>
    <t xml:space="preserve">         한국 퇴직 직원수</t>
    <phoneticPr fontId="28" type="noConversion"/>
  </si>
  <si>
    <t xml:space="preserve">    10-2. 신규 영업직원의 교육 훈련비</t>
    <phoneticPr fontId="28" type="noConversion"/>
  </si>
  <si>
    <t xml:space="preserve">         한국 영업 직원 교육 훈련비 </t>
    <phoneticPr fontId="28" type="noConversion"/>
  </si>
  <si>
    <t xml:space="preserve">       * 한국 영업 교육 훈련비</t>
    <phoneticPr fontId="2" type="noConversion"/>
  </si>
  <si>
    <t xml:space="preserve">       * 한국영업본부 재고량</t>
    <phoneticPr fontId="2" type="noConversion"/>
  </si>
  <si>
    <t xml:space="preserve">         한국영업본부 입고량  </t>
    <phoneticPr fontId="28" type="noConversion"/>
  </si>
  <si>
    <t xml:space="preserve">         한국 영업본부 매장 판매촉진비</t>
    <phoneticPr fontId="2" type="noConversion"/>
  </si>
  <si>
    <t>2. 작업시간별 노무비율</t>
    <phoneticPr fontId="2" type="noConversion"/>
  </si>
  <si>
    <t>4. 부품긴급구매비용 상승비율</t>
    <phoneticPr fontId="2" type="noConversion"/>
  </si>
  <si>
    <t>5. 라인당 Utility 비용</t>
    <phoneticPr fontId="2" type="noConversion"/>
  </si>
  <si>
    <t>6. 공장기타경비</t>
    <phoneticPr fontId="2" type="noConversion"/>
  </si>
  <si>
    <t>7. 라인 신설 교육훈련비</t>
    <phoneticPr fontId="2" type="noConversion"/>
  </si>
  <si>
    <t>9. 공장 신설비용</t>
    <phoneticPr fontId="2" type="noConversion"/>
  </si>
  <si>
    <t>11. 생산라인 감가상각비율</t>
    <phoneticPr fontId="2" type="noConversion"/>
  </si>
  <si>
    <t>5. 재고관리비</t>
    <phoneticPr fontId="2" type="noConversion"/>
  </si>
  <si>
    <t>6. 영업본부 관리비</t>
    <phoneticPr fontId="2" type="noConversion"/>
  </si>
  <si>
    <t>7. 유통 매장관리비</t>
    <phoneticPr fontId="2" type="noConversion"/>
  </si>
  <si>
    <t>9. 본사 임차료</t>
    <phoneticPr fontId="2" type="noConversion"/>
  </si>
  <si>
    <t xml:space="preserve">10. 제세공과금 비율 </t>
    <phoneticPr fontId="2" type="noConversion"/>
  </si>
  <si>
    <t>12. 법인세 비율</t>
    <phoneticPr fontId="2" type="noConversion"/>
  </si>
  <si>
    <t>과세표준 구간</t>
    <phoneticPr fontId="2" type="noConversion"/>
  </si>
  <si>
    <t>세율</t>
    <phoneticPr fontId="2" type="noConversion"/>
  </si>
  <si>
    <t>세액 조정</t>
    <phoneticPr fontId="2" type="noConversion"/>
  </si>
  <si>
    <t>2억 이하</t>
    <phoneticPr fontId="28" type="noConversion"/>
  </si>
  <si>
    <t>200억 초과</t>
    <phoneticPr fontId="28" type="noConversion"/>
  </si>
  <si>
    <t xml:space="preserve">11. 전략적 의사결정 </t>
    <phoneticPr fontId="2" type="noConversion"/>
  </si>
  <si>
    <t>생산원가 항목</t>
    <phoneticPr fontId="28" type="noConversion"/>
  </si>
  <si>
    <t>비율</t>
    <phoneticPr fontId="28" type="noConversion"/>
  </si>
  <si>
    <t>기존라인 교육훈련비</t>
    <phoneticPr fontId="2" type="noConversion"/>
  </si>
  <si>
    <t>신설라인 교육훈련비</t>
    <phoneticPr fontId="2" type="noConversion"/>
  </si>
  <si>
    <t>가동 라인 수</t>
    <phoneticPr fontId="2" type="noConversion"/>
  </si>
  <si>
    <t>가동 라인당 교육 훈련비</t>
    <phoneticPr fontId="2" type="noConversion"/>
  </si>
  <si>
    <t>부품 구매량</t>
    <phoneticPr fontId="2" type="noConversion"/>
  </si>
  <si>
    <t>부품 긴급구매량</t>
    <phoneticPr fontId="2" type="noConversion"/>
  </si>
  <si>
    <t>라인당 기본급</t>
    <phoneticPr fontId="2" type="noConversion"/>
  </si>
  <si>
    <t>라인당 복리후생비</t>
    <phoneticPr fontId="2" type="noConversion"/>
  </si>
  <si>
    <r>
      <t>1.3.5 설비관리</t>
    </r>
    <r>
      <rPr>
        <sz val="11"/>
        <color indexed="8"/>
        <rFont val="맑은 고딕"/>
        <family val="3"/>
        <charset val="129"/>
      </rPr>
      <t xml:space="preserve"> 및 </t>
    </r>
    <r>
      <rPr>
        <sz val="11"/>
        <color indexed="8"/>
        <rFont val="맑은 고딕"/>
        <family val="3"/>
        <charset val="129"/>
      </rPr>
      <t>품질개선비</t>
    </r>
    <phoneticPr fontId="22" type="noConversion"/>
  </si>
  <si>
    <t>설비관리비</t>
    <phoneticPr fontId="2" type="noConversion"/>
  </si>
  <si>
    <t>품질개선비</t>
    <phoneticPr fontId="2" type="noConversion"/>
  </si>
  <si>
    <t>신설 라인당 교육훈련비</t>
    <phoneticPr fontId="2" type="noConversion"/>
  </si>
  <si>
    <t>작업시간</t>
    <phoneticPr fontId="28" type="noConversion"/>
  </si>
  <si>
    <t>`</t>
    <phoneticPr fontId="28" type="noConversion"/>
  </si>
  <si>
    <t xml:space="preserve">▶ 제조원가 세부 내역  </t>
    <phoneticPr fontId="2" type="noConversion"/>
  </si>
  <si>
    <t>8. 영업직원채용 및 훈련비</t>
    <phoneticPr fontId="2" type="noConversion"/>
  </si>
  <si>
    <t>기타비용 처리 비율</t>
    <phoneticPr fontId="28" type="noConversion"/>
  </si>
  <si>
    <t xml:space="preserve">   3. 유형자산 처분 손실</t>
    <phoneticPr fontId="22" type="noConversion"/>
  </si>
  <si>
    <t>10. 설비관리 보전비(라인당)</t>
    <phoneticPr fontId="45" type="noConversion"/>
  </si>
  <si>
    <t xml:space="preserve">   9. 유통매장 유지비</t>
    <phoneticPr fontId="22" type="noConversion"/>
  </si>
  <si>
    <t xml:space="preserve">   10. 교육훈련비 </t>
    <phoneticPr fontId="22" type="noConversion"/>
  </si>
  <si>
    <t xml:space="preserve">   11. 연구개발비</t>
    <phoneticPr fontId="22" type="noConversion"/>
  </si>
  <si>
    <t xml:space="preserve">   12. 본사임차료 </t>
    <phoneticPr fontId="22" type="noConversion"/>
  </si>
  <si>
    <t xml:space="preserve">   6. 물류비 </t>
    <phoneticPr fontId="22" type="noConversion"/>
  </si>
  <si>
    <t xml:space="preserve">   1. 임직원급여</t>
    <phoneticPr fontId="22" type="noConversion"/>
  </si>
  <si>
    <t xml:space="preserve">   2. 영업직원급여</t>
    <phoneticPr fontId="28" type="noConversion"/>
  </si>
  <si>
    <t xml:space="preserve">       가. 단기 금융상품의 처분 (=전기 양도성예금증서 투자액)</t>
    <phoneticPr fontId="2" type="noConversion"/>
  </si>
  <si>
    <t xml:space="preserve">       가. 단기 금융상품의 취득 (=당기 양도성예금중서 투자액)</t>
    <phoneticPr fontId="2" type="noConversion"/>
  </si>
  <si>
    <t>정규 라인 신설비용</t>
    <phoneticPr fontId="28" type="noConversion"/>
  </si>
  <si>
    <t>8. 생산라인 신설비용</t>
    <phoneticPr fontId="2" type="noConversion"/>
  </si>
  <si>
    <t>공장신설 기간</t>
    <phoneticPr fontId="28" type="noConversion"/>
  </si>
  <si>
    <t>정규생산라인 신설기간</t>
    <phoneticPr fontId="28" type="noConversion"/>
  </si>
  <si>
    <t>10. 생산라인 및 공장 신설기간</t>
    <phoneticPr fontId="2" type="noConversion"/>
  </si>
  <si>
    <t>13. 생산라인 조업중지 손해율</t>
    <phoneticPr fontId="2" type="noConversion"/>
  </si>
  <si>
    <t>15. 공장 폐쇄 손실비율</t>
    <phoneticPr fontId="2" type="noConversion"/>
  </si>
  <si>
    <t>14. 생산라인 폐쇄 손실비율</t>
    <phoneticPr fontId="2" type="noConversion"/>
  </si>
  <si>
    <t>라인 감가상각분기</t>
    <phoneticPr fontId="2" type="noConversion"/>
  </si>
  <si>
    <t>공장 감가상각분기</t>
    <phoneticPr fontId="2" type="noConversion"/>
  </si>
  <si>
    <t>12. 공장 감가상각비율</t>
    <phoneticPr fontId="2" type="noConversion"/>
  </si>
  <si>
    <t xml:space="preserve">▶ 현금흐름표 Parameter table   </t>
    <phoneticPr fontId="2" type="noConversion"/>
  </si>
  <si>
    <t>1. 매출 채권 회수율</t>
    <phoneticPr fontId="2" type="noConversion"/>
  </si>
  <si>
    <t>(4차년도 1분기 기준)</t>
    <phoneticPr fontId="2" type="noConversion"/>
  </si>
  <si>
    <t>전기 매출 회수율</t>
    <phoneticPr fontId="28" type="noConversion"/>
  </si>
  <si>
    <t>당기 매출 회수율</t>
    <phoneticPr fontId="2" type="noConversion"/>
  </si>
  <si>
    <t xml:space="preserve">       나. 유가 증권의 취득 (=취득하는 펀드 계좌수*전기 주가지수)</t>
    <phoneticPr fontId="2" type="noConversion"/>
  </si>
  <si>
    <t xml:space="preserve">       나. 유가 증권의 처분 (=처분하는 펀드 계좌수*전기 주가지수)</t>
    <phoneticPr fontId="2" type="noConversion"/>
  </si>
  <si>
    <t xml:space="preserve">       가. 단기 차입금 및 긴급자금대출 상환</t>
    <phoneticPr fontId="2" type="noConversion"/>
  </si>
  <si>
    <t>VII. 기말의 현금</t>
    <phoneticPr fontId="22" type="noConversion"/>
  </si>
  <si>
    <t>IV. 현금의 증가/감소</t>
    <phoneticPr fontId="2" type="noConversion"/>
  </si>
  <si>
    <t>Ⅵ. 긴급자금대출 (=현금부족 시 자동대출)</t>
    <phoneticPr fontId="22" type="noConversion"/>
  </si>
  <si>
    <t xml:space="preserve">    3-1. 부품 재고액</t>
    <phoneticPr fontId="22" type="noConversion"/>
  </si>
  <si>
    <t xml:space="preserve">    3-2. 제품 재고액</t>
    <phoneticPr fontId="22" type="noConversion"/>
  </si>
  <si>
    <t xml:space="preserve">        한국 제품 재고량 </t>
    <phoneticPr fontId="2" type="noConversion"/>
  </si>
  <si>
    <t xml:space="preserve">        한국 부품 재고량 </t>
    <phoneticPr fontId="2" type="noConversion"/>
  </si>
  <si>
    <t xml:space="preserve">     1. 전기 이익 잉여금</t>
    <phoneticPr fontId="2" type="noConversion"/>
  </si>
  <si>
    <t xml:space="preserve">     2. 당기 이익 잉여금 증가</t>
    <phoneticPr fontId="2" type="noConversion"/>
  </si>
  <si>
    <t xml:space="preserve">        2-2. 전기 주가-액면가</t>
    <phoneticPr fontId="2" type="noConversion"/>
  </si>
  <si>
    <t xml:space="preserve">     1. 전기말 자본 잉여금</t>
    <phoneticPr fontId="2" type="noConversion"/>
  </si>
  <si>
    <t xml:space="preserve">        가. 공장(=공장의 기말장부가)</t>
    <phoneticPr fontId="2" type="noConversion"/>
  </si>
  <si>
    <t xml:space="preserve">        나. 생산설비(=생산라인의 기말장부가)</t>
    <phoneticPr fontId="2" type="noConversion"/>
  </si>
  <si>
    <t xml:space="preserve">        2-1. 당기순이익</t>
    <phoneticPr fontId="2" type="noConversion"/>
  </si>
  <si>
    <t xml:space="preserve">1. 초기 발행 주식 수 </t>
    <phoneticPr fontId="2" type="noConversion"/>
  </si>
  <si>
    <t>2. 액면가</t>
    <phoneticPr fontId="2" type="noConversion"/>
  </si>
  <si>
    <t xml:space="preserve">  1.1 재료원가</t>
    <phoneticPr fontId="2" type="noConversion"/>
  </si>
  <si>
    <t xml:space="preserve">  1.2 노무원가</t>
    <phoneticPr fontId="2" type="noConversion"/>
  </si>
  <si>
    <t xml:space="preserve">  1.3 제조간접원가</t>
    <phoneticPr fontId="2" type="noConversion"/>
  </si>
  <si>
    <t xml:space="preserve">   1.3.1 공장감가상각</t>
    <phoneticPr fontId="2" type="noConversion"/>
  </si>
  <si>
    <t xml:space="preserve">   1.3.2 설비감가상각</t>
    <phoneticPr fontId="2" type="noConversion"/>
  </si>
  <si>
    <t xml:space="preserve">   1.3.3 utility 비</t>
    <phoneticPr fontId="2" type="noConversion"/>
  </si>
  <si>
    <t xml:space="preserve">   1.3.4 공장 기타 경비</t>
    <phoneticPr fontId="2" type="noConversion"/>
  </si>
  <si>
    <t xml:space="preserve">   1.3.5 설비관리 및 품질개선비</t>
    <phoneticPr fontId="2" type="noConversion"/>
  </si>
  <si>
    <t xml:space="preserve">   1.3.6 생산라인 교육비</t>
    <phoneticPr fontId="2" type="noConversion"/>
  </si>
  <si>
    <t xml:space="preserve">   1.3.7 조업중지비</t>
    <phoneticPr fontId="2" type="noConversion"/>
  </si>
  <si>
    <t xml:space="preserve">   1.1 재료원가</t>
    <phoneticPr fontId="2" type="noConversion"/>
  </si>
  <si>
    <t xml:space="preserve">   1.2 노무원가</t>
    <phoneticPr fontId="2" type="noConversion"/>
  </si>
  <si>
    <t xml:space="preserve">   1.3 제조간접원가</t>
    <phoneticPr fontId="2" type="noConversion"/>
  </si>
  <si>
    <t xml:space="preserve">     1. 유형자산</t>
    <phoneticPr fontId="2" type="noConversion"/>
  </si>
  <si>
    <t xml:space="preserve">     3. 투자자산</t>
    <phoneticPr fontId="2" type="noConversion"/>
  </si>
  <si>
    <t>신공정 특허 인수</t>
  </si>
  <si>
    <t>보유라인수</t>
    <phoneticPr fontId="47" type="noConversion"/>
  </si>
  <si>
    <t xml:space="preserve">▶ 재무상태표 Parameter table   </t>
    <phoneticPr fontId="2" type="noConversion"/>
  </si>
  <si>
    <t>수익성 분석 항목</t>
    <phoneticPr fontId="30" type="noConversion"/>
  </si>
  <si>
    <t>한국</t>
    <phoneticPr fontId="30" type="noConversion"/>
  </si>
  <si>
    <t>평균</t>
    <phoneticPr fontId="30" type="noConversion"/>
  </si>
  <si>
    <t>가격기준 비율</t>
    <phoneticPr fontId="30" type="noConversion"/>
  </si>
  <si>
    <t>1. 단위당 가격 (원화)</t>
    <phoneticPr fontId="30" type="noConversion"/>
  </si>
  <si>
    <t>2. 단위당 제조원가</t>
    <phoneticPr fontId="30" type="noConversion"/>
  </si>
  <si>
    <t>3. 단위당 판관비</t>
    <phoneticPr fontId="30" type="noConversion"/>
  </si>
  <si>
    <t xml:space="preserve">시장별 영업 이익 추정치 </t>
    <phoneticPr fontId="30" type="noConversion"/>
  </si>
  <si>
    <t>V. 영업이익</t>
    <phoneticPr fontId="47" type="noConversion"/>
  </si>
  <si>
    <t>VII. 영업외 비용</t>
    <phoneticPr fontId="47" type="noConversion"/>
  </si>
  <si>
    <t>X. 법인세비용 차감전 순이익</t>
    <phoneticPr fontId="47" type="noConversion"/>
  </si>
  <si>
    <t>XI. 법인세 비용</t>
    <phoneticPr fontId="47" type="noConversion"/>
  </si>
  <si>
    <t>VIII. 경상이익</t>
    <phoneticPr fontId="47" type="noConversion"/>
  </si>
  <si>
    <t xml:space="preserve">ⅩII. 당기 순이익 </t>
    <phoneticPr fontId="47" type="noConversion"/>
  </si>
  <si>
    <t xml:space="preserve">  I. 판매 및 관리비 총합</t>
    <phoneticPr fontId="2" type="noConversion"/>
  </si>
  <si>
    <t xml:space="preserve">  II. 판매량 예측치</t>
    <phoneticPr fontId="2" type="noConversion"/>
  </si>
  <si>
    <t xml:space="preserve">  III. 단위당 판관비</t>
    <phoneticPr fontId="2" type="noConversion"/>
  </si>
  <si>
    <t>판매 및 관리비</t>
    <phoneticPr fontId="22" type="noConversion"/>
  </si>
  <si>
    <t xml:space="preserve">   3. 임직원인센티브</t>
  </si>
  <si>
    <t xml:space="preserve">  3. 임직원인센티브 </t>
    <phoneticPr fontId="47" type="noConversion"/>
  </si>
  <si>
    <t>당기 매출액</t>
  </si>
  <si>
    <t xml:space="preserve">         당기 기본급</t>
  </si>
  <si>
    <t>전기 매출액</t>
  </si>
  <si>
    <t>4. 단위당 영업 이익</t>
    <phoneticPr fontId="30" type="noConversion"/>
  </si>
  <si>
    <t xml:space="preserve">5. 시장별 예상 판매량 </t>
    <phoneticPr fontId="30" type="noConversion"/>
  </si>
  <si>
    <r>
      <t>6</t>
    </r>
    <r>
      <rPr>
        <sz val="14"/>
        <color indexed="8"/>
        <rFont val="맑은 고딕"/>
        <family val="3"/>
        <charset val="129"/>
      </rPr>
      <t>. 시장별 예상 매출액</t>
    </r>
    <phoneticPr fontId="30" type="noConversion"/>
  </si>
  <si>
    <t>2억 초과~200억 이하</t>
    <phoneticPr fontId="28" type="noConversion"/>
  </si>
  <si>
    <t xml:space="preserve">    1. 이자 수익 </t>
    <phoneticPr fontId="2" type="noConversion"/>
  </si>
  <si>
    <t xml:space="preserve">    2. 유가증권 평가 이익</t>
    <phoneticPr fontId="2" type="noConversion"/>
  </si>
  <si>
    <t xml:space="preserve">    1. 이자비용</t>
    <phoneticPr fontId="2" type="noConversion"/>
  </si>
  <si>
    <t xml:space="preserve">    2. 유가증권 평가 손실</t>
    <phoneticPr fontId="49" type="noConversion"/>
  </si>
  <si>
    <t xml:space="preserve">    3. 유형자산 처분 손실</t>
    <phoneticPr fontId="28" type="noConversion"/>
  </si>
  <si>
    <t xml:space="preserve">    8-1. 한국 영업 본부 관리비</t>
    <phoneticPr fontId="2" type="noConversion"/>
  </si>
  <si>
    <t xml:space="preserve">        * 한국 청산판매량</t>
    <phoneticPr fontId="2" type="noConversion"/>
  </si>
  <si>
    <t>경영분석도구 (Decision Support Tools)</t>
    <phoneticPr fontId="2" type="noConversion"/>
  </si>
  <si>
    <t>M1. Historical Data Analysis</t>
    <phoneticPr fontId="30" type="noConversion"/>
  </si>
  <si>
    <t>M2. Business Intelligence Tools</t>
    <phoneticPr fontId="30" type="noConversion"/>
  </si>
  <si>
    <t>4. 재무분석 도구</t>
    <phoneticPr fontId="2" type="noConversion"/>
  </si>
  <si>
    <t>1-1. 경제동향</t>
    <phoneticPr fontId="2" type="noConversion"/>
  </si>
  <si>
    <t>1-2. 연도별 의사결정</t>
    <phoneticPr fontId="2" type="noConversion"/>
  </si>
  <si>
    <t>1-3. 연도별 경영성과</t>
    <phoneticPr fontId="2" type="noConversion"/>
  </si>
  <si>
    <t>3. 기초분석자료</t>
    <phoneticPr fontId="2" type="noConversion"/>
  </si>
  <si>
    <t>5. 생산성 분석 도구</t>
    <phoneticPr fontId="2" type="noConversion"/>
  </si>
  <si>
    <t>3-5. R&amp;D와 제품모델 및 판매량과의 관계</t>
    <phoneticPr fontId="2" type="noConversion"/>
  </si>
  <si>
    <t>6. 경제성 분석 도구</t>
    <phoneticPr fontId="2" type="noConversion"/>
  </si>
  <si>
    <t>3-7. 광고비와 판매량간의 관계</t>
    <phoneticPr fontId="2" type="noConversion"/>
  </si>
  <si>
    <t>3-8. 유통매장수와 판매량간의 관계</t>
    <phoneticPr fontId="2" type="noConversion"/>
  </si>
  <si>
    <t>7 What-if 및 시나리오 분석</t>
    <phoneticPr fontId="2" type="noConversion"/>
  </si>
  <si>
    <t>(1) What-if 분석</t>
    <phoneticPr fontId="2" type="noConversion"/>
  </si>
  <si>
    <t>(2) 시나리오 분석</t>
    <phoneticPr fontId="2" type="noConversion"/>
  </si>
  <si>
    <t>(4) 재무비율</t>
    <phoneticPr fontId="2" type="noConversion"/>
  </si>
  <si>
    <t>(2) EVA 분석</t>
    <phoneticPr fontId="2" type="noConversion"/>
  </si>
  <si>
    <t>(3) 생산성 분석</t>
    <phoneticPr fontId="2" type="noConversion"/>
  </si>
  <si>
    <t>(2) BEP 분석</t>
    <phoneticPr fontId="2" type="noConversion"/>
  </si>
  <si>
    <t>(3) NPV 분석</t>
    <phoneticPr fontId="2" type="noConversion"/>
  </si>
  <si>
    <t>(4) IRR 분석</t>
    <phoneticPr fontId="2" type="noConversion"/>
  </si>
  <si>
    <t>(1) 경제성 분석</t>
    <phoneticPr fontId="2" type="noConversion"/>
  </si>
  <si>
    <t>(1) HR원가 분석</t>
    <phoneticPr fontId="2" type="noConversion"/>
  </si>
  <si>
    <t>(2) 현금흐름</t>
    <phoneticPr fontId="2" type="noConversion"/>
  </si>
  <si>
    <t>(3) 재무상태</t>
    <phoneticPr fontId="2" type="noConversion"/>
  </si>
  <si>
    <t>(1) 손익추정/수익성/제조원가/판관비</t>
    <phoneticPr fontId="2" type="noConversion"/>
  </si>
  <si>
    <t xml:space="preserve">4. 활동중인 영업직원수 예측치 </t>
    <phoneticPr fontId="22" type="noConversion"/>
  </si>
  <si>
    <t>구분</t>
  </si>
  <si>
    <t>주요 지표</t>
  </si>
  <si>
    <t>금액</t>
  </si>
  <si>
    <t>세후 영업이익 합계</t>
    <phoneticPr fontId="2" type="noConversion"/>
  </si>
  <si>
    <t>자본 비용</t>
    <phoneticPr fontId="2" type="noConversion"/>
  </si>
  <si>
    <t>자본 조달 비율</t>
    <phoneticPr fontId="2" type="noConversion"/>
  </si>
  <si>
    <t>자기 자본비용</t>
    <phoneticPr fontId="2" type="noConversion"/>
  </si>
  <si>
    <t>타인 자본 비용</t>
    <phoneticPr fontId="2" type="noConversion"/>
  </si>
  <si>
    <t>타인 자본비용</t>
    <phoneticPr fontId="2" type="noConversion"/>
  </si>
  <si>
    <t>세후 영업이익 - 자본비용</t>
    <phoneticPr fontId="2" type="noConversion"/>
  </si>
  <si>
    <t>1. 세후 영업이익에서 자본비용을 차감한 경제적 부가가치를 이용하여 기업이 고유의 영업활동을 통해 창출한 순가치 증가분을 계산하는 기법입니다. 
2. 세후 영업이익의 주요 지표와 자본비용의 주요 지표를 입력한 후 EVA를 계산해 보시기 바랍니다.</t>
    <phoneticPr fontId="2" type="noConversion"/>
  </si>
  <si>
    <t>1. 경영활동을 위해 투입된 요소들에 대해 얼마나 효율적으로 성과를 창출하고 있는가를 측정하는 분석 방법입니다.
2. 재무지표를 활용해 부가가치를 계산한 후 생산성을 분석해 보시기 바랍니다.</t>
    <phoneticPr fontId="2" type="noConversion"/>
  </si>
  <si>
    <t>7. 변동비</t>
    <phoneticPr fontId="22" type="noConversion"/>
  </si>
  <si>
    <t xml:space="preserve">9. 이익 </t>
    <phoneticPr fontId="22" type="noConversion"/>
  </si>
  <si>
    <t>의미</t>
  </si>
  <si>
    <t>생산성</t>
  </si>
  <si>
    <t>자본 조달 비용(이자율)</t>
    <phoneticPr fontId="22" type="noConversion"/>
  </si>
  <si>
    <t>세후 영업이익</t>
    <phoneticPr fontId="2" type="noConversion"/>
  </si>
  <si>
    <t>1. 부가가치</t>
  </si>
  <si>
    <t>일정 기간동안 경영활동을 통해 새롭게 부가된 가치</t>
    <phoneticPr fontId="2" type="noConversion"/>
  </si>
  <si>
    <t>경상이익</t>
  </si>
  <si>
    <t>인건비</t>
  </si>
  <si>
    <t>금액</t>
    <phoneticPr fontId="22" type="noConversion"/>
  </si>
  <si>
    <t>기간</t>
    <phoneticPr fontId="22" type="noConversion"/>
  </si>
  <si>
    <t>투자안 A</t>
    <phoneticPr fontId="22" type="noConversion"/>
  </si>
  <si>
    <t>임차료</t>
  </si>
  <si>
    <t>1차년도</t>
    <phoneticPr fontId="22" type="noConversion"/>
  </si>
  <si>
    <t>자본금</t>
    <phoneticPr fontId="2" type="noConversion"/>
  </si>
  <si>
    <t>순금융비용</t>
  </si>
  <si>
    <t>2차년도</t>
  </si>
  <si>
    <t>조세 공과</t>
  </si>
  <si>
    <t>3차년도</t>
  </si>
  <si>
    <t>감가상각비</t>
  </si>
  <si>
    <t>4차년도</t>
  </si>
  <si>
    <t>2. 부가가치 비율</t>
    <phoneticPr fontId="2" type="noConversion"/>
  </si>
  <si>
    <t>일정기간 동안 창출한 부가가치와
매출액과의 비율</t>
  </si>
  <si>
    <t>부가가치</t>
  </si>
  <si>
    <t>5차년도</t>
  </si>
  <si>
    <t>매출액</t>
  </si>
  <si>
    <t>6차년도</t>
  </si>
  <si>
    <t>3. 노동 생산성</t>
  </si>
  <si>
    <t>노동 투입량 1단위 (시간, 인원 등)가 
창출한 부가가치</t>
    <phoneticPr fontId="22" type="noConversion"/>
  </si>
  <si>
    <t>자본비용 합계</t>
    <phoneticPr fontId="2" type="noConversion"/>
  </si>
  <si>
    <t>노동투입시간</t>
  </si>
  <si>
    <t xml:space="preserve">EVA </t>
    <phoneticPr fontId="2" type="noConversion"/>
  </si>
  <si>
    <t>4. 노동 분배율</t>
  </si>
  <si>
    <t>부가가치 중 인건비가 차지하는 비율</t>
    <phoneticPr fontId="2" type="noConversion"/>
  </si>
  <si>
    <t>투자안</t>
    <phoneticPr fontId="22" type="noConversion"/>
  </si>
  <si>
    <t>투자안 C</t>
    <phoneticPr fontId="22" type="noConversion"/>
  </si>
  <si>
    <t>5. 자본생산성</t>
  </si>
  <si>
    <t>투자된 총자본에 대한 부가가치 
창출 비율</t>
  </si>
  <si>
    <t>총자본</t>
  </si>
  <si>
    <t xml:space="preserve">1.  생산 라인의 증설 및 공장 신설에 대한 경제성을 분석하기 위한 미션입니다.
2.  생산 의사결정에 따라서 발생하는 비용을 고정비와 변동비로 나누어 계산한 후 손익분기점(BEP)를 계산해 보십시오.
3.  분석 결과를 타 팀의 예측치와 비교해 보시기 바랍니다. </t>
    <phoneticPr fontId="2" type="noConversion"/>
  </si>
  <si>
    <r>
      <rPr>
        <b/>
        <sz val="16"/>
        <color indexed="10"/>
        <rFont val="맑은 고딕"/>
        <family val="3"/>
        <charset val="129"/>
      </rPr>
      <t>(Input)</t>
    </r>
    <r>
      <rPr>
        <b/>
        <sz val="16"/>
        <rFont val="맑은 고딕"/>
        <family val="3"/>
        <charset val="129"/>
      </rPr>
      <t xml:space="preserve">  경영 의사결정 입력 및 추정</t>
    </r>
    <phoneticPr fontId="22" type="noConversion"/>
  </si>
  <si>
    <r>
      <rPr>
        <b/>
        <sz val="16"/>
        <color indexed="10"/>
        <rFont val="맑은 고딕"/>
        <family val="3"/>
        <charset val="129"/>
      </rPr>
      <t xml:space="preserve">(Output) </t>
    </r>
    <r>
      <rPr>
        <b/>
        <sz val="16"/>
        <rFont val="맑은 고딕"/>
        <family val="3"/>
        <charset val="129"/>
      </rPr>
      <t xml:space="preserve"> 생산능력 조정에 따른 경제성 분석</t>
    </r>
    <phoneticPr fontId="22" type="noConversion"/>
  </si>
  <si>
    <t>한국</t>
    <phoneticPr fontId="2" type="noConversion"/>
  </si>
  <si>
    <t>주요 의사결정</t>
    <phoneticPr fontId="30" type="noConversion"/>
  </si>
  <si>
    <t>▶ 경제성 분석 세부내역 (자동계산)</t>
    <phoneticPr fontId="22" type="noConversion"/>
  </si>
  <si>
    <r>
      <t>C</t>
    </r>
    <r>
      <rPr>
        <sz val="12"/>
        <rFont val="맑은 고딕"/>
        <family val="3"/>
        <charset val="129"/>
      </rPr>
      <t>MO</t>
    </r>
    <phoneticPr fontId="2" type="noConversion"/>
  </si>
  <si>
    <t>공장</t>
    <phoneticPr fontId="2" type="noConversion"/>
  </si>
  <si>
    <t>라인신설 유형</t>
    <phoneticPr fontId="2" type="noConversion"/>
  </si>
  <si>
    <t>정규</t>
    <phoneticPr fontId="2" type="noConversion"/>
  </si>
  <si>
    <t>2교대</t>
    <phoneticPr fontId="2" type="noConversion"/>
  </si>
  <si>
    <t>I. 고정비 총계</t>
    <phoneticPr fontId="2" type="noConversion"/>
  </si>
  <si>
    <t>1. 공장건설비 (감가상각)</t>
    <phoneticPr fontId="2" type="noConversion"/>
  </si>
  <si>
    <t>2. 생산라인 건설비 (감가상각)</t>
    <phoneticPr fontId="2" type="noConversion"/>
  </si>
  <si>
    <t>3. 노무비</t>
    <phoneticPr fontId="2" type="noConversion"/>
  </si>
  <si>
    <t>4. 경비</t>
    <phoneticPr fontId="2" type="noConversion"/>
  </si>
  <si>
    <t>II. 변동비 총계</t>
    <phoneticPr fontId="2" type="noConversion"/>
  </si>
  <si>
    <t>1. 재료비</t>
    <phoneticPr fontId="2" type="noConversion"/>
  </si>
  <si>
    <t>CHO</t>
    <phoneticPr fontId="2" type="noConversion"/>
  </si>
  <si>
    <t>1. 생산 직원 인건비 (라인당)</t>
    <phoneticPr fontId="22" type="noConversion"/>
  </si>
  <si>
    <t>2. 마케팅 비용</t>
    <phoneticPr fontId="2" type="noConversion"/>
  </si>
  <si>
    <t>경제지표</t>
    <phoneticPr fontId="2" type="noConversion"/>
  </si>
  <si>
    <t xml:space="preserve">1 소비자물가지수  </t>
    <phoneticPr fontId="22" type="noConversion"/>
  </si>
  <si>
    <t xml:space="preserve">    단위당 재료비</t>
    <phoneticPr fontId="2" type="noConversion"/>
  </si>
  <si>
    <t>2. 환율</t>
    <phoneticPr fontId="22" type="noConversion"/>
  </si>
  <si>
    <t xml:space="preserve">    단위당 마케팅 비용</t>
    <phoneticPr fontId="2" type="noConversion"/>
  </si>
  <si>
    <t>자동계산</t>
    <phoneticPr fontId="2" type="noConversion"/>
  </si>
  <si>
    <t xml:space="preserve">  정규생산라인 표준 생산량 </t>
    <phoneticPr fontId="2" type="noConversion"/>
  </si>
  <si>
    <t xml:space="preserve">    단위당 공헌이익</t>
    <phoneticPr fontId="2" type="noConversion"/>
  </si>
  <si>
    <t xml:space="preserve">  2교대 생산라인 표준 생산량 </t>
    <phoneticPr fontId="2" type="noConversion"/>
  </si>
  <si>
    <t>손익분기점</t>
    <phoneticPr fontId="2" type="noConversion"/>
  </si>
  <si>
    <t xml:space="preserve">  정규생산 라인당 노무비</t>
    <phoneticPr fontId="2" type="noConversion"/>
  </si>
  <si>
    <t xml:space="preserve">  2교대 생산라인당 노무비</t>
    <phoneticPr fontId="2" type="noConversion"/>
  </si>
  <si>
    <t>▶ 생산능력 조정에 따른 투자비용 증감분</t>
    <phoneticPr fontId="22" type="noConversion"/>
  </si>
  <si>
    <t>1.공장신설</t>
    <phoneticPr fontId="2" type="noConversion"/>
  </si>
  <si>
    <t>2.라인 신설</t>
    <phoneticPr fontId="2" type="noConversion"/>
  </si>
  <si>
    <t>정규라인</t>
    <phoneticPr fontId="2" type="noConversion"/>
  </si>
  <si>
    <t>2교대 라인</t>
    <phoneticPr fontId="2" type="noConversion"/>
  </si>
  <si>
    <t>3.작업 시간</t>
    <phoneticPr fontId="2" type="noConversion"/>
  </si>
  <si>
    <t>4.투자비용</t>
    <phoneticPr fontId="2" type="noConversion"/>
  </si>
  <si>
    <t xml:space="preserve"> 4.3.교육훈련비 (손익계산서)</t>
    <phoneticPr fontId="22" type="noConversion"/>
  </si>
  <si>
    <t>5.생산증가량</t>
    <phoneticPr fontId="2" type="noConversion"/>
  </si>
  <si>
    <t>아래는 세부 계산 내역이니 입력하지 마십시오.</t>
    <phoneticPr fontId="2" type="noConversion"/>
  </si>
  <si>
    <t>▶ 생산 원가 세부 내역 (자동 계산)</t>
    <phoneticPr fontId="2" type="noConversion"/>
  </si>
  <si>
    <t>1. 라인당 생산량</t>
    <phoneticPr fontId="2" type="noConversion"/>
  </si>
  <si>
    <t>한국 공장</t>
    <phoneticPr fontId="2" type="noConversion"/>
  </si>
  <si>
    <t>원가항목</t>
    <phoneticPr fontId="2" type="noConversion"/>
  </si>
  <si>
    <t>계산항목</t>
    <phoneticPr fontId="2" type="noConversion"/>
  </si>
  <si>
    <t>1. 당기제품 제조원가</t>
    <phoneticPr fontId="2" type="noConversion"/>
  </si>
  <si>
    <t>총액</t>
    <phoneticPr fontId="2" type="noConversion"/>
  </si>
  <si>
    <t xml:space="preserve">   1.1 재료비</t>
    <phoneticPr fontId="2" type="noConversion"/>
  </si>
  <si>
    <t>제품 모델</t>
    <phoneticPr fontId="2" type="noConversion"/>
  </si>
  <si>
    <t>2. 라인당 노무비</t>
    <phoneticPr fontId="2" type="noConversion"/>
  </si>
  <si>
    <t xml:space="preserve"> 한국</t>
    <phoneticPr fontId="2" type="noConversion"/>
  </si>
  <si>
    <t>생산량</t>
    <phoneticPr fontId="2" type="noConversion"/>
  </si>
  <si>
    <t>단위당 재료비</t>
    <phoneticPr fontId="2" type="noConversion"/>
  </si>
  <si>
    <t>소비자 물가 지수</t>
    <phoneticPr fontId="2" type="noConversion"/>
  </si>
  <si>
    <t xml:space="preserve">   1.2 노무비</t>
    <phoneticPr fontId="2" type="noConversion"/>
  </si>
  <si>
    <t>3. 모델별 재료비</t>
    <phoneticPr fontId="2" type="noConversion"/>
  </si>
  <si>
    <t>작업시간</t>
    <phoneticPr fontId="2" type="noConversion"/>
  </si>
  <si>
    <t>라인당 노무비</t>
    <phoneticPr fontId="2" type="noConversion"/>
  </si>
  <si>
    <t xml:space="preserve">   1.3 경비</t>
    <phoneticPr fontId="2" type="noConversion"/>
  </si>
  <si>
    <t xml:space="preserve">     1.3.1 공장감가상각</t>
    <phoneticPr fontId="2" type="noConversion"/>
  </si>
  <si>
    <t>N/A</t>
    <phoneticPr fontId="2" type="noConversion"/>
  </si>
  <si>
    <t>4. 라인당 Utility 비용</t>
  </si>
  <si>
    <t xml:space="preserve">     1.3.2 설비감가상각</t>
    <phoneticPr fontId="2" type="noConversion"/>
  </si>
  <si>
    <t>라인당 감가상각비</t>
    <phoneticPr fontId="2" type="noConversion"/>
  </si>
  <si>
    <t>5. 공장인건비 및 기타경비</t>
    <phoneticPr fontId="2" type="noConversion"/>
  </si>
  <si>
    <t xml:space="preserve">     1.3.3 utility 비</t>
    <phoneticPr fontId="2" type="noConversion"/>
  </si>
  <si>
    <t>라인당 utility비용</t>
    <phoneticPr fontId="2" type="noConversion"/>
  </si>
  <si>
    <t>6. 생산라인 인력채용 비용</t>
    <phoneticPr fontId="2" type="noConversion"/>
  </si>
  <si>
    <t>정규 및 2교대</t>
    <phoneticPr fontId="2" type="noConversion"/>
  </si>
  <si>
    <t xml:space="preserve">     1.3.4 공장 기타 경비</t>
    <phoneticPr fontId="2" type="noConversion"/>
  </si>
  <si>
    <t>7. 생산라인 신설비용</t>
    <phoneticPr fontId="2" type="noConversion"/>
  </si>
  <si>
    <t>공장기타경비</t>
    <phoneticPr fontId="2" type="noConversion"/>
  </si>
  <si>
    <t>8. 공장 신설비용</t>
    <phoneticPr fontId="2" type="noConversion"/>
  </si>
  <si>
    <t xml:space="preserve">     1.3.5 품질개선비</t>
    <phoneticPr fontId="2" type="noConversion"/>
  </si>
  <si>
    <t xml:space="preserve">N/A </t>
    <phoneticPr fontId="2" type="noConversion"/>
  </si>
  <si>
    <t>공장신설비용</t>
    <phoneticPr fontId="2" type="noConversion"/>
  </si>
  <si>
    <t xml:space="preserve">     1.3.6 생산라인 교육비 </t>
    <phoneticPr fontId="2" type="noConversion"/>
  </si>
  <si>
    <t>9. 공장 감가상각비율</t>
    <phoneticPr fontId="2" type="noConversion"/>
  </si>
  <si>
    <t>감가상각분기</t>
    <phoneticPr fontId="2" type="noConversion"/>
  </si>
  <si>
    <t>신설 라인수</t>
    <phoneticPr fontId="2" type="noConversion"/>
  </si>
  <si>
    <t>라인당 교육훈련비</t>
    <phoneticPr fontId="2" type="noConversion"/>
  </si>
  <si>
    <t>2. 생산량</t>
    <phoneticPr fontId="2" type="noConversion"/>
  </si>
  <si>
    <t>3. 단위당 제조원가</t>
    <phoneticPr fontId="2" type="noConversion"/>
  </si>
  <si>
    <t>10. 생산라인 감가상각비율</t>
    <phoneticPr fontId="2" type="noConversion"/>
  </si>
  <si>
    <t>11. 생산라인 조업중지 노무비율</t>
    <phoneticPr fontId="2" type="noConversion"/>
  </si>
  <si>
    <t>현분기 노무비의 지급 비율</t>
  </si>
  <si>
    <t>12. 생산라인의 패쇄비율</t>
    <phoneticPr fontId="2" type="noConversion"/>
  </si>
  <si>
    <t xml:space="preserve">장부가의 폐쇄 비율 </t>
    <phoneticPr fontId="2" type="noConversion"/>
  </si>
  <si>
    <t xml:space="preserve">13. 공장의 패쇄비율 </t>
    <phoneticPr fontId="2" type="noConversion"/>
  </si>
  <si>
    <t xml:space="preserve">장부가의 폐쇄 비율 </t>
  </si>
  <si>
    <t>경제성 분석 (1) - BEP 분석</t>
    <phoneticPr fontId="30" type="noConversion"/>
  </si>
  <si>
    <t>경제성 분석 (3) - IRR 분석</t>
    <phoneticPr fontId="30" type="noConversion"/>
  </si>
  <si>
    <t xml:space="preserve">1. 매출액과 비용이 일치하는 점, 즉 이익이 ‘0’이 되는 손익분기점을 찾아서 매출액, 비용, 이익 간의 관계를 분석하는 기법입니다.
2. 가격, 고정비, 변동비, 생산량을 입력한 후 이익이 0이 되는 생산량의 지점을 찾아보시기 바랍니다. </t>
    <phoneticPr fontId="2" type="noConversion"/>
  </si>
  <si>
    <t xml:space="preserve">1. 프로젝트 수행 시 투자로부터 기대되는 미래 현금유입의 현재가치와 현금유출의 현재가치를 비교하여 투자안의 경제성을 평가하는 기법입니다.
2. 자본 조달 비용과 각 투자안들의 예상되는 현금흐름을 입력한 후 NPV를 추정해 보시기 바랍니다. </t>
    <phoneticPr fontId="2" type="noConversion"/>
  </si>
  <si>
    <t xml:space="preserve">1. 프로젝트 수행 시 투자로부터 기대되는 현금유입의 현재가치와 현금유출의 현재가치를 같게 하는 할인율을 계산해 투자의사결정을 하는 기법입니다. 
2. 자본 조달 비용과 각 투자안들의 예상되는 현금흐름을 입력한 후 IRR을 추정해 보시기 바랍니다. </t>
    <phoneticPr fontId="2" type="noConversion"/>
  </si>
  <si>
    <t xml:space="preserve">1. 가격 </t>
    <phoneticPr fontId="22" type="noConversion"/>
  </si>
  <si>
    <t xml:space="preserve">4. 생산량 </t>
    <phoneticPr fontId="22" type="noConversion"/>
  </si>
  <si>
    <t xml:space="preserve">5. 매출액 </t>
    <phoneticPr fontId="22" type="noConversion"/>
  </si>
  <si>
    <t>6. 고정비</t>
    <phoneticPr fontId="22" type="noConversion"/>
  </si>
  <si>
    <t xml:space="preserve">8. 총 비용 </t>
    <phoneticPr fontId="22" type="noConversion"/>
  </si>
  <si>
    <t>2. 고정비 항목</t>
    <phoneticPr fontId="22" type="noConversion"/>
  </si>
  <si>
    <t>투자안 B</t>
    <phoneticPr fontId="22" type="noConversion"/>
  </si>
  <si>
    <t>공장 임대료</t>
    <phoneticPr fontId="2" type="noConversion"/>
  </si>
  <si>
    <t>기계 설비 임대료</t>
    <phoneticPr fontId="2" type="noConversion"/>
  </si>
  <si>
    <t xml:space="preserve">3. 변동비 항목 </t>
    <phoneticPr fontId="22" type="noConversion"/>
  </si>
  <si>
    <t>단위당 제조경비</t>
    <phoneticPr fontId="2" type="noConversion"/>
  </si>
  <si>
    <t>순현재가치 NPV</t>
    <phoneticPr fontId="22" type="noConversion"/>
  </si>
  <si>
    <t>내부수익률 IRR</t>
    <phoneticPr fontId="22" type="noConversion"/>
  </si>
  <si>
    <t>단위당 인건비</t>
    <phoneticPr fontId="2" type="noConversion"/>
  </si>
  <si>
    <t>(1) What-if  분석 (민감도 분석)</t>
    <phoneticPr fontId="30" type="noConversion"/>
  </si>
  <si>
    <t>(2) 시나리오 분석</t>
    <phoneticPr fontId="30" type="noConversion"/>
  </si>
  <si>
    <t xml:space="preserve">1. 가격을 변화시킬 때, 이익에 미치는 영향을 분석하는 도구입니다. 
2. 기준 가격과 판매량을 결정한 다음에, 조정하고자 하는 가격을 입력해 보시기 바랍니다. 
3. 가격의 변화에 따라서 판매량의 변화를 추정한 다음에, 그에 따른 이익 변화를 분석해 바랍니다. </t>
    <phoneticPr fontId="2" type="noConversion"/>
  </si>
  <si>
    <t>1. 판매량의 변화에 따른 예상되는 시나리오에 따른 이익 변화를 분석하기 위한 미션입니다.
2. 판매량의 변화를 최악, 일반, 최고의 상황으로 나누어서 추정하고, 그에 따른 확률, 가격을 입력하기 바랍니다. 
3. 세가지 상황에 따른 영업 이익을 추정해 보십시오.</t>
    <phoneticPr fontId="2" type="noConversion"/>
  </si>
  <si>
    <t xml:space="preserve">▶ 사례 #1.  판매량 변화에 따른 시나리오 분석 </t>
    <phoneticPr fontId="2" type="noConversion"/>
  </si>
  <si>
    <t>▶ 분석  #1.  가격 조정에 따른 손익변화  (한국 시장)</t>
    <phoneticPr fontId="2" type="noConversion"/>
  </si>
  <si>
    <t>One Input table을 활용한 영업이익 변화 분석</t>
    <phoneticPr fontId="2" type="noConversion"/>
  </si>
  <si>
    <r>
      <rPr>
        <b/>
        <sz val="12"/>
        <color indexed="10"/>
        <rFont val="맑은 고딕"/>
        <family val="3"/>
        <charset val="129"/>
      </rPr>
      <t>(Input)</t>
    </r>
    <r>
      <rPr>
        <b/>
        <sz val="12"/>
        <rFont val="맑은 고딕"/>
        <family val="3"/>
        <charset val="129"/>
      </rPr>
      <t xml:space="preserve"> 세 종류의 시나리오에 따른 판매량 </t>
    </r>
    <phoneticPr fontId="22" type="noConversion"/>
  </si>
  <si>
    <r>
      <rPr>
        <b/>
        <sz val="12"/>
        <color indexed="10"/>
        <rFont val="맑은 고딕"/>
        <family val="3"/>
        <charset val="129"/>
      </rPr>
      <t>(Output)</t>
    </r>
    <r>
      <rPr>
        <b/>
        <sz val="12"/>
        <rFont val="맑은 고딕"/>
        <family val="3"/>
        <charset val="129"/>
      </rPr>
      <t xml:space="preserve"> 세 종류의 시나리오에 따른 영업 이익 </t>
    </r>
    <phoneticPr fontId="22" type="noConversion"/>
  </si>
  <si>
    <t>1. 기준점</t>
    <phoneticPr fontId="2" type="noConversion"/>
  </si>
  <si>
    <t>2. 변화량</t>
    <phoneticPr fontId="2" type="noConversion"/>
  </si>
  <si>
    <t>3. 합계</t>
    <phoneticPr fontId="2" type="noConversion"/>
  </si>
  <si>
    <t>가격 조정에 따른 판매 변화량</t>
    <phoneticPr fontId="2" type="noConversion"/>
  </si>
  <si>
    <t>시나리오</t>
    <phoneticPr fontId="2" type="noConversion"/>
  </si>
  <si>
    <t>최악의 상황</t>
    <phoneticPr fontId="2" type="noConversion"/>
  </si>
  <si>
    <t>일반적 상황</t>
    <phoneticPr fontId="2" type="noConversion"/>
  </si>
  <si>
    <t>최고의 상황</t>
    <phoneticPr fontId="2" type="noConversion"/>
  </si>
  <si>
    <t>손익추정</t>
    <phoneticPr fontId="2" type="noConversion"/>
  </si>
  <si>
    <t>가격</t>
    <phoneticPr fontId="2" type="noConversion"/>
  </si>
  <si>
    <t>(기준)</t>
    <phoneticPr fontId="2" type="noConversion"/>
  </si>
  <si>
    <t>한국 판매량</t>
    <phoneticPr fontId="2" type="noConversion"/>
  </si>
  <si>
    <t>판매량</t>
    <phoneticPr fontId="2" type="noConversion"/>
  </si>
  <si>
    <t>총 판매량</t>
    <phoneticPr fontId="2" type="noConversion"/>
  </si>
  <si>
    <t>발생 확률</t>
    <phoneticPr fontId="2" type="noConversion"/>
  </si>
  <si>
    <t>시장별 판매 가격</t>
    <phoneticPr fontId="2" type="noConversion"/>
  </si>
  <si>
    <t>환율</t>
    <phoneticPr fontId="2" type="noConversion"/>
  </si>
  <si>
    <t>제조원가</t>
    <phoneticPr fontId="2" type="noConversion"/>
  </si>
  <si>
    <t xml:space="preserve">매출원가(손익계산서 추정) </t>
    <phoneticPr fontId="2" type="noConversion"/>
  </si>
  <si>
    <t>판관비(손익계산서 추정)</t>
    <phoneticPr fontId="2" type="noConversion"/>
  </si>
  <si>
    <t xml:space="preserve">1. 광고비를 변화시킬 때, 이익에 미치는 영향을 분석하는 도구입니다. 
2. 기준 가격, 광고비, 판매량을 결정한 다음에, 조정하고자 하는 광고비를 입력해 보시기 바랍니다. 
3. 광고비 변화에 따라서 판매량의 변화를 추정한 다음에, 그에 따른 이익 변화를 분석해 바랍니다. </t>
    <phoneticPr fontId="2" type="noConversion"/>
  </si>
  <si>
    <t>▶ 분석 #2.  광고비 조정에 따른 손익변화 (한국 시장)</t>
    <phoneticPr fontId="2" type="noConversion"/>
  </si>
  <si>
    <t>광고비 조정에 따른 판매 변화량</t>
    <phoneticPr fontId="2" type="noConversion"/>
  </si>
  <si>
    <t xml:space="preserve">광고비 </t>
    <phoneticPr fontId="2" type="noConversion"/>
  </si>
  <si>
    <t xml:space="preserve">1. 경제동향 </t>
    <phoneticPr fontId="2" type="noConversion"/>
  </si>
  <si>
    <t xml:space="preserve">▶ 과거 3년 간 경영 의사결정에 대한 현황을 보여주는 Table입니다. </t>
    <phoneticPr fontId="2" type="noConversion"/>
  </si>
  <si>
    <t> 300,000,000</t>
  </si>
  <si>
    <t xml:space="preserve">▶ 과거 3년 간 주요 경영 성과에 대한 현황을 보여주는 Table입니다. </t>
    <phoneticPr fontId="2" type="noConversion"/>
  </si>
  <si>
    <t>경영성과
종합</t>
    <phoneticPr fontId="2" type="noConversion"/>
  </si>
  <si>
    <t>1. 매출액</t>
    <phoneticPr fontId="2" type="noConversion"/>
  </si>
  <si>
    <t>2. 시장점유율(%)</t>
    <phoneticPr fontId="2" type="noConversion"/>
  </si>
  <si>
    <t>3. 당기순이익</t>
    <phoneticPr fontId="2" type="noConversion"/>
  </si>
  <si>
    <t>HR</t>
    <phoneticPr fontId="2" type="noConversion"/>
  </si>
  <si>
    <t>재무</t>
    <phoneticPr fontId="2" type="noConversion"/>
  </si>
  <si>
    <t>역할</t>
    <phoneticPr fontId="57" type="noConversion"/>
  </si>
  <si>
    <t>분류</t>
    <phoneticPr fontId="57" type="noConversion"/>
  </si>
  <si>
    <t>항목</t>
    <phoneticPr fontId="57" type="noConversion"/>
  </si>
  <si>
    <t xml:space="preserve">1차년도 1분기 </t>
    <phoneticPr fontId="56" type="noConversion"/>
  </si>
  <si>
    <t>1차년도 2분기</t>
  </si>
  <si>
    <t>1차년도 3분기</t>
  </si>
  <si>
    <t>1차년도 4분기</t>
  </si>
  <si>
    <t>2차년도 1분기</t>
    <phoneticPr fontId="56" type="noConversion"/>
  </si>
  <si>
    <t>2차년도 2분기</t>
  </si>
  <si>
    <t>2차년도 3분기</t>
  </si>
  <si>
    <t>2차년도 4분기</t>
  </si>
  <si>
    <t>3차년도 1분기</t>
    <phoneticPr fontId="56" type="noConversion"/>
  </si>
  <si>
    <t>3차년도 2분기</t>
  </si>
  <si>
    <t>3차년도 3분기</t>
  </si>
  <si>
    <t>3차년도 4분기</t>
  </si>
  <si>
    <t>한국</t>
    <phoneticPr fontId="57" type="noConversion"/>
  </si>
  <si>
    <t>구분</t>
    <phoneticPr fontId="56" type="noConversion"/>
  </si>
  <si>
    <t>3차년도 4분기</t>
    <phoneticPr fontId="56" type="noConversion"/>
  </si>
  <si>
    <t>한국</t>
    <phoneticPr fontId="56" type="noConversion"/>
  </si>
  <si>
    <t>매출과 MS</t>
    <phoneticPr fontId="2" type="noConversion"/>
  </si>
  <si>
    <t>이익과 시장가치</t>
    <phoneticPr fontId="2" type="noConversion"/>
  </si>
  <si>
    <t>4. 주가</t>
    <phoneticPr fontId="2" type="noConversion"/>
  </si>
  <si>
    <t>경쟁력 등급</t>
    <phoneticPr fontId="2" type="noConversion"/>
  </si>
  <si>
    <t>5. 브랜드 등급</t>
    <phoneticPr fontId="2" type="noConversion"/>
  </si>
  <si>
    <t>마케팅</t>
    <phoneticPr fontId="56" type="noConversion"/>
  </si>
  <si>
    <t>판매량</t>
    <phoneticPr fontId="56" type="noConversion"/>
  </si>
  <si>
    <t xml:space="preserve">2. 1인당 판매량 </t>
    <phoneticPr fontId="2" type="noConversion"/>
  </si>
  <si>
    <t>재고량</t>
    <phoneticPr fontId="2" type="noConversion"/>
  </si>
  <si>
    <t>3. 재고량</t>
    <phoneticPr fontId="2" type="noConversion"/>
  </si>
  <si>
    <t xml:space="preserve">유통매장 수  </t>
    <phoneticPr fontId="2" type="noConversion"/>
  </si>
  <si>
    <t>생산</t>
    <phoneticPr fontId="56" type="noConversion"/>
  </si>
  <si>
    <t>영업직원 수</t>
    <phoneticPr fontId="2" type="noConversion"/>
  </si>
  <si>
    <t>생산 만족도 및 생산성</t>
    <phoneticPr fontId="2" type="noConversion"/>
  </si>
  <si>
    <t>영업 만족도 및 생산성</t>
    <phoneticPr fontId="2" type="noConversion"/>
  </si>
  <si>
    <t>손익</t>
    <phoneticPr fontId="2" type="noConversion"/>
  </si>
  <si>
    <t>2. 영업이익</t>
    <phoneticPr fontId="2" type="noConversion"/>
  </si>
  <si>
    <t>현금흐름</t>
    <phoneticPr fontId="2" type="noConversion"/>
  </si>
  <si>
    <t xml:space="preserve">  </t>
  </si>
  <si>
    <t>4. 기말현금</t>
    <phoneticPr fontId="2" type="noConversion"/>
  </si>
  <si>
    <t>부채와 자산</t>
    <phoneticPr fontId="2" type="noConversion"/>
  </si>
  <si>
    <t>6. 자산총계</t>
    <phoneticPr fontId="2" type="noConversion"/>
  </si>
  <si>
    <t>경제 지표</t>
  </si>
  <si>
    <r>
      <t>4.</t>
    </r>
    <r>
      <rPr>
        <sz val="10"/>
        <color indexed="8"/>
        <rFont val="Arial"/>
        <family val="2"/>
      </rPr>
      <t>주가지수</t>
    </r>
    <r>
      <rPr>
        <sz val="10"/>
        <color indexed="8"/>
        <rFont val="Calibri"/>
        <family val="2"/>
      </rPr>
      <t>(P)</t>
    </r>
  </si>
  <si>
    <r>
      <t xml:space="preserve">5.CD </t>
    </r>
    <r>
      <rPr>
        <sz val="10"/>
        <color indexed="8"/>
        <rFont val="Arial"/>
        <family val="2"/>
      </rPr>
      <t>이자율</t>
    </r>
    <r>
      <rPr>
        <sz val="10"/>
        <color indexed="8"/>
        <rFont val="Calibri"/>
        <family val="2"/>
      </rPr>
      <t>(%)</t>
    </r>
  </si>
  <si>
    <t>항목</t>
    <phoneticPr fontId="55" type="noConversion"/>
  </si>
  <si>
    <t>▶ 경영의사결정 변수들과 경영성과 지표들간의 상관 관계를 비교한 기초 분석 자료입니다. 
▶ 매 분기 시스템에서 새로운 성과가 출력되면, 입력하면서 관리해야 합니다. (자동으로 연결되지 않음)</t>
    <phoneticPr fontId="30" type="noConversion"/>
  </si>
  <si>
    <t xml:space="preserve"> 1. 경영성과 추세 분석</t>
    <phoneticPr fontId="30" type="noConversion"/>
  </si>
  <si>
    <t>연도</t>
    <phoneticPr fontId="61" type="noConversion"/>
  </si>
  <si>
    <t>1차년도</t>
  </si>
  <si>
    <t>분기</t>
    <phoneticPr fontId="61" type="noConversion"/>
  </si>
  <si>
    <t>1Q</t>
  </si>
  <si>
    <t>2Q</t>
  </si>
  <si>
    <t>3Q</t>
  </si>
  <si>
    <t>4Q</t>
  </si>
  <si>
    <t>매출액</t>
    <phoneticPr fontId="61" type="noConversion"/>
  </si>
  <si>
    <t>당기순이익</t>
    <phoneticPr fontId="61" type="noConversion"/>
  </si>
  <si>
    <t>신용등급</t>
    <phoneticPr fontId="61" type="noConversion"/>
  </si>
  <si>
    <t>주가</t>
    <phoneticPr fontId="61" type="noConversion"/>
  </si>
  <si>
    <t>기말현금</t>
    <phoneticPr fontId="61" type="noConversion"/>
  </si>
  <si>
    <t>2. 경제 동향</t>
    <phoneticPr fontId="30" type="noConversion"/>
  </si>
  <si>
    <t>경제지표</t>
    <phoneticPr fontId="30" type="noConversion"/>
  </si>
  <si>
    <t>영업본부</t>
    <phoneticPr fontId="30" type="noConversion"/>
  </si>
  <si>
    <t>실질
GDP</t>
    <phoneticPr fontId="2" type="noConversion"/>
  </si>
  <si>
    <t>한국</t>
    <phoneticPr fontId="61" type="noConversion"/>
  </si>
  <si>
    <t>소비자
물가지수</t>
    <phoneticPr fontId="2" type="noConversion"/>
  </si>
  <si>
    <t>기업별
 판매량</t>
    <phoneticPr fontId="2" type="noConversion"/>
  </si>
  <si>
    <t>총합</t>
    <phoneticPr fontId="61" type="noConversion"/>
  </si>
  <si>
    <t>3. GDP 변화와 판매량간의 관계</t>
    <phoneticPr fontId="30" type="noConversion"/>
  </si>
  <si>
    <t xml:space="preserve">4. 계절 변화와 판매량간의 관계 </t>
    <phoneticPr fontId="30" type="noConversion"/>
  </si>
  <si>
    <t>한국 판매량</t>
    <phoneticPr fontId="61" type="noConversion"/>
  </si>
  <si>
    <t>총 판매량</t>
    <phoneticPr fontId="61" type="noConversion"/>
  </si>
  <si>
    <t xml:space="preserve">5. R&amp;D와 제품 모델 및 판매량간의 관계 </t>
    <phoneticPr fontId="30" type="noConversion"/>
  </si>
  <si>
    <t>판매 모델번호</t>
    <phoneticPr fontId="2" type="noConversion"/>
  </si>
  <si>
    <t>6. 가격과 판매량간의 관계</t>
    <phoneticPr fontId="30" type="noConversion"/>
  </si>
  <si>
    <t>연도</t>
  </si>
  <si>
    <t>가격(원)</t>
    <phoneticPr fontId="61" type="noConversion"/>
  </si>
  <si>
    <t>판매량</t>
    <phoneticPr fontId="30" type="noConversion"/>
  </si>
  <si>
    <t>가격(달러)</t>
    <phoneticPr fontId="61" type="noConversion"/>
  </si>
  <si>
    <t>가격(위안)</t>
    <phoneticPr fontId="61" type="noConversion"/>
  </si>
  <si>
    <t xml:space="preserve">7. 광고비와 판매량간의 관계 </t>
    <phoneticPr fontId="30" type="noConversion"/>
  </si>
  <si>
    <t>광고비(원)</t>
    <phoneticPr fontId="61" type="noConversion"/>
  </si>
  <si>
    <t>광고비(달러)</t>
    <phoneticPr fontId="61" type="noConversion"/>
  </si>
  <si>
    <t>광고비(위안)</t>
    <phoneticPr fontId="61" type="noConversion"/>
  </si>
  <si>
    <t xml:space="preserve">8. 유통매장수와 판매량간의 관계 </t>
    <phoneticPr fontId="30" type="noConversion"/>
  </si>
  <si>
    <t>매장수</t>
    <phoneticPr fontId="61" type="noConversion"/>
  </si>
  <si>
    <t>판매량</t>
    <phoneticPr fontId="61" type="noConversion"/>
  </si>
  <si>
    <t xml:space="preserve">9. 매장당 판매촉진비와 판매량간의 관계 </t>
    <phoneticPr fontId="30" type="noConversion"/>
  </si>
  <si>
    <t>매장당 판매촉진비</t>
    <phoneticPr fontId="61" type="noConversion"/>
  </si>
  <si>
    <t xml:space="preserve">10. 영업직원수와 판매량간의 관계 </t>
    <phoneticPr fontId="30" type="noConversion"/>
  </si>
  <si>
    <t>영업직원 수</t>
    <phoneticPr fontId="61" type="noConversion"/>
  </si>
  <si>
    <t>11. 영업직원 기본급과 판매량간의 관계</t>
    <phoneticPr fontId="30" type="noConversion"/>
  </si>
  <si>
    <t>기본급(원)</t>
    <phoneticPr fontId="61" type="noConversion"/>
  </si>
  <si>
    <t>기본급(달러)</t>
    <phoneticPr fontId="61" type="noConversion"/>
  </si>
  <si>
    <t>원화변환</t>
    <phoneticPr fontId="30" type="noConversion"/>
  </si>
  <si>
    <t>기본급(위안)</t>
    <phoneticPr fontId="30" type="noConversion"/>
  </si>
  <si>
    <t>평균 기본급(원)</t>
    <phoneticPr fontId="30" type="noConversion"/>
  </si>
  <si>
    <t>평균 판매량</t>
    <phoneticPr fontId="30" type="noConversion"/>
  </si>
  <si>
    <t xml:space="preserve">12. CSR활동과 브랜드 등급 및 판매량간의 관계 </t>
    <phoneticPr fontId="30" type="noConversion"/>
  </si>
  <si>
    <t>CSR 활동비</t>
    <phoneticPr fontId="30" type="noConversion"/>
  </si>
  <si>
    <t>브랜드 등급</t>
    <phoneticPr fontId="2" type="noConversion"/>
  </si>
  <si>
    <t>품질개선비</t>
    <phoneticPr fontId="30" type="noConversion"/>
  </si>
  <si>
    <t>품질등급</t>
    <phoneticPr fontId="2" type="noConversion"/>
  </si>
  <si>
    <t>영업교육훈련비</t>
    <phoneticPr fontId="30" type="noConversion"/>
  </si>
  <si>
    <t>15. 계절에 따른 생산량변화 및 제품모델과 제조원가간의 관계</t>
    <phoneticPr fontId="30" type="noConversion"/>
  </si>
  <si>
    <t>라인당 생산량</t>
    <phoneticPr fontId="2" type="noConversion"/>
  </si>
  <si>
    <t>제품 모델</t>
    <phoneticPr fontId="30" type="noConversion"/>
  </si>
  <si>
    <t>16. 생산직원 인건비(라인당) /품질개선비와 생산량간의 관계</t>
    <phoneticPr fontId="30" type="noConversion"/>
  </si>
  <si>
    <t>구분</t>
    <phoneticPr fontId="57" type="noConversion"/>
  </si>
  <si>
    <t>항 목</t>
    <phoneticPr fontId="57" type="noConversion"/>
  </si>
  <si>
    <t xml:space="preserve">1차년도 1분기 </t>
    <phoneticPr fontId="57" type="noConversion"/>
  </si>
  <si>
    <t>1차년도 2분기</t>
    <phoneticPr fontId="57" type="noConversion"/>
  </si>
  <si>
    <t>1차년도 3분기</t>
    <phoneticPr fontId="57" type="noConversion"/>
  </si>
  <si>
    <t>1차년도 4분기</t>
    <phoneticPr fontId="57" type="noConversion"/>
  </si>
  <si>
    <t>2차년도 1분기</t>
    <phoneticPr fontId="57" type="noConversion"/>
  </si>
  <si>
    <t>2차년도 2분기</t>
    <phoneticPr fontId="57" type="noConversion"/>
  </si>
  <si>
    <t>2차년도 3분기</t>
    <phoneticPr fontId="57" type="noConversion"/>
  </si>
  <si>
    <t>2차년도 4분기</t>
    <phoneticPr fontId="57" type="noConversion"/>
  </si>
  <si>
    <t>3차년도 1분기</t>
    <phoneticPr fontId="57" type="noConversion"/>
  </si>
  <si>
    <t>3차년도 2분기</t>
    <phoneticPr fontId="57" type="noConversion"/>
  </si>
  <si>
    <t>3차년도 3분기</t>
    <phoneticPr fontId="57" type="noConversion"/>
  </si>
  <si>
    <t>3차년도 4분기</t>
    <phoneticPr fontId="57" type="noConversion"/>
  </si>
  <si>
    <r>
      <t>1.</t>
    </r>
    <r>
      <rPr>
        <sz val="10"/>
        <rFont val="Arial"/>
        <family val="2"/>
      </rPr>
      <t xml:space="preserve">실질 </t>
    </r>
    <r>
      <rPr>
        <sz val="10"/>
        <rFont val="Calibri"/>
        <family val="2"/>
      </rPr>
      <t>GDP(%)</t>
    </r>
  </si>
  <si>
    <r>
      <t>2.</t>
    </r>
    <r>
      <rPr>
        <sz val="10"/>
        <color indexed="8"/>
        <rFont val="Arial"/>
        <family val="2"/>
      </rPr>
      <t>소비자 물가지수</t>
    </r>
    <r>
      <rPr>
        <sz val="10"/>
        <color indexed="8"/>
        <rFont val="Calibri"/>
        <family val="2"/>
      </rPr>
      <t>(%)</t>
    </r>
  </si>
  <si>
    <r>
      <t>3.</t>
    </r>
    <r>
      <rPr>
        <sz val="10"/>
        <rFont val="Arial"/>
        <family val="2"/>
      </rPr>
      <t>환율</t>
    </r>
    <r>
      <rPr>
        <sz val="10"/>
        <rFont val="Calibri"/>
        <family val="2"/>
      </rPr>
      <t>(</t>
    </r>
    <r>
      <rPr>
        <sz val="10"/>
        <rFont val="Arial"/>
        <family val="2"/>
      </rPr>
      <t>원</t>
    </r>
    <r>
      <rPr>
        <sz val="10"/>
        <rFont val="Calibri"/>
        <family val="2"/>
      </rPr>
      <t>)</t>
    </r>
  </si>
  <si>
    <t>1. Parameter Table</t>
    <phoneticPr fontId="3" type="noConversion"/>
  </si>
  <si>
    <t>한국</t>
    <phoneticPr fontId="51" type="noConversion"/>
  </si>
  <si>
    <t>의사결정</t>
    <phoneticPr fontId="51" type="noConversion"/>
  </si>
  <si>
    <t>합계</t>
    <phoneticPr fontId="51" type="noConversion"/>
  </si>
  <si>
    <t>1. 인적자원에 활동에서 발행하는 원가 구성요소들을 이해하고, 이를 관리하기 위한 미션입니다.
2. 인적자원 활동과 관련된 주요 의사결정에 따른 HR원가 총합과, 판매량에 따른 단위당 HR원가를 계산해 보십시오.</t>
    <phoneticPr fontId="51" type="noConversion"/>
  </si>
  <si>
    <t xml:space="preserve">5. 공장 인건비 및 기타경비 </t>
    <phoneticPr fontId="3" type="noConversion"/>
  </si>
  <si>
    <t>기술개발 및 상생</t>
    <phoneticPr fontId="57" type="noConversion"/>
  </si>
  <si>
    <t>제품</t>
    <phoneticPr fontId="57" type="noConversion"/>
  </si>
  <si>
    <t>발주</t>
    <phoneticPr fontId="57" type="noConversion"/>
  </si>
  <si>
    <t>가격</t>
    <phoneticPr fontId="57" type="noConversion"/>
  </si>
  <si>
    <t>유통</t>
    <phoneticPr fontId="57" type="noConversion"/>
  </si>
  <si>
    <t>판촉</t>
    <phoneticPr fontId="57" type="noConversion"/>
  </si>
  <si>
    <t>정규생산라인
생산 계획</t>
    <phoneticPr fontId="57" type="noConversion"/>
  </si>
  <si>
    <t>2교대 생산라인
생산 계획</t>
    <phoneticPr fontId="57" type="noConversion"/>
  </si>
  <si>
    <t>구매</t>
    <phoneticPr fontId="57" type="noConversion"/>
  </si>
  <si>
    <t>생산 효율성</t>
    <phoneticPr fontId="57" type="noConversion"/>
  </si>
  <si>
    <t>생산능력 조정</t>
    <phoneticPr fontId="57" type="noConversion"/>
  </si>
  <si>
    <t>영업직원 임금과 보상</t>
    <phoneticPr fontId="57" type="noConversion"/>
  </si>
  <si>
    <t>생산직원 임금과 보상</t>
    <phoneticPr fontId="57" type="noConversion"/>
  </si>
  <si>
    <t>교육 훈련</t>
    <phoneticPr fontId="57" type="noConversion"/>
  </si>
  <si>
    <t>자금조달</t>
    <phoneticPr fontId="57" type="noConversion"/>
  </si>
  <si>
    <t>투자</t>
    <phoneticPr fontId="57" type="noConversion"/>
  </si>
  <si>
    <t>배당</t>
    <phoneticPr fontId="57" type="noConversion"/>
  </si>
  <si>
    <t>3. 판매가격</t>
  </si>
  <si>
    <t>4. 유통매장 신설(+) 및 폐쇄(-)</t>
  </si>
  <si>
    <t xml:space="preserve">5. 광고비 </t>
  </si>
  <si>
    <t>6. 판매촉진비(매장당)</t>
  </si>
  <si>
    <t xml:space="preserve">1. 가동 생산라인 수 </t>
  </si>
  <si>
    <t>2. 조업중지 생산라인 수</t>
  </si>
  <si>
    <t>3. 폐쇄 생산라인 수</t>
  </si>
  <si>
    <t>4. 생산라인 작업시간</t>
  </si>
  <si>
    <t xml:space="preserve">5. 가동 생산라인 수 </t>
  </si>
  <si>
    <t>6. 조업중지 생산라인 수</t>
  </si>
  <si>
    <t>7. 폐쇄 생산라인 수</t>
  </si>
  <si>
    <t>8. 생산라인 작업시간</t>
  </si>
  <si>
    <t>9. 부품 구매량</t>
  </si>
  <si>
    <t>10. 설비관리 보전비(라인 당)</t>
  </si>
  <si>
    <t>1. 영업직원 채용(+) 및 해고(-)</t>
  </si>
  <si>
    <t>1. 은행대출</t>
  </si>
  <si>
    <t>2. 회사채발행(상환 시 음수(-))</t>
  </si>
  <si>
    <t xml:space="preserve">3. 주식발행(주식수) </t>
  </si>
  <si>
    <t>4. 양도성 예금증서 투자</t>
  </si>
  <si>
    <t>5. 펀드투자(계좌수)</t>
  </si>
  <si>
    <t>6. 배당(%)</t>
  </si>
  <si>
    <t xml:space="preserve">1. 판매량 </t>
    <phoneticPr fontId="2" type="noConversion"/>
  </si>
  <si>
    <t>4. 유통매장 수</t>
    <phoneticPr fontId="2" type="noConversion"/>
  </si>
  <si>
    <t>1. 생산량</t>
    <phoneticPr fontId="2" type="noConversion"/>
  </si>
  <si>
    <t>2. 제조원가</t>
    <phoneticPr fontId="2" type="noConversion"/>
  </si>
  <si>
    <t xml:space="preserve">3. 생산라인 수 </t>
    <phoneticPr fontId="2" type="noConversion"/>
  </si>
  <si>
    <t>1. 활동중인 영업직원 수</t>
    <phoneticPr fontId="2" type="noConversion"/>
  </si>
  <si>
    <t>2. 생산직원 만족도 등급</t>
    <phoneticPr fontId="2" type="noConversion"/>
  </si>
  <si>
    <t>3. 생산직원 생산성 등급</t>
    <phoneticPr fontId="2" type="noConversion"/>
  </si>
  <si>
    <t>4. 영업직원 만족도 등급</t>
    <phoneticPr fontId="2" type="noConversion"/>
  </si>
  <si>
    <t>5. 유통매장 생산성 등급</t>
    <phoneticPr fontId="2" type="noConversion"/>
  </si>
  <si>
    <t>1. 매출총이익</t>
    <phoneticPr fontId="2" type="noConversion"/>
  </si>
  <si>
    <t>3. 현금의 증가/감소</t>
    <phoneticPr fontId="2" type="noConversion"/>
  </si>
  <si>
    <t>5. 부채총계</t>
    <phoneticPr fontId="2" type="noConversion"/>
  </si>
  <si>
    <t>2억 이하</t>
    <phoneticPr fontId="3" type="noConversion"/>
  </si>
  <si>
    <t>2억 초과~200억 이하</t>
    <phoneticPr fontId="3" type="noConversion"/>
  </si>
  <si>
    <t>200억 초과</t>
    <phoneticPr fontId="3" type="noConversion"/>
  </si>
  <si>
    <t>▶ 핵심 변수들에 대한 Parameter Table입니다.</t>
    <phoneticPr fontId="3" type="noConversion"/>
  </si>
  <si>
    <t xml:space="preserve"> ▶ 생산 Parameter</t>
    <phoneticPr fontId="2" type="noConversion"/>
  </si>
  <si>
    <t>▶ 마케팅,  HR, 재무 Parameter</t>
    <phoneticPr fontId="2" type="noConversion"/>
  </si>
  <si>
    <t>임직원 인센티브</t>
    <phoneticPr fontId="30" type="noConversion"/>
  </si>
  <si>
    <t>영업직원만족도등급</t>
    <phoneticPr fontId="2" type="noConversion"/>
  </si>
  <si>
    <t>생산직원 기본급</t>
    <phoneticPr fontId="30" type="noConversion"/>
  </si>
  <si>
    <t>한국</t>
    <phoneticPr fontId="55" type="noConversion"/>
  </si>
  <si>
    <t>제조원가</t>
    <phoneticPr fontId="30" type="noConversion"/>
  </si>
  <si>
    <t>설비능력 및 
효율성 등급</t>
    <phoneticPr fontId="2" type="noConversion"/>
  </si>
  <si>
    <t>14. 임직원 인센티브 및 교육훈련과 직원만족도 등급간의 관계</t>
    <phoneticPr fontId="30" type="noConversion"/>
  </si>
  <si>
    <t>전기 유동 자산 기준</t>
    <phoneticPr fontId="3" type="noConversion"/>
  </si>
  <si>
    <t>전기 매출 회수율</t>
  </si>
  <si>
    <t>전기 총 자산 기준</t>
  </si>
  <si>
    <t>당기 매출 회수율</t>
  </si>
  <si>
    <t>당기 노무비의 지급 비율</t>
  </si>
  <si>
    <t xml:space="preserve">23. 전략적 의사결정 투자 회수 비율 Table </t>
    <phoneticPr fontId="3" type="noConversion"/>
  </si>
  <si>
    <t xml:space="preserve">전략적 의사결정 </t>
    <phoneticPr fontId="2" type="noConversion"/>
  </si>
  <si>
    <t>신공정 특허 인수</t>
    <phoneticPr fontId="3" type="noConversion"/>
  </si>
  <si>
    <t>유통채널 M&amp;A</t>
    <phoneticPr fontId="3" type="noConversion"/>
  </si>
  <si>
    <t xml:space="preserve">2. 연도별 의사결정 </t>
    <phoneticPr fontId="2" type="noConversion"/>
  </si>
  <si>
    <t>3. 연도별 경영 성과</t>
    <phoneticPr fontId="2" type="noConversion"/>
  </si>
  <si>
    <t>3-14. 임직원 인센티브 및 교육훈련과 직원만족도 등급간의 관계</t>
    <phoneticPr fontId="2" type="noConversion"/>
  </si>
  <si>
    <t>3-9. 매장당 판매촉진비와 판매량간의 관계</t>
    <phoneticPr fontId="2" type="noConversion"/>
  </si>
  <si>
    <t>3-10. 영업직원수와 판매량간의 관계</t>
    <phoneticPr fontId="2" type="noConversion"/>
  </si>
  <si>
    <t>3-16. 생산직원 인건비/품질개선비와 생산량간의 관계</t>
    <phoneticPr fontId="2" type="noConversion"/>
  </si>
  <si>
    <t>CMO</t>
    <phoneticPr fontId="57" type="noConversion"/>
  </si>
  <si>
    <t>CEO</t>
    <phoneticPr fontId="57" type="noConversion"/>
  </si>
  <si>
    <t>COO</t>
    <phoneticPr fontId="57" type="noConversion"/>
  </si>
  <si>
    <t>CHO</t>
    <phoneticPr fontId="57" type="noConversion"/>
  </si>
  <si>
    <t>CFO</t>
    <phoneticPr fontId="57" type="noConversion"/>
  </si>
  <si>
    <t>3-1. 경영성과추세분석</t>
    <phoneticPr fontId="2" type="noConversion"/>
  </si>
  <si>
    <t>3-2. 경제동향</t>
    <phoneticPr fontId="2" type="noConversion"/>
  </si>
  <si>
    <t>3-3. GDP 변화와 판매량간의 관계</t>
    <phoneticPr fontId="2" type="noConversion"/>
  </si>
  <si>
    <t>3-4. 계절변화와 판매량간의 관계</t>
    <phoneticPr fontId="2" type="noConversion"/>
  </si>
  <si>
    <t>3-6. 가격변화와 판매량간의 관계</t>
    <phoneticPr fontId="2" type="noConversion"/>
  </si>
  <si>
    <t xml:space="preserve">3-11. 영업직원기본급과 판매량간의 관계 </t>
    <phoneticPr fontId="2" type="noConversion"/>
  </si>
  <si>
    <t>3-12. CSR활동과 브랜드 등급 및 판매량간의 관계</t>
    <phoneticPr fontId="2" type="noConversion"/>
  </si>
  <si>
    <t>3-13. 품질개선비와 품질등급간의 관계</t>
    <phoneticPr fontId="2" type="noConversion"/>
  </si>
  <si>
    <t>3-15. 계절에 따른 생산량변화 및 제품모델과 제조원가간의 관계</t>
    <phoneticPr fontId="2" type="noConversion"/>
  </si>
  <si>
    <t>아래는 세부 계산 내역이니 입력하지 마십시오.</t>
  </si>
  <si>
    <t>(Output). 1-2. 영업본부별 수익성</t>
    <phoneticPr fontId="49" type="noConversion"/>
  </si>
  <si>
    <t>▶ 손익계산서 작성 도구 (자동 계산)</t>
    <phoneticPr fontId="22" type="noConversion"/>
  </si>
  <si>
    <t>▶ 단위당 판매 관리비 작성도구 (자동계산)</t>
    <phoneticPr fontId="49" type="noConversion"/>
  </si>
  <si>
    <t xml:space="preserve">(Output) 1-3. 제조원가 </t>
    <phoneticPr fontId="49" type="noConversion"/>
  </si>
  <si>
    <r>
      <t xml:space="preserve">              (전기 매출액을 입력)</t>
    </r>
    <r>
      <rPr>
        <sz val="12"/>
        <rFont val="맑은 고딕"/>
        <family val="3"/>
        <charset val="129"/>
      </rPr>
      <t xml:space="preserve"> </t>
    </r>
    <phoneticPr fontId="2" type="noConversion"/>
  </si>
  <si>
    <t>4차년도 1분기</t>
    <phoneticPr fontId="57" type="noConversion"/>
  </si>
  <si>
    <t>4차년도 1분기</t>
    <phoneticPr fontId="56" type="noConversion"/>
  </si>
  <si>
    <t>4차년도 2분기</t>
    <phoneticPr fontId="57" type="noConversion"/>
  </si>
  <si>
    <t>4차년도 2분기</t>
    <phoneticPr fontId="56" type="noConversion"/>
  </si>
  <si>
    <t>4차년도 3분기</t>
    <phoneticPr fontId="57" type="noConversion"/>
  </si>
  <si>
    <t>4차년도3분기</t>
    <phoneticPr fontId="57" type="noConversion"/>
  </si>
  <si>
    <t>4차년도 4분기</t>
    <phoneticPr fontId="57" type="noConversion"/>
  </si>
  <si>
    <t>4차년도 3분기</t>
    <phoneticPr fontId="56" type="noConversion"/>
  </si>
  <si>
    <t>4차년도 4분기</t>
    <phoneticPr fontId="56" type="noConversion"/>
  </si>
  <si>
    <t>1. 자기자본 이익률
(=순이익/자기자본)</t>
    <phoneticPr fontId="22" type="noConversion"/>
  </si>
  <si>
    <t>2. 매출액 이익율
(= 영업이익/매출액)</t>
    <phoneticPr fontId="22" type="noConversion"/>
  </si>
  <si>
    <t>3. 당좌 비율
(=당좌자산/유동부채)</t>
    <phoneticPr fontId="22" type="noConversion"/>
  </si>
  <si>
    <t>4. 부채비율
(=부채총계/자기자본)</t>
    <phoneticPr fontId="2" type="noConversion"/>
  </si>
  <si>
    <t>5. 총자산 회전율
(=매출액/총자산)</t>
    <phoneticPr fontId="2" type="noConversion"/>
  </si>
  <si>
    <t>1. 임직원 급여</t>
    <phoneticPr fontId="51" type="noConversion"/>
  </si>
  <si>
    <t>2. 영업직원 급여</t>
    <phoneticPr fontId="51" type="noConversion"/>
  </si>
  <si>
    <t>3. 임직원 인센티브</t>
    <phoneticPr fontId="51" type="noConversion"/>
  </si>
  <si>
    <t>4. 영업직원 교육훈련비</t>
    <phoneticPr fontId="51" type="noConversion"/>
  </si>
  <si>
    <t>5. 연구개발비</t>
    <phoneticPr fontId="51" type="noConversion"/>
  </si>
  <si>
    <t>6. 기타비용</t>
    <phoneticPr fontId="51" type="noConversion"/>
  </si>
  <si>
    <t>7. HR원가 총합</t>
    <phoneticPr fontId="51" type="noConversion"/>
  </si>
  <si>
    <t>8. 판매량</t>
    <phoneticPr fontId="51" type="noConversion"/>
  </si>
  <si>
    <r>
      <t>9</t>
    </r>
    <r>
      <rPr>
        <sz val="12"/>
        <color indexed="8"/>
        <rFont val="맑은 고딕"/>
        <family val="3"/>
        <charset val="129"/>
      </rPr>
      <t>. 단위당 HR원가</t>
    </r>
    <phoneticPr fontId="51" type="noConversion"/>
  </si>
  <si>
    <t xml:space="preserve"> </t>
    <phoneticPr fontId="57" type="noConversion"/>
  </si>
  <si>
    <t>5. 교육 훈련 중인 영업직원 수</t>
    <phoneticPr fontId="22" type="noConversion"/>
  </si>
  <si>
    <t>CEO 
의사결정 화면의 
입력 값</t>
    <phoneticPr fontId="2" type="noConversion"/>
  </si>
  <si>
    <t xml:space="preserve"> </t>
    <phoneticPr fontId="49" type="noConversion"/>
  </si>
  <si>
    <t xml:space="preserve">        나. 제품재고</t>
    <phoneticPr fontId="2" type="noConversion"/>
  </si>
  <si>
    <t>▶ ROE를 통한 심층 분석</t>
    <phoneticPr fontId="2" type="noConversion"/>
  </si>
  <si>
    <t>자동 계산</t>
    <phoneticPr fontId="22" type="noConversion"/>
  </si>
  <si>
    <t>의사결정 입력값</t>
    <phoneticPr fontId="2" type="noConversion"/>
  </si>
  <si>
    <t xml:space="preserve">추정값  </t>
    <phoneticPr fontId="2" type="noConversion"/>
  </si>
  <si>
    <r>
      <rPr>
        <b/>
        <sz val="14"/>
        <color indexed="10"/>
        <rFont val="맑은 고딕"/>
        <family val="3"/>
        <charset val="129"/>
      </rPr>
      <t>(Output)</t>
    </r>
    <r>
      <rPr>
        <b/>
        <sz val="14"/>
        <rFont val="맑은 고딕"/>
        <family val="3"/>
        <charset val="129"/>
      </rPr>
      <t xml:space="preserve"> 손익계산서 추정치 - 자동 계산</t>
    </r>
    <phoneticPr fontId="22" type="noConversion"/>
  </si>
  <si>
    <t xml:space="preserve">        가. 재료재고</t>
  </si>
  <si>
    <t xml:space="preserve">현금 흐름 추정 방법 </t>
    <phoneticPr fontId="28" type="noConversion"/>
  </si>
  <si>
    <t xml:space="preserve"> - 손익을 추정하면 현금흐름표가 자동으로 완성됨 </t>
    <phoneticPr fontId="28" type="noConversion"/>
  </si>
  <si>
    <t xml:space="preserve"> - 각 의사결정이 입력될 때 실시간으로 입력</t>
    <phoneticPr fontId="28" type="noConversion"/>
  </si>
  <si>
    <t xml:space="preserve">1단계. 손익 추정이 먼저 수행되어야 함 </t>
    <phoneticPr fontId="28" type="noConversion"/>
  </si>
  <si>
    <t xml:space="preserve">손익추정 방법 </t>
    <phoneticPr fontId="28" type="noConversion"/>
  </si>
  <si>
    <t>-</t>
    <phoneticPr fontId="57" type="noConversion"/>
  </si>
  <si>
    <t xml:space="preserve"> - 각 function의 예측 값을 요청 후 입력 </t>
    <phoneticPr fontId="28" type="noConversion"/>
  </si>
  <si>
    <t>6. 매출액 증가율
(=(당기매출액-전기매출액)/전기매출액)</t>
    <phoneticPr fontId="22" type="noConversion"/>
  </si>
  <si>
    <t xml:space="preserve"> - 예상 손익 정보를 공유하고, 전략 및 계획 수정 </t>
    <phoneticPr fontId="28" type="noConversion"/>
  </si>
  <si>
    <t xml:space="preserve"> - 전기 보고서에서 기말현금을 셀 X41에 입력 </t>
    <phoneticPr fontId="28" type="noConversion"/>
  </si>
  <si>
    <t xml:space="preserve"> - 전기 보고서에서 전기 매출액을 셀 X8에 입력 </t>
    <phoneticPr fontId="28" type="noConversion"/>
  </si>
  <si>
    <t xml:space="preserve">4단계. 단기금융상품의 처분 </t>
    <phoneticPr fontId="28" type="noConversion"/>
  </si>
  <si>
    <t>3단계. 기초 현금을 수정</t>
    <phoneticPr fontId="28" type="noConversion"/>
  </si>
  <si>
    <t>2단계. 전기 매출액을 수정</t>
    <phoneticPr fontId="28" type="noConversion"/>
  </si>
  <si>
    <t xml:space="preserve"> - 전기 유동부채의 단기 차입금을 X37에 입력  </t>
    <phoneticPr fontId="28" type="noConversion"/>
  </si>
  <si>
    <t xml:space="preserve"> - 예상 현금 흐름 추정 후. 현금 부족시 조달하고, 
   여유시 투자 및 상환 </t>
    <phoneticPr fontId="28" type="noConversion"/>
  </si>
  <si>
    <t xml:space="preserve"> - 1~4 단계 결과로 손익, 영업본부 수익, 제조원가 등이 자동 추정됨 </t>
    <phoneticPr fontId="28" type="noConversion"/>
  </si>
  <si>
    <t xml:space="preserve"> - 전기에 투자한 양도성예금 증서 투자액을 셀 X20에 입력</t>
    <phoneticPr fontId="28" type="noConversion"/>
  </si>
  <si>
    <t xml:space="preserve"> - 1~6 단계 결과로 기말 현금이 자동으로 추정됨 </t>
    <phoneticPr fontId="28" type="noConversion"/>
  </si>
  <si>
    <t>1. 판매량 (예측)</t>
    <phoneticPr fontId="22" type="noConversion"/>
  </si>
  <si>
    <t>2. 기말 재고량 (예측)</t>
    <phoneticPr fontId="22" type="noConversion"/>
  </si>
  <si>
    <t>3. 청산 매출량 (예측)</t>
    <phoneticPr fontId="22" type="noConversion"/>
  </si>
  <si>
    <t>4. 기초 유통매장 수</t>
    <phoneticPr fontId="22" type="noConversion"/>
  </si>
  <si>
    <t xml:space="preserve">5. 기말 유통매장 수 </t>
    <phoneticPr fontId="22" type="noConversion"/>
  </si>
  <si>
    <t>2. 영업본부 입고량 (예측)</t>
    <phoneticPr fontId="22" type="noConversion"/>
  </si>
  <si>
    <t xml:space="preserve"> - 환율, 소비자 물가지수, 이자율 등을 입력</t>
    <phoneticPr fontId="28" type="noConversion"/>
  </si>
  <si>
    <t>1. 최종 생산량 (예측)</t>
    <phoneticPr fontId="22" type="noConversion"/>
  </si>
  <si>
    <t>4. 부품 기말 재고량  (예측)</t>
    <phoneticPr fontId="22" type="noConversion"/>
  </si>
  <si>
    <t>3. 부품 긴급 구매량  (예측)</t>
    <phoneticPr fontId="22" type="noConversion"/>
  </si>
  <si>
    <t>3. 양도성예금증서 이자율  (예측)</t>
    <phoneticPr fontId="22" type="noConversion"/>
  </si>
  <si>
    <t>5. 회사채 이자율  (예측)</t>
    <phoneticPr fontId="22" type="noConversion"/>
  </si>
  <si>
    <t>4. 은행대출 이자율  (예측)</t>
    <phoneticPr fontId="22" type="noConversion"/>
  </si>
  <si>
    <t>1. Parameter Table</t>
    <phoneticPr fontId="2" type="noConversion"/>
  </si>
  <si>
    <t>2. 의사결정 및 경영성과</t>
    <phoneticPr fontId="2" type="noConversion"/>
  </si>
  <si>
    <t>5차년도 1분기</t>
    <phoneticPr fontId="2" type="noConversion"/>
  </si>
  <si>
    <t>5차년도 2분기</t>
    <phoneticPr fontId="2" type="noConversion"/>
  </si>
  <si>
    <t>5차년도 3분기</t>
    <phoneticPr fontId="2" type="noConversion"/>
  </si>
  <si>
    <t>5차년도 4분기</t>
    <phoneticPr fontId="2" type="noConversion"/>
  </si>
  <si>
    <t>- 혹은 의사결정 값을 복사해서 붙여넣기</t>
    <phoneticPr fontId="2" type="noConversion"/>
  </si>
  <si>
    <t>``</t>
    <phoneticPr fontId="2" type="noConversion"/>
  </si>
  <si>
    <t>▶ 유가증권 평가손익 계산  table</t>
    <phoneticPr fontId="2" type="noConversion"/>
  </si>
  <si>
    <t>유가증권(펀드투자) 평가 손익계산</t>
    <phoneticPr fontId="2" type="noConversion"/>
  </si>
  <si>
    <t>t-1기</t>
    <phoneticPr fontId="2" type="noConversion"/>
  </si>
  <si>
    <t>t기</t>
    <phoneticPr fontId="2" type="noConversion"/>
  </si>
  <si>
    <t>1. 유가 증권 취득 및 처분 계좌 수 (=CFO 의사결정)</t>
    <phoneticPr fontId="2" type="noConversion"/>
  </si>
  <si>
    <t>2. 유가증권 취득 및 처분액 (= 1 * t-1기 한국 주가지수)</t>
    <phoneticPr fontId="2" type="noConversion"/>
  </si>
  <si>
    <t>3. 유가 증권 누적계좌 수 (=t-1기 누적계좌수 + 1)</t>
    <phoneticPr fontId="2" type="noConversion"/>
  </si>
  <si>
    <t>4. 유가 증권 기초장부가 (=3 * t-1기 한국 주가지수)</t>
    <phoneticPr fontId="2" type="noConversion"/>
  </si>
  <si>
    <t>5. 유가 증권 기말장부가 (=3 * t기 한국 주가지수)</t>
    <phoneticPr fontId="2" type="noConversion"/>
  </si>
  <si>
    <t>6. 유가 증권 평가손익 (= 4-5)</t>
    <phoneticPr fontId="2" type="noConversion"/>
  </si>
  <si>
    <t xml:space="preserve"> 한국 주가지수 (=경제 DB)</t>
    <phoneticPr fontId="2" type="noConversion"/>
  </si>
  <si>
    <t>2. 환율 (예측)</t>
    <phoneticPr fontId="22" type="noConversion"/>
  </si>
  <si>
    <t>6. 전기 한국 주가지수</t>
    <phoneticPr fontId="2" type="noConversion"/>
  </si>
  <si>
    <t>7. 당기 한국 주가지수</t>
    <phoneticPr fontId="2" type="noConversion"/>
  </si>
  <si>
    <t>5단계. 단기 차입금 상환</t>
    <phoneticPr fontId="28" type="noConversion"/>
  </si>
  <si>
    <t xml:space="preserve">6단계. 현금 흐름  추정  </t>
    <phoneticPr fontId="28" type="noConversion"/>
  </si>
  <si>
    <t xml:space="preserve">7단계. 정보 공유 및  전략 수정 </t>
    <phoneticPr fontId="28" type="noConversion"/>
  </si>
  <si>
    <t>CMO</t>
    <phoneticPr fontId="28" type="noConversion"/>
  </si>
  <si>
    <t>CHO</t>
    <phoneticPr fontId="28" type="noConversion"/>
  </si>
  <si>
    <t>한국 공장 출고량</t>
    <phoneticPr fontId="22" type="noConversion"/>
  </si>
  <si>
    <r>
      <t>1. 영업직원 채용(+) 및 해고</t>
    </r>
    <r>
      <rPr>
        <sz val="12"/>
        <color indexed="8"/>
        <rFont val="맑은 고딕"/>
        <family val="3"/>
        <charset val="129"/>
      </rPr>
      <t>(-)</t>
    </r>
    <phoneticPr fontId="22" type="noConversion"/>
  </si>
  <si>
    <t>CFO 
의사결정 화면의 
입력 값</t>
    <phoneticPr fontId="30" type="noConversion"/>
  </si>
  <si>
    <t>CHO 
의사결정 화면의 
입력 값</t>
    <phoneticPr fontId="30" type="noConversion"/>
  </si>
  <si>
    <t>CMO
의사결정 화면의 
입력 값</t>
    <phoneticPr fontId="30" type="noConversion"/>
  </si>
  <si>
    <t xml:space="preserve">   1. 국내 매출액</t>
    <phoneticPr fontId="22" type="noConversion"/>
  </si>
  <si>
    <t xml:space="preserve">   2. 수출액</t>
    <phoneticPr fontId="22" type="noConversion"/>
  </si>
  <si>
    <t>* 손익계산서의 영업이익 추정치와 영업본부별 수익성 추정치의 합은 다를 수 있습니다.</t>
    <phoneticPr fontId="2" type="noConversion"/>
  </si>
  <si>
    <t>* 손익계산서에서는 기초재고와 기말재고의 가치가 다르기 때문입니다.</t>
    <phoneticPr fontId="2" type="noConversion"/>
  </si>
  <si>
    <t xml:space="preserve">3단계. 손익 추정  </t>
    <phoneticPr fontId="28" type="noConversion"/>
  </si>
  <si>
    <t xml:space="preserve"> - 셀 P11의 기초 제품 재고액을 전기 기말 제품 재고액으로 변경</t>
    <phoneticPr fontId="28" type="noConversion"/>
  </si>
  <si>
    <t xml:space="preserve">4단계. 정보 공유 및  전략 수정 </t>
    <phoneticPr fontId="28" type="noConversion"/>
  </si>
  <si>
    <t>(Input) 1 단계. 경영의사결정 입력</t>
    <phoneticPr fontId="49" type="noConversion"/>
  </si>
  <si>
    <t>(Input) 2 단계. 예측값 및 경제지표 입력</t>
    <phoneticPr fontId="49" type="noConversion"/>
  </si>
  <si>
    <t>(Output) 3단계. 추정 손익계산서</t>
    <phoneticPr fontId="49" type="noConversion"/>
  </si>
  <si>
    <t>(2). 추정 현금흐름표</t>
    <phoneticPr fontId="49" type="noConversion"/>
  </si>
  <si>
    <t>(3). 추정 재무상태표</t>
    <phoneticPr fontId="49" type="noConversion"/>
  </si>
  <si>
    <t>(4). 추정 재무비율</t>
    <phoneticPr fontId="49" type="noConversion"/>
  </si>
  <si>
    <t>참고. 추정 ROE 분석</t>
    <phoneticPr fontId="30" type="noConversion"/>
  </si>
  <si>
    <t>(5) - HR 원가 분석</t>
    <phoneticPr fontId="51" type="noConversion"/>
  </si>
  <si>
    <t xml:space="preserve">손익분기 분석 </t>
    <phoneticPr fontId="30" type="noConversion"/>
  </si>
  <si>
    <t>경제성 분석(2) - NPV 분석</t>
    <phoneticPr fontId="30" type="noConversion"/>
  </si>
  <si>
    <t xml:space="preserve">경제성 분석 (4) - EVA 분석 </t>
    <phoneticPr fontId="30" type="noConversion"/>
  </si>
  <si>
    <t>경제성 분석 (5). 생산성 분석</t>
    <phoneticPr fontId="30" type="noConversion"/>
  </si>
  <si>
    <t xml:space="preserve"> 생산량</t>
    <phoneticPr fontId="30" type="noConversion"/>
  </si>
  <si>
    <t>1. 분기 초 영업직원 수</t>
    <phoneticPr fontId="22" type="noConversion"/>
  </si>
  <si>
    <t>2. 예상 자발적 퇴직 영업직원 수(-로 입력)</t>
    <phoneticPr fontId="22" type="noConversion"/>
  </si>
  <si>
    <t>9. R&amp;D 교육훈련비</t>
  </si>
  <si>
    <t>9. R&amp;D 교육훈련비</t>
    <phoneticPr fontId="57" type="noConversion"/>
  </si>
  <si>
    <t>3. 영업직원 기본급(인당)</t>
  </si>
  <si>
    <t>3. 영업직원 기본급(인당)</t>
    <phoneticPr fontId="57" type="noConversion"/>
  </si>
  <si>
    <t>4. 영업직원 복리후생비(인당)</t>
  </si>
  <si>
    <t>4. 영업직원 복리후생비(인당)</t>
    <phoneticPr fontId="57" type="noConversion"/>
  </si>
  <si>
    <t>5. 생산직원 기본급(라인당)</t>
  </si>
  <si>
    <t>5. 생산직원 기본급(라인당)</t>
    <phoneticPr fontId="57" type="noConversion"/>
  </si>
  <si>
    <t>6. 생산직원 복리후생비(라인당)</t>
  </si>
  <si>
    <t>6. 생산직원 복리후생비(라인당)</t>
    <phoneticPr fontId="57" type="noConversion"/>
  </si>
  <si>
    <t>7. 영업직원 교육훈련비(영업본부별)</t>
  </si>
  <si>
    <t>7. 영업직원 교육훈련비(영업본부별)</t>
    <phoneticPr fontId="57" type="noConversion"/>
  </si>
  <si>
    <t>8. 생산직원 교육훈련비(라인당)</t>
  </si>
  <si>
    <t>8. 생산직원 교육훈련비(라인당)</t>
    <phoneticPr fontId="57" type="noConversion"/>
  </si>
  <si>
    <t>CTO</t>
    <phoneticPr fontId="57" type="noConversion"/>
  </si>
  <si>
    <t>R&amp;D</t>
    <phoneticPr fontId="57" type="noConversion"/>
  </si>
  <si>
    <t>R&amp;D 인력관리</t>
    <phoneticPr fontId="57" type="noConversion"/>
  </si>
  <si>
    <t>1. 선행기술R&amp;D투자비</t>
    <phoneticPr fontId="57" type="noConversion"/>
  </si>
  <si>
    <t>2. 양산R&amp;D투자비</t>
    <phoneticPr fontId="57" type="noConversion"/>
  </si>
  <si>
    <t>5. R&amp;D 인건비</t>
  </si>
  <si>
    <t>5. R&amp;D 인건비</t>
    <phoneticPr fontId="57" type="noConversion"/>
  </si>
  <si>
    <t>2. 영업본부 공장 발주량</t>
    <phoneticPr fontId="57" type="noConversion"/>
  </si>
  <si>
    <t>3. R&amp;D인원수 채용(+) 및 해고(-)</t>
    <phoneticPr fontId="57" type="noConversion"/>
  </si>
  <si>
    <t>인력 관리</t>
    <phoneticPr fontId="57" type="noConversion"/>
  </si>
  <si>
    <t>4. 설비 효율성 등급</t>
    <phoneticPr fontId="2" type="noConversion"/>
  </si>
  <si>
    <t>6. 신용등급</t>
    <phoneticPr fontId="2" type="noConversion"/>
  </si>
  <si>
    <t>2. 품질 등급</t>
    <phoneticPr fontId="57" type="noConversion"/>
  </si>
  <si>
    <t>11. 2교대생산라인 신설(1분기 소요)</t>
    <phoneticPr fontId="57" type="noConversion"/>
  </si>
  <si>
    <t>12. 정규생산라인 신설(2분기 소요)</t>
    <phoneticPr fontId="57" type="noConversion"/>
  </si>
  <si>
    <t>13. 공장신설(2분기 소요)및 폐쇄</t>
    <phoneticPr fontId="57" type="noConversion"/>
  </si>
  <si>
    <t>CTO</t>
    <phoneticPr fontId="2" type="noConversion"/>
  </si>
  <si>
    <t>3. 비자발적 퇴직 R&amp;D인원수</t>
    <phoneticPr fontId="22" type="noConversion"/>
  </si>
  <si>
    <t>2. 예상 자발적 퇴직 R&amp;D인원수</t>
    <phoneticPr fontId="22" type="noConversion"/>
  </si>
  <si>
    <t xml:space="preserve">1. CSR 활동비 </t>
    <phoneticPr fontId="57" type="noConversion"/>
  </si>
  <si>
    <t xml:space="preserve">2. 임직원 인센티브 </t>
    <phoneticPr fontId="57" type="noConversion"/>
  </si>
  <si>
    <t>R&amp;D 기술개발</t>
    <phoneticPr fontId="57" type="noConversion"/>
  </si>
  <si>
    <t>4. R&amp;D인원 생산성 등급</t>
    <phoneticPr fontId="57" type="noConversion"/>
  </si>
  <si>
    <t>1. CSR 활동비</t>
    <phoneticPr fontId="22" type="noConversion"/>
  </si>
  <si>
    <t xml:space="preserve">2. 임직원 인센티브 </t>
    <phoneticPr fontId="22" type="noConversion"/>
  </si>
  <si>
    <t>CTO 
의사결정 화면의 
입력 값</t>
    <phoneticPr fontId="30" type="noConversion"/>
  </si>
  <si>
    <t>1. 선행기술 투자비</t>
  </si>
  <si>
    <t>3. R&amp;D인원수 채용(+) 및 해고 (-)</t>
  </si>
  <si>
    <t>4. R&amp;D고급인력 스카우트(+) 및 해고 (-)</t>
  </si>
  <si>
    <t>11. 2교대라인 신설 (1분기 소요)</t>
    <phoneticPr fontId="28" type="noConversion"/>
  </si>
  <si>
    <t>12. 정규라인 신설 (2분기 소요)</t>
    <phoneticPr fontId="28" type="noConversion"/>
  </si>
  <si>
    <t>13. 공장의 신설(2분기 소요) 및 폐쇄</t>
    <phoneticPr fontId="2" type="noConversion"/>
  </si>
  <si>
    <t>4. R&amp;D고급인력 (스카우트 및 해고)</t>
    <phoneticPr fontId="57" type="noConversion"/>
  </si>
  <si>
    <t>2. 디지털마케팅 고급인력(스카우트 및 해고)</t>
    <phoneticPr fontId="57" type="noConversion"/>
  </si>
  <si>
    <t xml:space="preserve">R&amp;D 성과 </t>
    <phoneticPr fontId="57" type="noConversion"/>
  </si>
  <si>
    <t>R&amp;D 인력</t>
    <phoneticPr fontId="57" type="noConversion"/>
  </si>
  <si>
    <t>1 소비자물가지수 (예측)</t>
    <phoneticPr fontId="22" type="noConversion"/>
  </si>
  <si>
    <t>3. R&amp;D인원수</t>
    <phoneticPr fontId="57" type="noConversion"/>
  </si>
  <si>
    <t>1.신제품 모델</t>
    <phoneticPr fontId="57" type="noConversion"/>
  </si>
  <si>
    <t>한국 (원)</t>
    <phoneticPr fontId="2" type="noConversion"/>
  </si>
  <si>
    <t>생산라인</t>
    <phoneticPr fontId="2" type="noConversion"/>
  </si>
  <si>
    <t>공장 인건비 및 기타 경비</t>
    <phoneticPr fontId="2" type="noConversion"/>
  </si>
  <si>
    <t>경제 동향</t>
    <phoneticPr fontId="2" type="noConversion"/>
  </si>
  <si>
    <t>CFO</t>
    <phoneticPr fontId="2" type="noConversion"/>
  </si>
  <si>
    <t>1. 누적 펀드계좌 수</t>
    <phoneticPr fontId="22" type="noConversion"/>
  </si>
  <si>
    <t xml:space="preserve">  13. 기타 비용 </t>
    <phoneticPr fontId="28" type="noConversion"/>
  </si>
  <si>
    <t xml:space="preserve">    13-1. 영업 본부 퇴직금 </t>
    <phoneticPr fontId="2" type="noConversion"/>
  </si>
  <si>
    <t xml:space="preserve">    13-2. 제세공과금 및 사무용품비</t>
    <phoneticPr fontId="2" type="noConversion"/>
  </si>
  <si>
    <t xml:space="preserve">    13-3. 사회 공헌 투자</t>
    <phoneticPr fontId="2" type="noConversion"/>
  </si>
  <si>
    <t xml:space="preserve">    13-4. 경상 개발비</t>
    <phoneticPr fontId="2" type="noConversion"/>
  </si>
  <si>
    <t>*품질개선비 = 양산R&amp;D 투자비</t>
    <phoneticPr fontId="2" type="noConversion"/>
  </si>
  <si>
    <t>▶ 손익계산서 Parameter Table (4차년도 1분기 기준)</t>
    <phoneticPr fontId="2" type="noConversion"/>
  </si>
  <si>
    <t>1. 단위당 청산매출액</t>
    <phoneticPr fontId="2" type="noConversion"/>
  </si>
  <si>
    <t xml:space="preserve">2. 한국 본사 임직원 급여  </t>
    <phoneticPr fontId="2" type="noConversion"/>
  </si>
  <si>
    <t>3. 영업본부 임직원 급여</t>
    <phoneticPr fontId="2" type="noConversion"/>
  </si>
  <si>
    <t>4. 물류비</t>
    <phoneticPr fontId="2" type="noConversion"/>
  </si>
  <si>
    <t>한국 공장-한국 영업</t>
    <phoneticPr fontId="2" type="noConversion"/>
  </si>
  <si>
    <t xml:space="preserve">   13. 기타비용 </t>
    <phoneticPr fontId="22" type="noConversion"/>
  </si>
  <si>
    <t>7. 예상 자발적 퇴직 디지털마케팅 고급인력(-로 입력)</t>
    <phoneticPr fontId="2" type="noConversion"/>
  </si>
  <si>
    <t>2. 양산R&amp;D 투자비</t>
    <phoneticPr fontId="2" type="noConversion"/>
  </si>
  <si>
    <t xml:space="preserve">   1. 재무활동으로 인한 현금 유입액</t>
  </si>
  <si>
    <t xml:space="preserve">       가. 단기 차입금의 차입(=CFO의 은행대출 의사결정)</t>
    <phoneticPr fontId="2" type="noConversion"/>
  </si>
  <si>
    <t>VI. 영업외 수익</t>
    <phoneticPr fontId="2" type="noConversion"/>
  </si>
  <si>
    <t xml:space="preserve">   1. 이자 수익 </t>
    <phoneticPr fontId="22" type="noConversion"/>
  </si>
  <si>
    <t>Ⅰ. 자본금</t>
  </si>
  <si>
    <t xml:space="preserve">     2. 당기 자본 잉여금 증가</t>
    <phoneticPr fontId="2" type="noConversion"/>
  </si>
  <si>
    <t>3. R&amp;D 인건비</t>
    <phoneticPr fontId="2" type="noConversion"/>
  </si>
  <si>
    <t>1. 판매가격</t>
    <phoneticPr fontId="22" type="noConversion"/>
  </si>
  <si>
    <t>2. 가격의 마케팅원가 비율(%)</t>
    <phoneticPr fontId="22" type="noConversion"/>
  </si>
  <si>
    <t>2. 신설하는 정규생산라인 수</t>
    <phoneticPr fontId="2" type="noConversion"/>
  </si>
  <si>
    <t xml:space="preserve">3. 정규 생산라인의 작업 시간 </t>
    <phoneticPr fontId="2" type="noConversion"/>
  </si>
  <si>
    <t>4. 신설하는 2교대 생산라인 수</t>
    <phoneticPr fontId="2" type="noConversion"/>
  </si>
  <si>
    <t xml:space="preserve">5. 2교대 생산라인의 작업 시간 </t>
    <phoneticPr fontId="2" type="noConversion"/>
  </si>
  <si>
    <t>6. 공장건설</t>
    <phoneticPr fontId="2" type="noConversion"/>
  </si>
  <si>
    <t xml:space="preserve"> 4.1.공장신설비</t>
    <phoneticPr fontId="22" type="noConversion"/>
  </si>
  <si>
    <t xml:space="preserve"> 4.2.라인신설비 </t>
    <phoneticPr fontId="22" type="noConversion"/>
  </si>
  <si>
    <t xml:space="preserve"> </t>
    <phoneticPr fontId="2" type="noConversion"/>
  </si>
  <si>
    <t>2. 예상 자발적 퇴직 고급R&amp;D인원수</t>
    <phoneticPr fontId="22" type="noConversion"/>
  </si>
  <si>
    <t>3. 비자발적 퇴직 고급R&amp;D인원수</t>
    <phoneticPr fontId="22" type="noConversion"/>
  </si>
  <si>
    <r>
      <t>6. 분기</t>
    </r>
    <r>
      <rPr>
        <b/>
        <sz val="12"/>
        <color rgb="FFFF0000"/>
        <rFont val="Arial"/>
        <family val="2"/>
      </rPr>
      <t xml:space="preserve"> </t>
    </r>
    <r>
      <rPr>
        <b/>
        <sz val="12"/>
        <color rgb="FFFF0000"/>
        <rFont val="맑은 고딕"/>
        <family val="3"/>
        <charset val="129"/>
      </rPr>
      <t>초</t>
    </r>
    <r>
      <rPr>
        <b/>
        <sz val="12"/>
        <color rgb="FFFF0000"/>
        <rFont val="Arial"/>
        <family val="2"/>
      </rPr>
      <t xml:space="preserve"> </t>
    </r>
    <r>
      <rPr>
        <b/>
        <sz val="12"/>
        <color rgb="FFFF0000"/>
        <rFont val="맑은 고딕"/>
        <family val="3"/>
        <charset val="129"/>
      </rPr>
      <t>디지털마케팅</t>
    </r>
    <r>
      <rPr>
        <b/>
        <sz val="12"/>
        <color rgb="FFFF0000"/>
        <rFont val="Arial"/>
        <family val="2"/>
      </rPr>
      <t xml:space="preserve"> </t>
    </r>
    <r>
      <rPr>
        <b/>
        <sz val="12"/>
        <color rgb="FFFF0000"/>
        <rFont val="맑은 고딕"/>
        <family val="3"/>
        <charset val="129"/>
      </rPr>
      <t>고급인력</t>
    </r>
    <phoneticPr fontId="22" type="noConversion"/>
  </si>
  <si>
    <r>
      <t>8. 비자발적</t>
    </r>
    <r>
      <rPr>
        <b/>
        <sz val="12"/>
        <color rgb="FFFF0000"/>
        <rFont val="Arial"/>
        <family val="2"/>
      </rPr>
      <t xml:space="preserve"> </t>
    </r>
    <r>
      <rPr>
        <b/>
        <sz val="12"/>
        <color rgb="FFFF0000"/>
        <rFont val="맑은 고딕"/>
        <family val="3"/>
        <charset val="129"/>
      </rPr>
      <t>퇴직</t>
    </r>
    <r>
      <rPr>
        <b/>
        <sz val="12"/>
        <color rgb="FFFF0000"/>
        <rFont val="Arial"/>
        <family val="2"/>
      </rPr>
      <t xml:space="preserve"> </t>
    </r>
    <r>
      <rPr>
        <b/>
        <sz val="12"/>
        <color rgb="FFFF0000"/>
        <rFont val="맑은 고딕"/>
        <family val="3"/>
        <charset val="129"/>
      </rPr>
      <t>디지털마케팅</t>
    </r>
    <r>
      <rPr>
        <b/>
        <sz val="12"/>
        <color rgb="FFFF0000"/>
        <rFont val="Arial"/>
        <family val="2"/>
      </rPr>
      <t xml:space="preserve"> </t>
    </r>
    <r>
      <rPr>
        <b/>
        <sz val="12"/>
        <color rgb="FFFF0000"/>
        <rFont val="맑은 고딕"/>
        <family val="3"/>
        <charset val="129"/>
      </rPr>
      <t>고급인력</t>
    </r>
    <phoneticPr fontId="22" type="noConversion"/>
  </si>
  <si>
    <r>
      <t>9. 분기말</t>
    </r>
    <r>
      <rPr>
        <b/>
        <sz val="12"/>
        <color rgb="FFFF0000"/>
        <rFont val="Arial"/>
        <family val="2"/>
      </rPr>
      <t xml:space="preserve"> </t>
    </r>
    <r>
      <rPr>
        <b/>
        <sz val="12"/>
        <color rgb="FFFF0000"/>
        <rFont val="맑은 고딕"/>
        <family val="3"/>
        <charset val="129"/>
      </rPr>
      <t>디지털마케팅</t>
    </r>
    <r>
      <rPr>
        <b/>
        <sz val="12"/>
        <color rgb="FFFF0000"/>
        <rFont val="Arial"/>
        <family val="2"/>
      </rPr>
      <t xml:space="preserve"> </t>
    </r>
    <r>
      <rPr>
        <b/>
        <sz val="12"/>
        <color rgb="FFFF0000"/>
        <rFont val="맑은 고딕"/>
        <family val="3"/>
        <charset val="129"/>
      </rPr>
      <t>고급인력 예측치</t>
    </r>
    <phoneticPr fontId="22" type="noConversion"/>
  </si>
  <si>
    <r>
      <t>1. 분기</t>
    </r>
    <r>
      <rPr>
        <b/>
        <sz val="12"/>
        <color rgb="FFFF0000"/>
        <rFont val="Arial"/>
        <family val="2"/>
      </rPr>
      <t xml:space="preserve"> </t>
    </r>
    <r>
      <rPr>
        <b/>
        <sz val="12"/>
        <color rgb="FFFF0000"/>
        <rFont val="맑은 고딕"/>
        <family val="3"/>
        <charset val="129"/>
      </rPr>
      <t>초</t>
    </r>
    <r>
      <rPr>
        <b/>
        <sz val="12"/>
        <color rgb="FFFF0000"/>
        <rFont val="Arial"/>
        <family val="2"/>
      </rPr>
      <t xml:space="preserve"> </t>
    </r>
    <r>
      <rPr>
        <b/>
        <sz val="12"/>
        <color rgb="FFFF0000"/>
        <rFont val="맑은 고딕"/>
        <family val="3"/>
        <charset val="129"/>
      </rPr>
      <t>R&amp;D인원수</t>
    </r>
    <phoneticPr fontId="22" type="noConversion"/>
  </si>
  <si>
    <r>
      <t>4. 분기말</t>
    </r>
    <r>
      <rPr>
        <b/>
        <sz val="12"/>
        <color rgb="FFFF0000"/>
        <rFont val="Arial"/>
        <family val="2"/>
      </rPr>
      <t xml:space="preserve"> </t>
    </r>
    <r>
      <rPr>
        <b/>
        <sz val="12"/>
        <color rgb="FFFF0000"/>
        <rFont val="맑은 고딕"/>
        <family val="3"/>
        <charset val="129"/>
      </rPr>
      <t>R&amp;D인원수 예측치</t>
    </r>
    <phoneticPr fontId="22" type="noConversion"/>
  </si>
  <si>
    <r>
      <t>1. 분기</t>
    </r>
    <r>
      <rPr>
        <b/>
        <sz val="12"/>
        <color rgb="FFFF0000"/>
        <rFont val="Arial"/>
        <family val="2"/>
      </rPr>
      <t xml:space="preserve"> </t>
    </r>
    <r>
      <rPr>
        <b/>
        <sz val="12"/>
        <color rgb="FFFF0000"/>
        <rFont val="맑은 고딕"/>
        <family val="3"/>
        <charset val="129"/>
      </rPr>
      <t>초 고급R&amp;D인원수</t>
    </r>
    <phoneticPr fontId="22" type="noConversion"/>
  </si>
  <si>
    <r>
      <t>4. 분기말</t>
    </r>
    <r>
      <rPr>
        <b/>
        <sz val="12"/>
        <color rgb="FFFF0000"/>
        <rFont val="Arial"/>
        <family val="2"/>
      </rPr>
      <t xml:space="preserve"> </t>
    </r>
    <r>
      <rPr>
        <b/>
        <sz val="12"/>
        <color rgb="FFFF0000"/>
        <rFont val="Arial Unicode MS"/>
        <family val="2"/>
        <charset val="129"/>
      </rPr>
      <t xml:space="preserve">고급 </t>
    </r>
    <r>
      <rPr>
        <b/>
        <sz val="12"/>
        <color rgb="FFFF0000"/>
        <rFont val="맑은 고딕"/>
        <family val="3"/>
        <charset val="129"/>
      </rPr>
      <t>R&amp;D인원수 예측치</t>
    </r>
    <phoneticPr fontId="22" type="noConversion"/>
  </si>
  <si>
    <t>3. 비자발적 퇴직 영업직원수</t>
    <phoneticPr fontId="22" type="noConversion"/>
  </si>
  <si>
    <t xml:space="preserve">R&amp;D 연구인력수 </t>
    <phoneticPr fontId="2" type="noConversion"/>
  </si>
  <si>
    <t xml:space="preserve">인건비 </t>
    <phoneticPr fontId="2" type="noConversion"/>
  </si>
  <si>
    <t xml:space="preserve">R&amp;D 인건비 </t>
    <phoneticPr fontId="2" type="noConversion"/>
  </si>
  <si>
    <t xml:space="preserve">R&amp;D 고급연구인력수 </t>
    <phoneticPr fontId="2" type="noConversion"/>
  </si>
  <si>
    <t>2-4. 디지털마케팅급여</t>
    <phoneticPr fontId="2" type="noConversion"/>
  </si>
  <si>
    <t xml:space="preserve">한국 직원수 </t>
    <phoneticPr fontId="2" type="noConversion"/>
  </si>
  <si>
    <t>인건비</t>
    <phoneticPr fontId="2" type="noConversion"/>
  </si>
  <si>
    <t xml:space="preserve">현재 임직원급여 </t>
    <phoneticPr fontId="2" type="noConversion"/>
  </si>
  <si>
    <t>조정되어야 할 값</t>
    <phoneticPr fontId="2" type="noConversion"/>
  </si>
  <si>
    <t>조정계수</t>
    <phoneticPr fontId="2" type="noConversion"/>
  </si>
  <si>
    <t xml:space="preserve">11-1. 선행기숭연구개발비 </t>
    <phoneticPr fontId="2" type="noConversion"/>
  </si>
  <si>
    <t xml:space="preserve">11-2. R&amp;D 인건비 </t>
    <phoneticPr fontId="2" type="noConversion"/>
  </si>
  <si>
    <t>11-3. 연구개발교육훈련비</t>
    <phoneticPr fontId="2" type="noConversion"/>
  </si>
  <si>
    <t>2. 디지털마케팅 고급인력(스카우트 및 해고)</t>
    <phoneticPr fontId="22" type="noConversion"/>
  </si>
  <si>
    <t>양산R&amp;D투자비</t>
  </si>
  <si>
    <t xml:space="preserve">13. 양산R&amp;D투자비와  품질 등급간의 관계 </t>
    <phoneticPr fontId="30" type="noConversion"/>
  </si>
  <si>
    <t>4차년도1분기</t>
    <phoneticPr fontId="57" type="noConversion"/>
  </si>
  <si>
    <t>브랜드 등급</t>
    <phoneticPr fontId="30" type="noConversion"/>
  </si>
  <si>
    <t>디지털 마케팅 인력 증감</t>
    <phoneticPr fontId="30" type="noConversion"/>
  </si>
  <si>
    <t>17. 디지털 마케팅 인력 증감과 브랜드 등급의 연관성</t>
    <phoneticPr fontId="30" type="noConversion"/>
  </si>
  <si>
    <t>18. 연구개발 및 고급 인력 변화와 신제품 모델 변화</t>
    <phoneticPr fontId="30" type="noConversion"/>
  </si>
  <si>
    <t>R&amp;D 연구인원수 증감</t>
    <phoneticPr fontId="30" type="noConversion"/>
  </si>
  <si>
    <t>R&amp;D고급인력 증감</t>
    <phoneticPr fontId="30" type="noConversion"/>
  </si>
  <si>
    <t>1. 판매제품 모델</t>
    <phoneticPr fontId="57" type="noConversion"/>
  </si>
  <si>
    <t>판매제품 모델</t>
    <phoneticPr fontId="30" type="noConversion"/>
  </si>
  <si>
    <t xml:space="preserve">조정 계수 </t>
    <phoneticPr fontId="2" type="noConversion"/>
  </si>
  <si>
    <t xml:space="preserve">조정계수 </t>
    <phoneticPr fontId="2" type="noConversion"/>
  </si>
  <si>
    <t>U국가</t>
  </si>
  <si>
    <t>U국가 공장 출고량</t>
  </si>
  <si>
    <t>U국가 공장</t>
  </si>
  <si>
    <t xml:space="preserve">U국가 </t>
  </si>
  <si>
    <t xml:space="preserve">    2-1. U국가 시장 매출액</t>
  </si>
  <si>
    <t xml:space="preserve">        U국가영업본부 가격</t>
  </si>
  <si>
    <t xml:space="preserve">        U국가영업본부 판매량 </t>
  </si>
  <si>
    <t xml:space="preserve">U국가 공장 </t>
  </si>
  <si>
    <t xml:space="preserve">     3-2. U국가영업본부 청산매출액 </t>
  </si>
  <si>
    <t xml:space="preserve">        * U국가 청산판매량</t>
  </si>
  <si>
    <t xml:space="preserve">        U국가 부품 재고량 </t>
  </si>
  <si>
    <t xml:space="preserve">        U국가 제품 재고량 </t>
  </si>
  <si>
    <t xml:space="preserve">    1-2. U국가 임직원 급여</t>
  </si>
  <si>
    <t xml:space="preserve">          U국가 영업본부 임직원급여</t>
  </si>
  <si>
    <t xml:space="preserve">    2-2. U국가영업본부 영업직원 급여</t>
  </si>
  <si>
    <t xml:space="preserve">          U국가 영업직원 수  </t>
  </si>
  <si>
    <t xml:space="preserve">          U국가영업본부 기본급</t>
  </si>
  <si>
    <t xml:space="preserve">          U국가 영업직원 복리후생비</t>
  </si>
  <si>
    <t xml:space="preserve">    4-2. U국가영업본부 광고비(원)</t>
  </si>
  <si>
    <t xml:space="preserve">          * U국가영업본부 광고비(달러)</t>
  </si>
  <si>
    <t xml:space="preserve">    5-2. U국가 영업본부 판매 촉진비</t>
  </si>
  <si>
    <t xml:space="preserve">         U국가 영업본부 매장당 판매 촉진비</t>
  </si>
  <si>
    <t xml:space="preserve">         U국가 영업본부 매장 수</t>
  </si>
  <si>
    <t xml:space="preserve">    6-2. U국가영업본부 물류비</t>
  </si>
  <si>
    <t xml:space="preserve">         한국-U국가 입고량</t>
  </si>
  <si>
    <t xml:space="preserve">         U국가-U국가 입고량</t>
  </si>
  <si>
    <t xml:space="preserve">    7-2. U국가영업본부 재고관리비</t>
  </si>
  <si>
    <t xml:space="preserve">       * U국가영업본부 재고량</t>
  </si>
  <si>
    <t xml:space="preserve">    8-2. U국가 영업 본부 관리비</t>
  </si>
  <si>
    <t xml:space="preserve">    9-2. U국가 유통매장 관리비</t>
  </si>
  <si>
    <t xml:space="preserve">       U국가 유통 매장 수 </t>
  </si>
  <si>
    <t xml:space="preserve">       * U국가 영업 교육 훈련비</t>
  </si>
  <si>
    <t xml:space="preserve">       * U국가 신규 채용 영업직원 수</t>
  </si>
  <si>
    <t xml:space="preserve">         U국가 영업 직원 교육 훈련비 </t>
  </si>
  <si>
    <t xml:space="preserve">       * U국가영업본부 퇴직금</t>
  </si>
  <si>
    <t xml:space="preserve">         U국가 퇴직 직원수</t>
  </si>
  <si>
    <t>한국 공장-U국가 영업</t>
  </si>
  <si>
    <t>U국가 공장-U국가 영업</t>
  </si>
  <si>
    <t>U국가 판매량</t>
  </si>
  <si>
    <t>U국가 (달러)</t>
  </si>
  <si>
    <t>한국-U국가</t>
  </si>
  <si>
    <t>U국가-U국가</t>
  </si>
  <si>
    <t xml:space="preserve">▶ 과거 3년 간의 한국, U국가, C국가 시장에 대한 경제 지표 현황을 보여주는 Table입니다. </t>
  </si>
  <si>
    <t>C국가</t>
  </si>
  <si>
    <t>C국가 판매량</t>
  </si>
  <si>
    <t>C국가 (위안)</t>
  </si>
  <si>
    <t>한국-C국가</t>
  </si>
  <si>
    <t>C국가-C국가</t>
  </si>
  <si>
    <t>C국가 공장</t>
  </si>
  <si>
    <t xml:space="preserve">C국가 공장 </t>
  </si>
  <si>
    <t>C국가 공장 출고량</t>
  </si>
  <si>
    <t xml:space="preserve">C국가 </t>
  </si>
  <si>
    <t xml:space="preserve">C국가  </t>
  </si>
  <si>
    <t xml:space="preserve">    2-2. C국가 시장 매출액</t>
  </si>
  <si>
    <t xml:space="preserve">        C국가영업본부 가격</t>
  </si>
  <si>
    <t xml:space="preserve">        C국가영업본부 판매량 </t>
  </si>
  <si>
    <t xml:space="preserve">     3-3. C국가영업본부 청산매출액</t>
  </si>
  <si>
    <t xml:space="preserve">        * C국가 청산판매량</t>
  </si>
  <si>
    <t xml:space="preserve">        C국가 부품 재고량 </t>
  </si>
  <si>
    <t xml:space="preserve">        C국가 제품 재고량 </t>
  </si>
  <si>
    <t xml:space="preserve">    1-3. C국가 임직원 급여</t>
  </si>
  <si>
    <t xml:space="preserve">          C국가 영업본부 임직원급여</t>
  </si>
  <si>
    <t xml:space="preserve">    2-3. C국가영업본부 영업직원 급여</t>
  </si>
  <si>
    <t xml:space="preserve">          C국가 영업직원 수</t>
  </si>
  <si>
    <t xml:space="preserve">          C국가영업본부 기본급</t>
  </si>
  <si>
    <t xml:space="preserve">          C국가 영업직원 복리후생비</t>
  </si>
  <si>
    <t xml:space="preserve">    4-3. C국가영업본부 광고비(원)</t>
  </si>
  <si>
    <t xml:space="preserve">          * C국가영업본부 광고비(위안)</t>
  </si>
  <si>
    <t xml:space="preserve">    5-3. C국가 영업 본부 판매 촉진비</t>
  </si>
  <si>
    <t xml:space="preserve">         C국가 영업본부 매장당 판매 촉진비</t>
  </si>
  <si>
    <t xml:space="preserve">         C국가 영업본부 매장수 </t>
  </si>
  <si>
    <t xml:space="preserve">    6-3. C국가영업본부 물류비</t>
  </si>
  <si>
    <t xml:space="preserve">         한국-C국가 입고량</t>
  </si>
  <si>
    <t xml:space="preserve">         C국가-C국가 입고량</t>
  </si>
  <si>
    <t xml:space="preserve">    7-3. C국가영업본부 재고관리비</t>
  </si>
  <si>
    <t xml:space="preserve">       * C국가영업본부 재고량</t>
  </si>
  <si>
    <t xml:space="preserve">    8-3. C국가 영업 본부 관리비</t>
  </si>
  <si>
    <t xml:space="preserve">    9-3. C국가 유통매장 관리비</t>
  </si>
  <si>
    <t xml:space="preserve">       C국가 유통 매장 수 </t>
  </si>
  <si>
    <t xml:space="preserve">       * C국가 영업 교육 훈련비</t>
  </si>
  <si>
    <t xml:space="preserve">       * C국가 신규 채용 영업직원 수   </t>
  </si>
  <si>
    <t xml:space="preserve">         C국가 영업 직원 교육 훈련비 </t>
  </si>
  <si>
    <t xml:space="preserve">       * C국가영업본부 퇴직금</t>
  </si>
  <si>
    <t xml:space="preserve">         C국가 퇴직 직원수</t>
  </si>
  <si>
    <t>한국 공장-C국가 영업</t>
  </si>
  <si>
    <t>C국가 공장-C국가 영업</t>
  </si>
  <si>
    <t xml:space="preserve">1단계. CMO, CPO, CTO, CHO, CFO의 의사결정 값을 입력 </t>
  </si>
  <si>
    <t xml:space="preserve">2단계. CMO, CPO, CTO, CHO의 예측 값 및 경제 지표 입력 </t>
  </si>
  <si>
    <t>CPO</t>
  </si>
  <si>
    <t xml:space="preserve">CPO </t>
  </si>
  <si>
    <t>CPO 
의사결정 화면의 
입력 값</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</si>
</sst>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6" formatCode="&quot;₩&quot;#,##0;[Red]\-&quot;₩&quot;#,##0"/>
    <numFmt numFmtId="41" formatCode="_-* #,##0_-;\-* #,##0_-;_-* &quot;-&quot;_-;_-@_-"/>
    <numFmt numFmtId="43" formatCode="_-* #,##0.00_-;\-* #,##0.00_-;_-* &quot;-&quot;??_-;_-@_-"/>
    <numFmt numFmtId="176" formatCode="0_);[Red]\(0\)"/>
    <numFmt numFmtId="177" formatCode="_-* #,##0.0_-;\-* #,##0.0_-;_-* &quot;-&quot;_-;_-@_-"/>
    <numFmt numFmtId="178" formatCode="_-* #,##0.00_-;\-* #,##0.00_-;_-* &quot;-&quot;_-;_-@_-"/>
    <numFmt numFmtId="179" formatCode="#,##0_ "/>
    <numFmt numFmtId="180" formatCode="_-* #,##0_-;\-* #,##0_-;_-* &quot;-&quot;??_-;_-@_-"/>
    <numFmt numFmtId="181" formatCode="#,##0.00_ "/>
    <numFmt numFmtId="182" formatCode="#,###,"/>
    <numFmt numFmtId="183" formatCode="#,##0_ ;[Red]\-#,##0\ "/>
    <numFmt numFmtId="184" formatCode="0.0%"/>
    <numFmt numFmtId="185" formatCode="#,##0.0_ ;[Red]\-#,##0.0\ "/>
    <numFmt numFmtId="186" formatCode="mm&quot;월&quot;\ dd&quot;일&quot;"/>
    <numFmt numFmtId="187" formatCode="0.000%"/>
    <numFmt numFmtId="188" formatCode="#,##0.00_ ;[Red]\-#,##0.00\ "/>
    <numFmt numFmtId="189" formatCode="_-* #,##0.000_-;\-* #,##0.000_-;_-* &quot;-&quot;_-;_-@_-"/>
    <numFmt numFmtId="190" formatCode="_-* #,##0.0_-;\-* #,##0.0_-;_-* &quot;-&quot;?_-;_-@_-"/>
    <numFmt numFmtId="191" formatCode="0.00000000000"/>
    <numFmt numFmtId="192" formatCode="0.00_);[Red]\(0.00\)"/>
    <numFmt numFmtId="193" formatCode="_-* #,##0.0000000_-;\-* #,##0.0000000_-;_-* &quot;-&quot;_-;_-@_-"/>
  </numFmts>
  <fonts count="136">
    <font>
      <sz val="11"/>
      <color theme="1"/>
      <name val="맑은 고딕"/>
      <family val="3"/>
      <charset val="129"/>
      <scheme val="minor"/>
    </font>
    <font>
      <sz val="11"/>
      <color indexed="8"/>
      <name val="맑은 고딕"/>
      <family val="3"/>
      <charset val="129"/>
    </font>
    <font>
      <sz val="8"/>
      <name val="맑은 고딕"/>
      <family val="3"/>
      <charset val="129"/>
    </font>
    <font>
      <sz val="8"/>
      <name val="맑은 고딕"/>
      <family val="3"/>
      <charset val="129"/>
    </font>
    <font>
      <sz val="10"/>
      <name val="굴림체"/>
      <family val="3"/>
      <charset val="129"/>
    </font>
    <font>
      <u/>
      <sz val="10"/>
      <color indexed="12"/>
      <name val="굴림체"/>
      <family val="3"/>
      <charset val="129"/>
    </font>
    <font>
      <sz val="9"/>
      <color indexed="8"/>
      <name val="맑은 고딕"/>
      <family val="3"/>
      <charset val="129"/>
    </font>
    <font>
      <sz val="6"/>
      <color indexed="8"/>
      <name val="맑은 고딕"/>
      <family val="3"/>
      <charset val="129"/>
    </font>
    <font>
      <b/>
      <sz val="12"/>
      <color indexed="8"/>
      <name val="맑은 고딕"/>
      <family val="3"/>
      <charset val="129"/>
    </font>
    <font>
      <b/>
      <sz val="10"/>
      <color indexed="8"/>
      <name val="맑은 고딕"/>
      <family val="3"/>
      <charset val="129"/>
    </font>
    <font>
      <sz val="10"/>
      <color indexed="8"/>
      <name val="맑은 고딕"/>
      <family val="3"/>
      <charset val="129"/>
    </font>
    <font>
      <sz val="11"/>
      <color indexed="8"/>
      <name val="맑은 고딕"/>
      <family val="3"/>
      <charset val="129"/>
    </font>
    <font>
      <sz val="10"/>
      <name val="맑은 고딕"/>
      <family val="3"/>
      <charset val="129"/>
    </font>
    <font>
      <sz val="10"/>
      <color indexed="10"/>
      <name val="맑은 고딕"/>
      <family val="3"/>
      <charset val="129"/>
    </font>
    <font>
      <b/>
      <sz val="11"/>
      <color indexed="8"/>
      <name val="맑은 고딕"/>
      <family val="3"/>
      <charset val="129"/>
    </font>
    <font>
      <b/>
      <sz val="11"/>
      <name val="맑은 고딕"/>
      <family val="3"/>
      <charset val="129"/>
    </font>
    <font>
      <sz val="11"/>
      <name val="맑은 고딕"/>
      <family val="3"/>
      <charset val="129"/>
    </font>
    <font>
      <b/>
      <sz val="12"/>
      <name val="맑은 고딕"/>
      <family val="3"/>
      <charset val="129"/>
    </font>
    <font>
      <sz val="12"/>
      <name val="맑은 고딕"/>
      <family val="3"/>
      <charset val="129"/>
    </font>
    <font>
      <sz val="12"/>
      <color indexed="8"/>
      <name val="맑은 고딕"/>
      <family val="3"/>
      <charset val="129"/>
    </font>
    <font>
      <b/>
      <sz val="16"/>
      <name val="맑은 고딕"/>
      <family val="3"/>
      <charset val="129"/>
    </font>
    <font>
      <sz val="11"/>
      <name val="돋움"/>
      <family val="3"/>
      <charset val="129"/>
    </font>
    <font>
      <sz val="8"/>
      <name val="돋움"/>
      <family val="3"/>
      <charset val="129"/>
    </font>
    <font>
      <b/>
      <sz val="14"/>
      <color indexed="8"/>
      <name val="맑은 고딕"/>
      <family val="3"/>
      <charset val="129"/>
    </font>
    <font>
      <b/>
      <sz val="18"/>
      <name val="맑은 고딕"/>
      <family val="3"/>
      <charset val="129"/>
    </font>
    <font>
      <b/>
      <sz val="12"/>
      <color indexed="81"/>
      <name val="돋움"/>
      <family val="3"/>
      <charset val="129"/>
    </font>
    <font>
      <b/>
      <sz val="12"/>
      <color indexed="81"/>
      <name val="Tahoma"/>
      <family val="2"/>
    </font>
    <font>
      <sz val="12"/>
      <color indexed="81"/>
      <name val="Tahoma"/>
      <family val="2"/>
    </font>
    <font>
      <sz val="8"/>
      <name val="맑은 고딕"/>
      <family val="3"/>
      <charset val="129"/>
    </font>
    <font>
      <sz val="9"/>
      <name val="맑은 고딕"/>
      <family val="3"/>
      <charset val="129"/>
    </font>
    <font>
      <sz val="8"/>
      <name val="굴림체"/>
      <family val="3"/>
      <charset val="129"/>
    </font>
    <font>
      <sz val="6"/>
      <name val="맑은 고딕"/>
      <family val="3"/>
      <charset val="129"/>
    </font>
    <font>
      <b/>
      <sz val="12"/>
      <color indexed="10"/>
      <name val="맑은 고딕"/>
      <family val="3"/>
      <charset val="129"/>
    </font>
    <font>
      <b/>
      <sz val="14"/>
      <name val="맑은 고딕"/>
      <family val="3"/>
      <charset val="129"/>
    </font>
    <font>
      <b/>
      <sz val="14"/>
      <color indexed="10"/>
      <name val="맑은 고딕"/>
      <family val="3"/>
      <charset val="129"/>
    </font>
    <font>
      <sz val="14"/>
      <name val="맑은 고딕"/>
      <family val="3"/>
      <charset val="129"/>
    </font>
    <font>
      <sz val="16"/>
      <color indexed="10"/>
      <name val="맑은 고딕"/>
      <family val="3"/>
      <charset val="129"/>
    </font>
    <font>
      <sz val="14"/>
      <color indexed="8"/>
      <name val="맑은 고딕"/>
      <family val="3"/>
      <charset val="129"/>
    </font>
    <font>
      <b/>
      <sz val="12"/>
      <color indexed="81"/>
      <name val="맑은 고딕"/>
      <family val="3"/>
      <charset val="129"/>
    </font>
    <font>
      <sz val="9"/>
      <color indexed="81"/>
      <name val="Tahoma"/>
      <family val="2"/>
    </font>
    <font>
      <b/>
      <sz val="11"/>
      <color indexed="81"/>
      <name val="돋움"/>
      <family val="3"/>
      <charset val="129"/>
    </font>
    <font>
      <b/>
      <sz val="11"/>
      <color indexed="81"/>
      <name val="Tahoma"/>
      <family val="2"/>
    </font>
    <font>
      <sz val="11"/>
      <color indexed="81"/>
      <name val="Tahoma"/>
      <family val="2"/>
    </font>
    <font>
      <sz val="12"/>
      <color indexed="81"/>
      <name val="돋움"/>
      <family val="3"/>
      <charset val="129"/>
    </font>
    <font>
      <b/>
      <sz val="11"/>
      <color indexed="81"/>
      <name val="맑은 고딕"/>
      <family val="3"/>
      <charset val="129"/>
    </font>
    <font>
      <sz val="8"/>
      <name val="맑은 고딕"/>
      <family val="3"/>
      <charset val="129"/>
    </font>
    <font>
      <b/>
      <sz val="9"/>
      <color indexed="81"/>
      <name val="맑은 고딕"/>
      <family val="3"/>
      <charset val="129"/>
    </font>
    <font>
      <sz val="8"/>
      <name val="맑은 고딕"/>
      <family val="3"/>
      <charset val="129"/>
    </font>
    <font>
      <sz val="10"/>
      <name val="굴림"/>
      <family val="3"/>
      <charset val="129"/>
    </font>
    <font>
      <sz val="8"/>
      <name val="맑은 고딕"/>
      <family val="3"/>
      <charset val="129"/>
    </font>
    <font>
      <sz val="16"/>
      <name val="맑은 고딕"/>
      <family val="3"/>
      <charset val="129"/>
    </font>
    <font>
      <sz val="8"/>
      <name val="맑은 고딕"/>
      <family val="3"/>
      <charset val="129"/>
    </font>
    <font>
      <b/>
      <sz val="16"/>
      <color indexed="10"/>
      <name val="맑은 고딕"/>
      <family val="3"/>
      <charset val="129"/>
    </font>
    <font>
      <b/>
      <sz val="9"/>
      <color indexed="81"/>
      <name val="돋움"/>
      <family val="3"/>
      <charset val="129"/>
    </font>
    <font>
      <b/>
      <sz val="9"/>
      <color indexed="81"/>
      <name val="Tahoma"/>
      <family val="2"/>
    </font>
    <font>
      <sz val="8"/>
      <name val="맑은 고딕"/>
      <family val="3"/>
      <charset val="129"/>
    </font>
    <font>
      <sz val="8"/>
      <name val="맑은 고딕"/>
      <family val="3"/>
      <charset val="129"/>
    </font>
    <font>
      <sz val="8"/>
      <name val="맑은 고딕"/>
      <family val="3"/>
      <charset val="129"/>
    </font>
    <font>
      <sz val="10"/>
      <color indexed="8"/>
      <name val="Calibri"/>
      <family val="2"/>
    </font>
    <font>
      <sz val="10"/>
      <color indexed="8"/>
      <name val="Arial"/>
      <family val="2"/>
    </font>
    <font>
      <sz val="10"/>
      <name val="Arial"/>
      <family val="2"/>
    </font>
    <font>
      <sz val="8"/>
      <name val="굴림"/>
      <family val="3"/>
      <charset val="129"/>
    </font>
    <font>
      <i/>
      <sz val="11"/>
      <color indexed="8"/>
      <name val="맑은 고딕"/>
      <family val="3"/>
      <charset val="129"/>
    </font>
    <font>
      <sz val="12"/>
      <name val="굴림체"/>
      <family val="3"/>
      <charset val="129"/>
    </font>
    <font>
      <sz val="11"/>
      <name val="굴림체"/>
      <family val="3"/>
      <charset val="129"/>
    </font>
    <font>
      <sz val="10"/>
      <name val="Calibri"/>
      <family val="2"/>
    </font>
    <font>
      <sz val="11"/>
      <color theme="1"/>
      <name val="맑은 고딕"/>
      <family val="3"/>
      <charset val="129"/>
      <scheme val="minor"/>
    </font>
    <font>
      <sz val="11"/>
      <color rgb="FFFF0000"/>
      <name val="맑은 고딕"/>
      <family val="3"/>
      <charset val="129"/>
      <scheme val="minor"/>
    </font>
    <font>
      <b/>
      <sz val="11"/>
      <color theme="1"/>
      <name val="맑은 고딕"/>
      <family val="3"/>
      <charset val="129"/>
      <scheme val="minor"/>
    </font>
    <font>
      <sz val="9"/>
      <color theme="1"/>
      <name val="맑은 고딕"/>
      <family val="3"/>
      <charset val="129"/>
      <scheme val="minor"/>
    </font>
    <font>
      <sz val="11"/>
      <color rgb="FF000000"/>
      <name val="맑은 고딕"/>
      <family val="3"/>
      <charset val="129"/>
      <scheme val="minor"/>
    </font>
    <font>
      <sz val="11"/>
      <color rgb="FFFF0000"/>
      <name val="맑은 고딕"/>
      <family val="3"/>
      <charset val="129"/>
    </font>
    <font>
      <sz val="12"/>
      <color theme="1"/>
      <name val="맑은 고딕"/>
      <family val="3"/>
      <charset val="129"/>
      <scheme val="minor"/>
    </font>
    <font>
      <sz val="11"/>
      <color theme="1"/>
      <name val="맑은 고딕"/>
      <family val="3"/>
      <charset val="129"/>
      <scheme val="major"/>
    </font>
    <font>
      <sz val="10"/>
      <color theme="1"/>
      <name val="맑은 고딕"/>
      <family val="3"/>
      <charset val="129"/>
      <scheme val="minor"/>
    </font>
    <font>
      <sz val="11"/>
      <name val="맑은 고딕"/>
      <family val="3"/>
      <charset val="129"/>
      <scheme val="major"/>
    </font>
    <font>
      <sz val="12"/>
      <color rgb="FF000000"/>
      <name val="맑은 고딕"/>
      <family val="3"/>
      <charset val="129"/>
      <scheme val="minor"/>
    </font>
    <font>
      <sz val="14"/>
      <name val="맑은 고딕"/>
      <family val="3"/>
      <charset val="129"/>
      <scheme val="minor"/>
    </font>
    <font>
      <sz val="14"/>
      <color theme="1"/>
      <name val="맑은 고딕"/>
      <family val="3"/>
      <charset val="129"/>
      <scheme val="minor"/>
    </font>
    <font>
      <b/>
      <sz val="12"/>
      <color rgb="FF000000"/>
      <name val="맑은 고딕"/>
      <family val="3"/>
      <charset val="129"/>
      <scheme val="minor"/>
    </font>
    <font>
      <sz val="16"/>
      <color theme="1"/>
      <name val="맑은 고딕"/>
      <family val="3"/>
      <charset val="129"/>
      <scheme val="minor"/>
    </font>
    <font>
      <sz val="8"/>
      <color rgb="FF666666"/>
      <name val="Malgun Gothic"/>
      <family val="3"/>
      <charset val="129"/>
    </font>
    <font>
      <sz val="9"/>
      <name val="맑은 고딕"/>
      <family val="3"/>
      <charset val="129"/>
      <scheme val="major"/>
    </font>
    <font>
      <b/>
      <sz val="12"/>
      <color theme="1"/>
      <name val="맑은 고딕"/>
      <family val="3"/>
      <charset val="129"/>
    </font>
    <font>
      <sz val="12"/>
      <color theme="1"/>
      <name val="맑은 고딕"/>
      <family val="3"/>
      <charset val="129"/>
    </font>
    <font>
      <b/>
      <sz val="18"/>
      <color theme="1"/>
      <name val="맑은 고딕"/>
      <family val="3"/>
      <charset val="129"/>
      <scheme val="minor"/>
    </font>
    <font>
      <b/>
      <sz val="12"/>
      <name val="맑은 고딕"/>
      <family val="3"/>
      <charset val="129"/>
      <scheme val="minor"/>
    </font>
    <font>
      <b/>
      <sz val="14"/>
      <name val="맑은 고딕"/>
      <family val="3"/>
      <charset val="129"/>
      <scheme val="minor"/>
    </font>
    <font>
      <b/>
      <sz val="9"/>
      <color theme="1"/>
      <name val="맑은 고딕"/>
      <family val="3"/>
      <charset val="129"/>
      <scheme val="minor"/>
    </font>
    <font>
      <sz val="9"/>
      <color indexed="12"/>
      <name val="맑은 고딕"/>
      <family val="3"/>
      <charset val="129"/>
      <scheme val="minor"/>
    </font>
    <font>
      <sz val="9"/>
      <color rgb="FF0000FF"/>
      <name val="맑은 고딕"/>
      <family val="3"/>
      <charset val="129"/>
      <scheme val="minor"/>
    </font>
    <font>
      <b/>
      <sz val="11"/>
      <name val="맑은 고딕"/>
      <family val="3"/>
      <charset val="129"/>
      <scheme val="minor"/>
    </font>
    <font>
      <sz val="10"/>
      <name val="맑은 고딕"/>
      <family val="3"/>
      <charset val="129"/>
      <scheme val="minor"/>
    </font>
    <font>
      <sz val="10"/>
      <color indexed="8"/>
      <name val="맑은 고딕"/>
      <family val="3"/>
      <charset val="129"/>
      <scheme val="minor"/>
    </font>
    <font>
      <b/>
      <sz val="9"/>
      <name val="맑은 고딕"/>
      <family val="3"/>
      <charset val="129"/>
      <scheme val="minor"/>
    </font>
    <font>
      <sz val="12"/>
      <name val="맑은 고딕"/>
      <family val="3"/>
      <charset val="129"/>
      <scheme val="major"/>
    </font>
    <font>
      <b/>
      <sz val="12"/>
      <color theme="1"/>
      <name val="맑은 고딕"/>
      <family val="3"/>
      <charset val="129"/>
      <scheme val="minor"/>
    </font>
    <font>
      <b/>
      <sz val="14"/>
      <color theme="1"/>
      <name val="맑은 고딕"/>
      <family val="3"/>
      <charset val="129"/>
      <scheme val="minor"/>
    </font>
    <font>
      <b/>
      <sz val="14"/>
      <color theme="1"/>
      <name val="맑은 고딕"/>
      <family val="3"/>
      <charset val="129"/>
    </font>
    <font>
      <sz val="12"/>
      <color rgb="FFFF0000"/>
      <name val="맑은 고딕"/>
      <family val="3"/>
      <charset val="129"/>
    </font>
    <font>
      <b/>
      <sz val="16"/>
      <color theme="1"/>
      <name val="맑은 고딕"/>
      <family val="3"/>
      <charset val="129"/>
      <scheme val="minor"/>
    </font>
    <font>
      <b/>
      <sz val="10"/>
      <color theme="1"/>
      <name val="맑은 고딕"/>
      <family val="3"/>
      <charset val="129"/>
      <scheme val="minor"/>
    </font>
    <font>
      <b/>
      <sz val="9"/>
      <color rgb="FF000000"/>
      <name val="맑은 고딕"/>
      <family val="3"/>
      <charset val="129"/>
    </font>
    <font>
      <sz val="9"/>
      <color rgb="FF000000"/>
      <name val="맑은 고딕"/>
      <family val="3"/>
      <charset val="129"/>
      <scheme val="minor"/>
    </font>
    <font>
      <sz val="11"/>
      <name val="맑은 고딕"/>
      <family val="3"/>
      <charset val="129"/>
      <scheme val="minor"/>
    </font>
    <font>
      <b/>
      <sz val="10"/>
      <color rgb="FF000000"/>
      <name val="맑은 고딕"/>
      <family val="3"/>
      <charset val="129"/>
    </font>
    <font>
      <sz val="11"/>
      <color theme="1"/>
      <name val="맑은 고딕"/>
      <family val="3"/>
      <charset val="129"/>
    </font>
    <font>
      <b/>
      <sz val="11"/>
      <color theme="1"/>
      <name val="맑은 고딕"/>
      <family val="3"/>
      <charset val="129"/>
    </font>
    <font>
      <sz val="12"/>
      <color theme="1"/>
      <name val="Calibri"/>
      <family val="2"/>
    </font>
    <font>
      <sz val="12"/>
      <color theme="1"/>
      <name val="Arial"/>
      <family val="2"/>
    </font>
    <font>
      <sz val="6"/>
      <color theme="1"/>
      <name val="맑은 고딕"/>
      <family val="3"/>
      <charset val="129"/>
    </font>
    <font>
      <sz val="9"/>
      <color theme="1"/>
      <name val="맑은 고딕"/>
      <family val="3"/>
      <charset val="129"/>
    </font>
    <font>
      <sz val="10"/>
      <color rgb="FF666666"/>
      <name val="Courier New"/>
      <family val="3"/>
    </font>
    <font>
      <b/>
      <i/>
      <sz val="10"/>
      <color rgb="FF0054FF"/>
      <name val="Courier New"/>
      <family val="3"/>
    </font>
    <font>
      <sz val="9"/>
      <color rgb="FFFF0000"/>
      <name val="맑은 고딕"/>
      <family val="3"/>
      <charset val="129"/>
    </font>
    <font>
      <sz val="12"/>
      <name val="맑은 고딕"/>
      <family val="3"/>
      <charset val="129"/>
      <scheme val="minor"/>
    </font>
    <font>
      <b/>
      <sz val="14"/>
      <color rgb="FFFF0000"/>
      <name val="맑은 고딕"/>
      <family val="3"/>
      <charset val="129"/>
    </font>
    <font>
      <b/>
      <sz val="16"/>
      <color rgb="FFFF0000"/>
      <name val="맑은 고딕"/>
      <family val="3"/>
      <charset val="129"/>
    </font>
    <font>
      <b/>
      <sz val="16"/>
      <color theme="1"/>
      <name val="맑은 고딕"/>
      <family val="3"/>
      <charset val="129"/>
    </font>
    <font>
      <sz val="14"/>
      <color theme="1"/>
      <name val="맑은 고딕"/>
      <family val="3"/>
      <charset val="129"/>
    </font>
    <font>
      <b/>
      <sz val="14"/>
      <color theme="0"/>
      <name val="맑은 고딕"/>
      <family val="3"/>
      <charset val="129"/>
    </font>
    <font>
      <b/>
      <sz val="18"/>
      <color rgb="FF002060"/>
      <name val="맑은 고딕"/>
      <family val="3"/>
      <charset val="129"/>
      <scheme val="minor"/>
    </font>
    <font>
      <b/>
      <sz val="14"/>
      <color theme="1"/>
      <name val="맑은 고딕"/>
      <family val="3"/>
      <charset val="129"/>
      <scheme val="major"/>
    </font>
    <font>
      <b/>
      <sz val="14"/>
      <color rgb="FFFF0000"/>
      <name val="맑은 고딕"/>
      <family val="3"/>
      <charset val="129"/>
      <scheme val="minor"/>
    </font>
    <font>
      <b/>
      <sz val="16"/>
      <color theme="0"/>
      <name val="맑은 고딕"/>
      <family val="3"/>
      <charset val="129"/>
    </font>
    <font>
      <b/>
      <sz val="18"/>
      <name val="맑은 고딕"/>
      <family val="3"/>
      <charset val="129"/>
      <scheme val="minor"/>
    </font>
    <font>
      <b/>
      <sz val="11"/>
      <color rgb="FF000000"/>
      <name val="맑은 고딕"/>
      <family val="3"/>
      <charset val="129"/>
      <scheme val="minor"/>
    </font>
    <font>
      <b/>
      <sz val="10"/>
      <color rgb="FF000000"/>
      <name val="맑은 고딕"/>
      <family val="3"/>
      <charset val="129"/>
      <scheme val="minor"/>
    </font>
    <font>
      <b/>
      <sz val="11"/>
      <color theme="1"/>
      <name val="맑은 고딕"/>
      <family val="2"/>
      <scheme val="minor"/>
    </font>
    <font>
      <b/>
      <sz val="12"/>
      <color rgb="FFFF0000"/>
      <name val="맑은 고딕"/>
      <family val="3"/>
      <charset val="129"/>
    </font>
    <font>
      <b/>
      <sz val="12"/>
      <color rgb="FFFF0000"/>
      <name val="Arial"/>
      <family val="2"/>
    </font>
    <font>
      <b/>
      <sz val="12"/>
      <color rgb="FFFF0000"/>
      <name val="Arial Unicode MS"/>
      <family val="2"/>
      <charset val="129"/>
    </font>
    <font>
      <b/>
      <sz val="10"/>
      <color rgb="FFFF0000"/>
      <name val="맑은 고딕"/>
      <family val="3"/>
      <charset val="129"/>
    </font>
    <font>
      <b/>
      <sz val="11"/>
      <color rgb="FFFF0000"/>
      <name val="맑은 고딕"/>
      <family val="3"/>
      <charset val="129"/>
    </font>
    <font>
      <sz val="10"/>
      <color rgb="FFFF0000"/>
      <name val="맑은 고딕"/>
      <family val="3"/>
      <charset val="129"/>
    </font>
    <font>
      <b/>
      <sz val="9"/>
      <color rgb="FFFF0000"/>
      <name val="맑은 고딕"/>
      <family val="3"/>
      <charset val="129"/>
    </font>
  </fonts>
  <fills count="20">
    <fill>
      <patternFill patternType="none"/>
    </fill>
    <fill>
      <patternFill patternType="gray125"/>
    </fill>
    <fill>
      <patternFill patternType="solid">
        <fgColor indexed="9"/>
        <bgColor indexed="64"/>
      </patternFill>
    </fill>
    <fill>
      <patternFill patternType="solid">
        <fgColor indexed="27"/>
        <bgColor indexed="64"/>
      </patternFill>
    </fill>
    <fill>
      <patternFill patternType="solid">
        <fgColor theme="4" tint="0.399975585192419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rgb="FFFFC000"/>
        <bgColor indexed="64"/>
      </patternFill>
    </fill>
    <fill>
      <patternFill patternType="solid">
        <fgColor theme="4" tint="0.79998168889431442"/>
        <bgColor rgb="FF000000"/>
      </patternFill>
    </fill>
    <fill>
      <patternFill patternType="solid">
        <fgColor rgb="FFFFFFFF"/>
        <bgColor indexed="64"/>
      </patternFill>
    </fill>
    <fill>
      <patternFill patternType="solid">
        <fgColor theme="0"/>
        <bgColor indexed="64"/>
      </patternFill>
    </fill>
    <fill>
      <patternFill patternType="solid">
        <fgColor rgb="FFFF0000"/>
        <bgColor indexed="64"/>
      </patternFill>
    </fill>
    <fill>
      <patternFill patternType="solid">
        <fgColor theme="3" tint="-0.499984740745262"/>
        <bgColor indexed="64"/>
      </patternFill>
    </fill>
    <fill>
      <patternFill patternType="solid">
        <fgColor theme="1"/>
        <bgColor indexed="64"/>
      </patternFill>
    </fill>
    <fill>
      <patternFill patternType="solid">
        <fgColor theme="9" tint="0.59999389629810485"/>
        <bgColor indexed="64"/>
      </patternFill>
    </fill>
  </fills>
  <borders count="166">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style="thin">
        <color indexed="64"/>
      </right>
      <top/>
      <bottom/>
      <diagonal/>
    </border>
    <border>
      <left/>
      <right/>
      <top style="thin">
        <color indexed="64"/>
      </top>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double">
        <color indexed="64"/>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style="double">
        <color indexed="64"/>
      </top>
      <bottom style="double">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double">
        <color indexed="64"/>
      </top>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right/>
      <top/>
      <bottom style="dotted">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double">
        <color indexed="64"/>
      </top>
      <bottom/>
      <diagonal/>
    </border>
    <border>
      <left/>
      <right/>
      <top/>
      <bottom style="thin">
        <color indexed="64"/>
      </bottom>
      <diagonal/>
    </border>
    <border>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right style="thin">
        <color indexed="64"/>
      </right>
      <top style="thin">
        <color indexed="64"/>
      </top>
      <bottom style="double">
        <color indexed="64"/>
      </bottom>
      <diagonal/>
    </border>
    <border>
      <left/>
      <right/>
      <top style="medium">
        <color indexed="64"/>
      </top>
      <bottom style="medium">
        <color indexed="64"/>
      </bottom>
      <diagonal/>
    </border>
    <border>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right/>
      <top style="thin">
        <color indexed="64"/>
      </top>
      <bottom style="double">
        <color indexed="64"/>
      </bottom>
      <diagonal/>
    </border>
    <border>
      <left style="thin">
        <color indexed="64"/>
      </left>
      <right style="double">
        <color indexed="64"/>
      </right>
      <top style="thin">
        <color indexed="64"/>
      </top>
      <bottom/>
      <diagonal/>
    </border>
    <border>
      <left style="thin">
        <color indexed="64"/>
      </left>
      <right style="double">
        <color indexed="64"/>
      </right>
      <top/>
      <bottom/>
      <diagonal/>
    </border>
    <border>
      <left style="thin">
        <color indexed="64"/>
      </left>
      <right style="double">
        <color indexed="64"/>
      </right>
      <top style="double">
        <color indexed="64"/>
      </top>
      <bottom/>
      <diagonal/>
    </border>
    <border>
      <left style="thin">
        <color indexed="64"/>
      </left>
      <right style="double">
        <color indexed="64"/>
      </right>
      <top/>
      <bottom style="double">
        <color indexed="64"/>
      </bottom>
      <diagonal/>
    </border>
    <border>
      <left/>
      <right/>
      <top style="double">
        <color indexed="64"/>
      </top>
      <bottom style="thin">
        <color indexed="64"/>
      </bottom>
      <diagonal/>
    </border>
    <border diagonalUp="1">
      <left style="thin">
        <color indexed="64"/>
      </left>
      <right style="thin">
        <color indexed="64"/>
      </right>
      <top style="thin">
        <color indexed="64"/>
      </top>
      <bottom/>
      <diagonal style="thin">
        <color indexed="64"/>
      </diagonal>
    </border>
    <border diagonalUp="1">
      <left style="thin">
        <color indexed="64"/>
      </left>
      <right style="thin">
        <color indexed="64"/>
      </right>
      <top/>
      <bottom style="thin">
        <color indexed="64"/>
      </bottom>
      <diagonal style="thin">
        <color indexed="64"/>
      </diagonal>
    </border>
    <border>
      <left/>
      <right/>
      <top style="thick">
        <color indexed="64"/>
      </top>
      <bottom style="thick">
        <color indexed="64"/>
      </bottom>
      <diagonal/>
    </border>
    <border>
      <left/>
      <right/>
      <top/>
      <bottom style="dashed">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style="double">
        <color indexed="64"/>
      </top>
      <bottom/>
      <diagonal/>
    </border>
    <border>
      <left style="thin">
        <color indexed="64"/>
      </left>
      <right/>
      <top style="double">
        <color indexed="64"/>
      </top>
      <bottom/>
      <diagonal/>
    </border>
    <border>
      <left style="medium">
        <color rgb="FFFF0000"/>
      </left>
      <right style="thin">
        <color indexed="64"/>
      </right>
      <top style="medium">
        <color rgb="FFFF0000"/>
      </top>
      <bottom style="thin">
        <color indexed="64"/>
      </bottom>
      <diagonal/>
    </border>
    <border diagonalUp="1">
      <left style="thin">
        <color indexed="64"/>
      </left>
      <right style="thin">
        <color indexed="64"/>
      </right>
      <top style="medium">
        <color rgb="FFFF0000"/>
      </top>
      <bottom style="thin">
        <color indexed="64"/>
      </bottom>
      <diagonal style="thin">
        <color theme="0" tint="-0.499984740745262"/>
      </diagonal>
    </border>
    <border diagonalUp="1">
      <left style="thin">
        <color indexed="64"/>
      </left>
      <right style="medium">
        <color rgb="FFFF0000"/>
      </right>
      <top style="medium">
        <color rgb="FFFF0000"/>
      </top>
      <bottom style="thin">
        <color indexed="64"/>
      </bottom>
      <diagonal style="thin">
        <color theme="0" tint="-0.499984740745262"/>
      </diagonal>
    </border>
    <border>
      <left style="medium">
        <color rgb="FFFF0000"/>
      </left>
      <right style="medium">
        <color rgb="FFFF0000"/>
      </right>
      <top style="medium">
        <color rgb="FFFF0000"/>
      </top>
      <bottom style="thin">
        <color indexed="64"/>
      </bottom>
      <diagonal/>
    </border>
    <border>
      <left style="medium">
        <color rgb="FFFF0000"/>
      </left>
      <right style="thin">
        <color indexed="64"/>
      </right>
      <top style="thin">
        <color indexed="64"/>
      </top>
      <bottom style="thin">
        <color indexed="64"/>
      </bottom>
      <diagonal/>
    </border>
    <border>
      <left style="medium">
        <color rgb="FFFF0000"/>
      </left>
      <right style="medium">
        <color rgb="FFFF0000"/>
      </right>
      <top style="thin">
        <color indexed="64"/>
      </top>
      <bottom style="thin">
        <color indexed="64"/>
      </bottom>
      <diagonal/>
    </border>
    <border>
      <left style="thin">
        <color indexed="64"/>
      </left>
      <right style="medium">
        <color rgb="FFFF0000"/>
      </right>
      <top style="thin">
        <color indexed="64"/>
      </top>
      <bottom style="thin">
        <color indexed="64"/>
      </bottom>
      <diagonal/>
    </border>
    <border>
      <left style="medium">
        <color rgb="FFFF0000"/>
      </left>
      <right style="medium">
        <color rgb="FFFF0000"/>
      </right>
      <top style="thin">
        <color indexed="64"/>
      </top>
      <bottom style="medium">
        <color rgb="FFFF0000"/>
      </bottom>
      <diagonal/>
    </border>
    <border diagonalUp="1">
      <left style="thin">
        <color indexed="64"/>
      </left>
      <right style="thin">
        <color indexed="64"/>
      </right>
      <top style="thin">
        <color indexed="64"/>
      </top>
      <bottom style="thin">
        <color indexed="64"/>
      </bottom>
      <diagonal style="thin">
        <color theme="0" tint="-0.499984740745262"/>
      </diagonal>
    </border>
    <border diagonalUp="1">
      <left style="thin">
        <color indexed="64"/>
      </left>
      <right style="thin">
        <color indexed="64"/>
      </right>
      <top style="thin">
        <color indexed="64"/>
      </top>
      <bottom style="thin">
        <color indexed="64"/>
      </bottom>
      <diagonal style="thin">
        <color theme="0" tint="-0.34998626667073579"/>
      </diagonal>
    </border>
    <border diagonalUp="1">
      <left style="medium">
        <color rgb="FFFF0000"/>
      </left>
      <right style="thin">
        <color indexed="64"/>
      </right>
      <top style="thin">
        <color indexed="64"/>
      </top>
      <bottom style="thin">
        <color indexed="64"/>
      </bottom>
      <diagonal style="thin">
        <color theme="0" tint="-0.499984740745262"/>
      </diagonal>
    </border>
    <border>
      <left style="medium">
        <color rgb="FFFF0000"/>
      </left>
      <right style="thin">
        <color indexed="64"/>
      </right>
      <top style="thin">
        <color indexed="64"/>
      </top>
      <bottom style="medium">
        <color rgb="FFFF0000"/>
      </bottom>
      <diagonal/>
    </border>
    <border>
      <left style="thin">
        <color indexed="64"/>
      </left>
      <right style="thin">
        <color indexed="64"/>
      </right>
      <top style="thin">
        <color indexed="64"/>
      </top>
      <bottom style="medium">
        <color rgb="FFFF0000"/>
      </bottom>
      <diagonal/>
    </border>
    <border>
      <left style="thin">
        <color indexed="64"/>
      </left>
      <right style="medium">
        <color rgb="FFFF0000"/>
      </right>
      <top style="thin">
        <color indexed="64"/>
      </top>
      <bottom style="medium">
        <color rgb="FFFF0000"/>
      </bottom>
      <diagonal/>
    </border>
    <border diagonalUp="1">
      <left style="thin">
        <color indexed="64"/>
      </left>
      <right style="thin">
        <color indexed="64"/>
      </right>
      <top style="thin">
        <color indexed="64"/>
      </top>
      <bottom style="thin">
        <color indexed="64"/>
      </bottom>
      <diagonal style="thin">
        <color theme="0" tint="-0.24994659260841701"/>
      </diagonal>
    </border>
    <border>
      <left style="thick">
        <color rgb="FFC00000"/>
      </left>
      <right style="thin">
        <color indexed="64"/>
      </right>
      <top style="thin">
        <color indexed="64"/>
      </top>
      <bottom style="thin">
        <color indexed="64"/>
      </bottom>
      <diagonal/>
    </border>
    <border>
      <left style="thin">
        <color indexed="64"/>
      </left>
      <right style="thick">
        <color rgb="FFC00000"/>
      </right>
      <top style="thin">
        <color indexed="64"/>
      </top>
      <bottom style="thin">
        <color indexed="64"/>
      </bottom>
      <diagonal/>
    </border>
    <border>
      <left style="medium">
        <color rgb="FFFF0000"/>
      </left>
      <right style="thin">
        <color indexed="64"/>
      </right>
      <top style="thin">
        <color indexed="64"/>
      </top>
      <bottom/>
      <diagonal/>
    </border>
    <border>
      <left style="medium">
        <color rgb="FFFF0000"/>
      </left>
      <right style="thin">
        <color indexed="64"/>
      </right>
      <top style="double">
        <color indexed="64"/>
      </top>
      <bottom style="thin">
        <color indexed="64"/>
      </bottom>
      <diagonal/>
    </border>
    <border>
      <left style="medium">
        <color rgb="FFFF0000"/>
      </left>
      <right style="thin">
        <color indexed="64"/>
      </right>
      <top/>
      <bottom style="thin">
        <color indexed="64"/>
      </bottom>
      <diagonal/>
    </border>
    <border>
      <left style="medium">
        <color rgb="FFFF0000"/>
      </left>
      <right style="thin">
        <color indexed="64"/>
      </right>
      <top style="thin">
        <color indexed="64"/>
      </top>
      <bottom style="double">
        <color indexed="64"/>
      </bottom>
      <diagonal/>
    </border>
    <border>
      <left style="thick">
        <color rgb="FFC00000"/>
      </left>
      <right style="thin">
        <color indexed="64"/>
      </right>
      <top style="thin">
        <color indexed="64"/>
      </top>
      <bottom/>
      <diagonal/>
    </border>
    <border>
      <left style="thick">
        <color rgb="FFC00000"/>
      </left>
      <right style="thin">
        <color indexed="64"/>
      </right>
      <top style="double">
        <color indexed="64"/>
      </top>
      <bottom style="thin">
        <color indexed="64"/>
      </bottom>
      <diagonal/>
    </border>
    <border>
      <left style="thick">
        <color rgb="FFC00000"/>
      </left>
      <right style="thin">
        <color indexed="64"/>
      </right>
      <top style="thin">
        <color indexed="64"/>
      </top>
      <bottom style="double">
        <color indexed="64"/>
      </bottom>
      <diagonal/>
    </border>
    <border>
      <left style="thick">
        <color rgb="FFC00000"/>
      </left>
      <right style="thin">
        <color indexed="64"/>
      </right>
      <top/>
      <bottom style="thin">
        <color indexed="64"/>
      </bottom>
      <diagonal/>
    </border>
    <border diagonalDown="1">
      <left style="thin">
        <color indexed="64"/>
      </left>
      <right style="thin">
        <color indexed="64"/>
      </right>
      <top style="thin">
        <color indexed="64"/>
      </top>
      <bottom style="thin">
        <color indexed="64"/>
      </bottom>
      <diagonal style="thin">
        <color theme="0" tint="-0.499984740745262"/>
      </diagonal>
    </border>
    <border diagonalDown="1">
      <left style="thin">
        <color indexed="64"/>
      </left>
      <right style="thin">
        <color indexed="64"/>
      </right>
      <top style="thin">
        <color indexed="64"/>
      </top>
      <bottom/>
      <diagonal style="thin">
        <color theme="0" tint="-0.499984740745262"/>
      </diagonal>
    </border>
    <border diagonalDown="1">
      <left style="thin">
        <color indexed="64"/>
      </left>
      <right style="thin">
        <color indexed="64"/>
      </right>
      <top style="double">
        <color indexed="64"/>
      </top>
      <bottom style="thin">
        <color indexed="64"/>
      </bottom>
      <diagonal style="thin">
        <color theme="0" tint="-0.499984740745262"/>
      </diagonal>
    </border>
    <border diagonalDown="1">
      <left style="thin">
        <color indexed="64"/>
      </left>
      <right style="thin">
        <color indexed="64"/>
      </right>
      <top/>
      <bottom style="thin">
        <color indexed="64"/>
      </bottom>
      <diagonal style="thin">
        <color theme="0" tint="-0.499984740745262"/>
      </diagonal>
    </border>
    <border diagonalDown="1">
      <left style="thin">
        <color indexed="64"/>
      </left>
      <right style="medium">
        <color rgb="FFFF0000"/>
      </right>
      <top style="thin">
        <color indexed="64"/>
      </top>
      <bottom style="thin">
        <color indexed="64"/>
      </bottom>
      <diagonal style="thin">
        <color theme="0" tint="-0.499984740745262"/>
      </diagonal>
    </border>
    <border diagonalDown="1">
      <left style="thin">
        <color indexed="64"/>
      </left>
      <right style="medium">
        <color rgb="FFFF0000"/>
      </right>
      <top style="thin">
        <color indexed="64"/>
      </top>
      <bottom/>
      <diagonal style="thin">
        <color theme="0" tint="-0.499984740745262"/>
      </diagonal>
    </border>
    <border diagonalDown="1">
      <left style="thin">
        <color indexed="64"/>
      </left>
      <right style="medium">
        <color rgb="FFFF0000"/>
      </right>
      <top style="double">
        <color indexed="64"/>
      </top>
      <bottom style="thin">
        <color indexed="64"/>
      </bottom>
      <diagonal style="thin">
        <color theme="0" tint="-0.499984740745262"/>
      </diagonal>
    </border>
    <border>
      <left style="thin">
        <color indexed="64"/>
      </left>
      <right style="medium">
        <color rgb="FFFF0000"/>
      </right>
      <top/>
      <bottom style="thin">
        <color indexed="64"/>
      </bottom>
      <diagonal/>
    </border>
    <border>
      <left style="thin">
        <color indexed="64"/>
      </left>
      <right style="medium">
        <color rgb="FFFF0000"/>
      </right>
      <top style="double">
        <color indexed="64"/>
      </top>
      <bottom style="thin">
        <color indexed="64"/>
      </bottom>
      <diagonal/>
    </border>
    <border diagonalDown="1">
      <left style="thin">
        <color indexed="64"/>
      </left>
      <right style="medium">
        <color rgb="FFFF0000"/>
      </right>
      <top/>
      <bottom style="thin">
        <color indexed="64"/>
      </bottom>
      <diagonal style="thin">
        <color theme="0" tint="-0.499984740745262"/>
      </diagonal>
    </border>
    <border>
      <left style="thin">
        <color indexed="64"/>
      </left>
      <right style="medium">
        <color rgb="FFFF0000"/>
      </right>
      <top style="thin">
        <color indexed="64"/>
      </top>
      <bottom/>
      <diagonal/>
    </border>
    <border>
      <left style="thin">
        <color indexed="64"/>
      </left>
      <right style="medium">
        <color rgb="FFFF0000"/>
      </right>
      <top style="thin">
        <color indexed="64"/>
      </top>
      <bottom style="double">
        <color indexed="64"/>
      </bottom>
      <diagonal/>
    </border>
    <border diagonalDown="1">
      <left style="thin">
        <color indexed="64"/>
      </left>
      <right/>
      <top style="thin">
        <color indexed="64"/>
      </top>
      <bottom style="thin">
        <color indexed="64"/>
      </bottom>
      <diagonal style="thin">
        <color theme="0" tint="-0.499984740745262"/>
      </diagonal>
    </border>
    <border diagonalDown="1">
      <left style="thin">
        <color indexed="64"/>
      </left>
      <right/>
      <top style="thin">
        <color indexed="64"/>
      </top>
      <bottom/>
      <diagonal style="thin">
        <color theme="0" tint="-0.499984740745262"/>
      </diagonal>
    </border>
    <border diagonalDown="1">
      <left style="thin">
        <color indexed="64"/>
      </left>
      <right/>
      <top style="double">
        <color indexed="64"/>
      </top>
      <bottom style="thin">
        <color indexed="64"/>
      </bottom>
      <diagonal style="thin">
        <color theme="0" tint="-0.499984740745262"/>
      </diagonal>
    </border>
    <border diagonalDown="1">
      <left style="thin">
        <color indexed="64"/>
      </left>
      <right/>
      <top/>
      <bottom style="thin">
        <color indexed="64"/>
      </bottom>
      <diagonal style="thin">
        <color theme="0" tint="-0.499984740745262"/>
      </diagonal>
    </border>
    <border>
      <left style="medium">
        <color rgb="FFFF0000"/>
      </left>
      <right style="medium">
        <color rgb="FFFF0000"/>
      </right>
      <top style="medium">
        <color rgb="FFFF0000"/>
      </top>
      <bottom style="medium">
        <color rgb="FFFF0000"/>
      </bottom>
      <diagonal/>
    </border>
    <border>
      <left style="medium">
        <color rgb="FFFF0000"/>
      </left>
      <right style="thin">
        <color indexed="64"/>
      </right>
      <top/>
      <bottom/>
      <diagonal/>
    </border>
    <border diagonalUp="1">
      <left style="thin">
        <color indexed="64"/>
      </left>
      <right style="thin">
        <color indexed="64"/>
      </right>
      <top style="thin">
        <color indexed="64"/>
      </top>
      <bottom/>
      <diagonal style="thin">
        <color theme="0" tint="-0.499984740745262"/>
      </diagonal>
    </border>
    <border diagonalUp="1">
      <left style="thin">
        <color indexed="64"/>
      </left>
      <right style="medium">
        <color rgb="FFFF0000"/>
      </right>
      <top style="thin">
        <color indexed="64"/>
      </top>
      <bottom/>
      <diagonal style="thin">
        <color theme="0" tint="-0.499984740745262"/>
      </diagonal>
    </border>
    <border diagonalUp="1">
      <left style="thin">
        <color indexed="64"/>
      </left>
      <right style="thin">
        <color indexed="64"/>
      </right>
      <top style="double">
        <color indexed="64"/>
      </top>
      <bottom style="thin">
        <color indexed="64"/>
      </bottom>
      <diagonal style="thin">
        <color theme="0" tint="-0.499984740745262"/>
      </diagonal>
    </border>
    <border diagonalUp="1">
      <left style="thin">
        <color indexed="64"/>
      </left>
      <right style="medium">
        <color rgb="FFFF0000"/>
      </right>
      <top style="double">
        <color indexed="64"/>
      </top>
      <bottom style="thin">
        <color indexed="64"/>
      </bottom>
      <diagonal style="thin">
        <color theme="0" tint="-0.499984740745262"/>
      </diagonal>
    </border>
    <border diagonalUp="1">
      <left style="thin">
        <color indexed="64"/>
      </left>
      <right style="medium">
        <color rgb="FFFF0000"/>
      </right>
      <top style="thin">
        <color indexed="64"/>
      </top>
      <bottom style="thin">
        <color indexed="64"/>
      </bottom>
      <diagonal style="thin">
        <color theme="0" tint="-0.499984740745262"/>
      </diagonal>
    </border>
    <border diagonalUp="1">
      <left style="thin">
        <color indexed="64"/>
      </left>
      <right style="thin">
        <color indexed="64"/>
      </right>
      <top/>
      <bottom/>
      <diagonal style="thin">
        <color theme="0" tint="-0.499984740745262"/>
      </diagonal>
    </border>
    <border diagonalUp="1">
      <left style="thin">
        <color indexed="64"/>
      </left>
      <right style="medium">
        <color rgb="FFFF0000"/>
      </right>
      <top/>
      <bottom/>
      <diagonal style="thin">
        <color theme="0" tint="-0.499984740745262"/>
      </diagonal>
    </border>
    <border diagonalUp="1">
      <left style="thin">
        <color indexed="64"/>
      </left>
      <right style="thin">
        <color indexed="64"/>
      </right>
      <top style="thin">
        <color indexed="64"/>
      </top>
      <bottom style="double">
        <color indexed="64"/>
      </bottom>
      <diagonal style="thin">
        <color theme="0" tint="-0.499984740745262"/>
      </diagonal>
    </border>
    <border diagonalUp="1">
      <left style="thin">
        <color indexed="64"/>
      </left>
      <right style="medium">
        <color rgb="FFFF0000"/>
      </right>
      <top style="thin">
        <color indexed="64"/>
      </top>
      <bottom style="double">
        <color indexed="64"/>
      </bottom>
      <diagonal style="thin">
        <color theme="0" tint="-0.499984740745262"/>
      </diagonal>
    </border>
    <border diagonalUp="1">
      <left style="medium">
        <color rgb="FFFF0000"/>
      </left>
      <right style="thin">
        <color indexed="64"/>
      </right>
      <top style="thin">
        <color indexed="64"/>
      </top>
      <bottom style="thin">
        <color indexed="64"/>
      </bottom>
      <diagonal style="thin">
        <color indexed="64"/>
      </diagonal>
    </border>
    <border diagonalDown="1">
      <left style="thin">
        <color indexed="64"/>
      </left>
      <right style="thick">
        <color rgb="FFC00000"/>
      </right>
      <top style="thin">
        <color indexed="64"/>
      </top>
      <bottom style="thin">
        <color indexed="64"/>
      </bottom>
      <diagonal style="thin">
        <color theme="0" tint="-0.499984740745262"/>
      </diagonal>
    </border>
    <border diagonalDown="1">
      <left style="thin">
        <color indexed="64"/>
      </left>
      <right style="thick">
        <color rgb="FFC00000"/>
      </right>
      <top style="thin">
        <color indexed="64"/>
      </top>
      <bottom/>
      <diagonal style="thin">
        <color theme="0" tint="-0.499984740745262"/>
      </diagonal>
    </border>
    <border diagonalDown="1">
      <left style="thin">
        <color indexed="64"/>
      </left>
      <right style="thick">
        <color rgb="FFC00000"/>
      </right>
      <top style="double">
        <color indexed="64"/>
      </top>
      <bottom style="thin">
        <color indexed="64"/>
      </bottom>
      <diagonal style="thin">
        <color theme="0" tint="-0.499984740745262"/>
      </diagonal>
    </border>
    <border>
      <left style="thin">
        <color indexed="64"/>
      </left>
      <right style="thick">
        <color rgb="FFC00000"/>
      </right>
      <top/>
      <bottom style="thin">
        <color indexed="64"/>
      </bottom>
      <diagonal/>
    </border>
    <border>
      <left style="thin">
        <color indexed="64"/>
      </left>
      <right style="thick">
        <color rgb="FFC00000"/>
      </right>
      <top style="double">
        <color indexed="64"/>
      </top>
      <bottom style="thin">
        <color indexed="64"/>
      </bottom>
      <diagonal/>
    </border>
    <border diagonalDown="1">
      <left style="thin">
        <color indexed="64"/>
      </left>
      <right style="thick">
        <color rgb="FFC00000"/>
      </right>
      <top/>
      <bottom style="thin">
        <color indexed="64"/>
      </bottom>
      <diagonal style="thin">
        <color theme="0" tint="-0.499984740745262"/>
      </diagonal>
    </border>
    <border>
      <left style="thin">
        <color indexed="64"/>
      </left>
      <right style="thick">
        <color rgb="FFC00000"/>
      </right>
      <top style="thin">
        <color indexed="64"/>
      </top>
      <bottom/>
      <diagonal/>
    </border>
    <border>
      <left style="thin">
        <color indexed="64"/>
      </left>
      <right style="thick">
        <color rgb="FFC00000"/>
      </right>
      <top style="thin">
        <color indexed="64"/>
      </top>
      <bottom style="double">
        <color indexed="64"/>
      </bottom>
      <diagonal/>
    </border>
    <border>
      <left style="double">
        <color indexed="64"/>
      </left>
      <right style="medium">
        <color rgb="FFFF0000"/>
      </right>
      <top style="double">
        <color indexed="64"/>
      </top>
      <bottom style="thin">
        <color indexed="64"/>
      </bottom>
      <diagonal/>
    </border>
    <border diagonalUp="1">
      <left style="thin">
        <color indexed="64"/>
      </left>
      <right style="thin">
        <color indexed="64"/>
      </right>
      <top style="thin">
        <color indexed="64"/>
      </top>
      <bottom style="medium">
        <color rgb="FFFF0000"/>
      </bottom>
      <diagonal style="thin">
        <color theme="0" tint="-0.499984740745262"/>
      </diagonal>
    </border>
    <border diagonalUp="1">
      <left style="thin">
        <color indexed="64"/>
      </left>
      <right style="medium">
        <color rgb="FFFF0000"/>
      </right>
      <top style="thin">
        <color indexed="64"/>
      </top>
      <bottom style="medium">
        <color rgb="FFFF0000"/>
      </bottom>
      <diagonal style="thin">
        <color theme="0" tint="-0.499984740745262"/>
      </diagonal>
    </border>
    <border>
      <left style="thin">
        <color indexed="64"/>
      </left>
      <right style="thin">
        <color indexed="64"/>
      </right>
      <top style="medium">
        <color rgb="FFFF0000"/>
      </top>
      <bottom style="thin">
        <color indexed="64"/>
      </bottom>
      <diagonal/>
    </border>
    <border>
      <left style="thin">
        <color indexed="64"/>
      </left>
      <right style="medium">
        <color rgb="FFFF0000"/>
      </right>
      <top style="medium">
        <color rgb="FFFF0000"/>
      </top>
      <bottom style="thin">
        <color indexed="64"/>
      </bottom>
      <diagonal/>
    </border>
    <border diagonalUp="1">
      <left style="thin">
        <color indexed="64"/>
      </left>
      <right style="thin">
        <color indexed="64"/>
      </right>
      <top style="thin">
        <color indexed="64"/>
      </top>
      <bottom style="thin">
        <color theme="1"/>
      </bottom>
      <diagonal style="thin">
        <color theme="0" tint="-0.499984740745262"/>
      </diagonal>
    </border>
    <border diagonalUp="1">
      <left style="thin">
        <color indexed="64"/>
      </left>
      <right style="medium">
        <color rgb="FFFF0000"/>
      </right>
      <top style="thin">
        <color indexed="64"/>
      </top>
      <bottom style="thin">
        <color theme="1"/>
      </bottom>
      <diagonal style="thin">
        <color theme="0" tint="-0.499984740745262"/>
      </diagonal>
    </border>
    <border diagonalUp="1">
      <left style="thin">
        <color indexed="64"/>
      </left>
      <right style="medium">
        <color rgb="FFFF0000"/>
      </right>
      <top style="thin">
        <color indexed="64"/>
      </top>
      <bottom style="thin">
        <color indexed="64"/>
      </bottom>
      <diagonal style="thin">
        <color indexed="64"/>
      </diagonal>
    </border>
    <border>
      <left style="thick">
        <color rgb="FFC00000"/>
      </left>
      <right style="thin">
        <color indexed="64"/>
      </right>
      <top/>
      <bottom/>
      <diagonal/>
    </border>
    <border>
      <left/>
      <right style="thin">
        <color indexed="64"/>
      </right>
      <top/>
      <bottom style="double">
        <color indexed="64"/>
      </bottom>
      <diagonal/>
    </border>
    <border diagonalDown="1">
      <left style="thin">
        <color indexed="64"/>
      </left>
      <right style="thin">
        <color indexed="64"/>
      </right>
      <top/>
      <bottom/>
      <diagonal style="thin">
        <color theme="0" tint="-0.499984740745262"/>
      </diagonal>
    </border>
    <border diagonalDown="1">
      <left style="thin">
        <color indexed="64"/>
      </left>
      <right style="medium">
        <color rgb="FFFF0000"/>
      </right>
      <top/>
      <bottom/>
      <diagonal style="thin">
        <color theme="0" tint="-0.499984740745262"/>
      </diagonal>
    </border>
    <border>
      <left style="medium">
        <color rgb="FFFF0000"/>
      </left>
      <right style="thin">
        <color indexed="64"/>
      </right>
      <top/>
      <bottom style="double">
        <color indexed="64"/>
      </bottom>
      <diagonal/>
    </border>
    <border>
      <left style="thin">
        <color indexed="64"/>
      </left>
      <right style="medium">
        <color rgb="FFFF0000"/>
      </right>
      <top/>
      <bottom style="double">
        <color indexed="64"/>
      </bottom>
      <diagonal/>
    </border>
    <border>
      <left style="thin">
        <color rgb="FFDFDFDF"/>
      </left>
      <right style="thin">
        <color rgb="FFDFDFDF"/>
      </right>
      <top/>
      <bottom style="thin">
        <color rgb="FFDFDFDF"/>
      </bottom>
      <diagonal/>
    </border>
    <border>
      <left style="double">
        <color indexed="64"/>
      </left>
      <right style="medium">
        <color rgb="FFFF0000"/>
      </right>
      <top style="thin">
        <color indexed="64"/>
      </top>
      <bottom style="thin">
        <color indexed="64"/>
      </bottom>
      <diagonal/>
    </border>
    <border>
      <left style="medium">
        <color rgb="FFFF0000"/>
      </left>
      <right style="thin">
        <color indexed="64"/>
      </right>
      <top style="double">
        <color indexed="64"/>
      </top>
      <bottom/>
      <diagonal/>
    </border>
    <border diagonalUp="1">
      <left style="medium">
        <color rgb="FFFF0000"/>
      </left>
      <right style="thin">
        <color indexed="64"/>
      </right>
      <top style="thin">
        <color indexed="64"/>
      </top>
      <bottom style="double">
        <color indexed="64"/>
      </bottom>
      <diagonal style="thin">
        <color indexed="64"/>
      </diagonal>
    </border>
    <border diagonalUp="1">
      <left style="thin">
        <color indexed="64"/>
      </left>
      <right style="thin">
        <color indexed="64"/>
      </right>
      <top style="double">
        <color indexed="64"/>
      </top>
      <bottom/>
      <diagonal style="thin">
        <color theme="0" tint="-0.499984740745262"/>
      </diagonal>
    </border>
    <border diagonalUp="1">
      <left style="thin">
        <color indexed="64"/>
      </left>
      <right style="medium">
        <color rgb="FFFF0000"/>
      </right>
      <top style="double">
        <color indexed="64"/>
      </top>
      <bottom/>
      <diagonal style="thin">
        <color theme="0" tint="-0.499984740745262"/>
      </diagonal>
    </border>
    <border>
      <left/>
      <right style="thin">
        <color indexed="64"/>
      </right>
      <top style="thin">
        <color indexed="64"/>
      </top>
      <bottom style="thin">
        <color theme="1"/>
      </bottom>
      <diagonal/>
    </border>
    <border>
      <left style="double">
        <color indexed="64"/>
      </left>
      <right style="medium">
        <color rgb="FFFF0000"/>
      </right>
      <top style="thin">
        <color indexed="64"/>
      </top>
      <bottom style="double">
        <color indexed="64"/>
      </bottom>
      <diagonal/>
    </border>
    <border>
      <left style="double">
        <color indexed="64"/>
      </left>
      <right style="medium">
        <color rgb="FFFF0000"/>
      </right>
      <top/>
      <bottom style="thin">
        <color indexed="64"/>
      </bottom>
      <diagonal/>
    </border>
    <border>
      <left/>
      <right style="thin">
        <color theme="1"/>
      </right>
      <top style="thin">
        <color indexed="64"/>
      </top>
      <bottom style="thin">
        <color indexed="64"/>
      </bottom>
      <diagonal/>
    </border>
    <border>
      <left style="medium">
        <color rgb="FFFF0000"/>
      </left>
      <right style="thin">
        <color theme="1"/>
      </right>
      <top style="thin">
        <color indexed="64"/>
      </top>
      <bottom/>
      <diagonal/>
    </border>
    <border>
      <left style="thin">
        <color theme="1"/>
      </left>
      <right style="thin">
        <color theme="1"/>
      </right>
      <top style="thin">
        <color theme="1"/>
      </top>
      <bottom style="thin">
        <color theme="1"/>
      </bottom>
      <diagonal/>
    </border>
    <border>
      <left style="thin">
        <color theme="1"/>
      </left>
      <right style="thin">
        <color indexed="64"/>
      </right>
      <top/>
      <bottom style="thin">
        <color theme="1"/>
      </bottom>
      <diagonal/>
    </border>
    <border>
      <left/>
      <right style="medium">
        <color rgb="FFFF0000"/>
      </right>
      <top style="thin">
        <color theme="1"/>
      </top>
      <bottom style="thin">
        <color theme="1"/>
      </bottom>
      <diagonal/>
    </border>
    <border>
      <left style="thin">
        <color indexed="64"/>
      </left>
      <right style="medium">
        <color rgb="FFFF0000"/>
      </right>
      <top/>
      <bottom style="thin">
        <color theme="1"/>
      </bottom>
      <diagonal/>
    </border>
    <border>
      <left style="thin">
        <color indexed="64"/>
      </left>
      <right style="double">
        <color indexed="64"/>
      </right>
      <top style="double">
        <color indexed="64"/>
      </top>
      <bottom style="double">
        <color indexed="64"/>
      </bottom>
      <diagonal/>
    </border>
    <border>
      <left style="medium">
        <color rgb="FFFF0000"/>
      </left>
      <right style="thin">
        <color indexed="64"/>
      </right>
      <top style="double">
        <color indexed="64"/>
      </top>
      <bottom style="double">
        <color indexed="64"/>
      </bottom>
      <diagonal/>
    </border>
    <border diagonalUp="1">
      <left style="thin">
        <color indexed="64"/>
      </left>
      <right style="thin">
        <color indexed="64"/>
      </right>
      <top style="double">
        <color indexed="64"/>
      </top>
      <bottom style="double">
        <color indexed="64"/>
      </bottom>
      <diagonal style="thin">
        <color theme="0" tint="-0.499984740745262"/>
      </diagonal>
    </border>
    <border diagonalUp="1">
      <left style="thin">
        <color indexed="64"/>
      </left>
      <right style="medium">
        <color rgb="FFFF0000"/>
      </right>
      <top style="double">
        <color indexed="64"/>
      </top>
      <bottom style="double">
        <color indexed="64"/>
      </bottom>
      <diagonal style="thin">
        <color theme="0" tint="-0.499984740745262"/>
      </diagonal>
    </border>
    <border>
      <left style="thin">
        <color indexed="64"/>
      </left>
      <right style="double">
        <color indexed="64"/>
      </right>
      <top/>
      <bottom style="thin">
        <color indexed="64"/>
      </bottom>
      <diagonal/>
    </border>
    <border>
      <left/>
      <right style="medium">
        <color rgb="FFFF0000"/>
      </right>
      <top style="thin">
        <color indexed="64"/>
      </top>
      <bottom style="thin">
        <color indexed="64"/>
      </bottom>
      <diagonal/>
    </border>
    <border diagonalUp="1">
      <left style="thin">
        <color indexed="64"/>
      </left>
      <right style="thin">
        <color indexed="64"/>
      </right>
      <top/>
      <bottom style="thin">
        <color indexed="64"/>
      </bottom>
      <diagonal style="thin">
        <color theme="0" tint="-0.499984740745262"/>
      </diagonal>
    </border>
    <border diagonalUp="1">
      <left style="thin">
        <color indexed="64"/>
      </left>
      <right style="medium">
        <color rgb="FFFF0000"/>
      </right>
      <top/>
      <bottom style="thin">
        <color indexed="64"/>
      </bottom>
      <diagonal style="thin">
        <color theme="0" tint="-0.499984740745262"/>
      </diagonal>
    </border>
    <border diagonalUp="1">
      <left style="thin">
        <color indexed="64"/>
      </left>
      <right style="thin">
        <color indexed="64"/>
      </right>
      <top style="thin">
        <color indexed="64"/>
      </top>
      <bottom style="thin">
        <color indexed="64"/>
      </bottom>
      <diagonal style="thin">
        <color theme="0" tint="-0.14996795556505021"/>
      </diagonal>
    </border>
    <border>
      <left/>
      <right style="thick">
        <color rgb="FFC00000"/>
      </right>
      <top style="thin">
        <color indexed="64"/>
      </top>
      <bottom style="thin">
        <color indexed="64"/>
      </bottom>
      <diagonal/>
    </border>
    <border>
      <left style="thick">
        <color rgb="FFC00000"/>
      </left>
      <right/>
      <top style="thin">
        <color indexed="64"/>
      </top>
      <bottom style="thin">
        <color indexed="64"/>
      </bottom>
      <diagonal/>
    </border>
  </borders>
  <cellStyleXfs count="43">
    <xf numFmtId="0" fontId="0" fillId="0" borderId="0">
      <alignment vertical="center"/>
    </xf>
    <xf numFmtId="9" fontId="11" fillId="0" borderId="0" applyFont="0" applyFill="0" applyBorder="0" applyAlignment="0" applyProtection="0">
      <alignment vertical="center"/>
    </xf>
    <xf numFmtId="9" fontId="1" fillId="0" borderId="0" applyFont="0" applyFill="0" applyBorder="0" applyAlignment="0" applyProtection="0">
      <alignment vertical="center"/>
    </xf>
    <xf numFmtId="9" fontId="11" fillId="0" borderId="0" applyFont="0" applyFill="0" applyBorder="0" applyAlignment="0" applyProtection="0">
      <alignment vertical="center"/>
    </xf>
    <xf numFmtId="9" fontId="1" fillId="0" borderId="0" applyFont="0" applyFill="0" applyBorder="0" applyAlignment="0" applyProtection="0">
      <alignment vertical="center"/>
    </xf>
    <xf numFmtId="9" fontId="4" fillId="0" borderId="0" applyFont="0" applyFill="0" applyBorder="0" applyAlignment="0" applyProtection="0">
      <alignment vertical="center"/>
    </xf>
    <xf numFmtId="9" fontId="1" fillId="0" borderId="0" applyFont="0" applyFill="0" applyBorder="0" applyAlignment="0" applyProtection="0">
      <alignment vertical="center"/>
    </xf>
    <xf numFmtId="9" fontId="11" fillId="0" borderId="0" applyFont="0" applyFill="0" applyBorder="0" applyAlignment="0" applyProtection="0">
      <alignment vertical="center"/>
    </xf>
    <xf numFmtId="9" fontId="1" fillId="0" borderId="0" applyFont="0" applyFill="0" applyBorder="0" applyAlignment="0" applyProtection="0">
      <alignment vertical="center"/>
    </xf>
    <xf numFmtId="9" fontId="11" fillId="0" borderId="0" applyFont="0" applyFill="0" applyBorder="0" applyAlignment="0" applyProtection="0">
      <alignment vertical="center"/>
    </xf>
    <xf numFmtId="9" fontId="1" fillId="0" borderId="0" applyFont="0" applyFill="0" applyBorder="0" applyAlignment="0" applyProtection="0">
      <alignment vertical="center"/>
    </xf>
    <xf numFmtId="41" fontId="6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11" fillId="0" borderId="0" applyFont="0" applyFill="0" applyBorder="0" applyAlignment="0" applyProtection="0">
      <alignment vertical="center"/>
    </xf>
    <xf numFmtId="41" fontId="11" fillId="0" borderId="0" applyFont="0" applyFill="0" applyBorder="0" applyAlignment="0" applyProtection="0">
      <alignment vertical="center"/>
    </xf>
    <xf numFmtId="41" fontId="1" fillId="0" borderId="0" applyFont="0" applyFill="0" applyBorder="0" applyAlignment="0" applyProtection="0">
      <alignment vertical="center"/>
    </xf>
    <xf numFmtId="41" fontId="66" fillId="0" borderId="0" applyFont="0" applyFill="0" applyBorder="0" applyAlignment="0" applyProtection="0">
      <alignment vertical="center"/>
    </xf>
    <xf numFmtId="41" fontId="11" fillId="0" borderId="0" applyFont="0" applyFill="0" applyBorder="0" applyAlignment="0" applyProtection="0">
      <alignment vertical="center"/>
    </xf>
    <xf numFmtId="41" fontId="1" fillId="0" borderId="0" applyFont="0" applyFill="0" applyBorder="0" applyAlignment="0" applyProtection="0">
      <alignment vertical="center"/>
    </xf>
    <xf numFmtId="41" fontId="11" fillId="0" borderId="0" applyFont="0" applyFill="0" applyBorder="0" applyAlignment="0" applyProtection="0">
      <alignment vertical="center"/>
    </xf>
    <xf numFmtId="41" fontId="1" fillId="0" borderId="0" applyFont="0" applyFill="0" applyBorder="0" applyAlignment="0" applyProtection="0">
      <alignment vertical="center"/>
    </xf>
    <xf numFmtId="41" fontId="11" fillId="0" borderId="0" applyFont="0" applyFill="0" applyBorder="0" applyAlignment="0" applyProtection="0">
      <alignment vertical="center"/>
    </xf>
    <xf numFmtId="41" fontId="1" fillId="0" borderId="0" applyFont="0" applyFill="0" applyBorder="0" applyAlignment="0" applyProtection="0">
      <alignment vertical="center"/>
    </xf>
    <xf numFmtId="41" fontId="6" fillId="0" borderId="0" applyFont="0" applyFill="0" applyBorder="0" applyAlignment="0" applyProtection="0">
      <alignment vertical="center"/>
    </xf>
    <xf numFmtId="0" fontId="66" fillId="0" borderId="0">
      <alignment vertical="center"/>
    </xf>
    <xf numFmtId="0" fontId="69" fillId="0" borderId="0">
      <alignment vertical="center"/>
    </xf>
    <xf numFmtId="0" fontId="69" fillId="0" borderId="0">
      <alignment vertical="center"/>
    </xf>
    <xf numFmtId="0" fontId="70" fillId="0" borderId="0">
      <alignment vertical="center"/>
    </xf>
    <xf numFmtId="0" fontId="69" fillId="0" borderId="0">
      <alignment vertical="center"/>
    </xf>
    <xf numFmtId="0" fontId="69" fillId="0" borderId="0">
      <alignment vertical="center"/>
    </xf>
    <xf numFmtId="0" fontId="66" fillId="0" borderId="0">
      <alignment vertical="center"/>
    </xf>
    <xf numFmtId="0" fontId="4" fillId="0" borderId="0">
      <alignment vertical="center"/>
    </xf>
    <xf numFmtId="0" fontId="21" fillId="0" borderId="0">
      <alignment vertical="center"/>
    </xf>
    <xf numFmtId="0" fontId="21" fillId="0" borderId="0"/>
    <xf numFmtId="0" fontId="21" fillId="0" borderId="0">
      <alignment vertical="center"/>
    </xf>
    <xf numFmtId="0" fontId="66" fillId="0" borderId="0">
      <alignment vertical="center"/>
    </xf>
    <xf numFmtId="0" fontId="66" fillId="0" borderId="0">
      <alignment vertical="center"/>
    </xf>
    <xf numFmtId="0" fontId="21" fillId="0" borderId="0">
      <alignment vertical="center"/>
    </xf>
    <xf numFmtId="0" fontId="21" fillId="0" borderId="0">
      <alignment vertical="center"/>
    </xf>
    <xf numFmtId="0" fontId="48" fillId="0" borderId="0"/>
    <xf numFmtId="0" fontId="21" fillId="0" borderId="0">
      <alignment vertical="center"/>
    </xf>
    <xf numFmtId="0" fontId="5" fillId="0" borderId="0" applyNumberFormat="0" applyFill="0" applyBorder="0" applyAlignment="0" applyProtection="0">
      <alignment vertical="top"/>
      <protection locked="0"/>
    </xf>
  </cellStyleXfs>
  <cellXfs count="1444">
    <xf numFmtId="0" fontId="0" fillId="0" borderId="0" xfId="0">
      <alignment vertical="center"/>
    </xf>
    <xf numFmtId="0" fontId="6" fillId="0" borderId="0" xfId="31" applyFont="1">
      <alignment vertical="center"/>
    </xf>
    <xf numFmtId="0" fontId="6" fillId="0" borderId="0" xfId="31" applyFont="1" applyAlignment="1">
      <alignment horizontal="left" vertical="center"/>
    </xf>
    <xf numFmtId="0" fontId="7" fillId="0" borderId="0" xfId="31" applyFont="1" applyAlignment="1">
      <alignment horizontal="left" vertical="center"/>
    </xf>
    <xf numFmtId="0" fontId="7" fillId="2" borderId="0" xfId="31" applyFont="1" applyFill="1" applyAlignment="1">
      <alignment horizontal="left" vertical="center"/>
    </xf>
    <xf numFmtId="0" fontId="66" fillId="0" borderId="0" xfId="31">
      <alignment vertical="center"/>
    </xf>
    <xf numFmtId="41" fontId="12" fillId="2" borderId="1" xfId="22" applyFont="1" applyFill="1" applyBorder="1">
      <alignment vertical="center"/>
    </xf>
    <xf numFmtId="41" fontId="12" fillId="0" borderId="1" xfId="22" applyFont="1" applyFill="1" applyBorder="1">
      <alignment vertical="center"/>
    </xf>
    <xf numFmtId="0" fontId="11" fillId="2" borderId="0" xfId="31" applyFont="1" applyFill="1">
      <alignment vertical="center"/>
    </xf>
    <xf numFmtId="0" fontId="6" fillId="2" borderId="0" xfId="31" applyFont="1" applyFill="1" applyAlignment="1">
      <alignment horizontal="center" vertical="center"/>
    </xf>
    <xf numFmtId="0" fontId="66" fillId="2" borderId="0" xfId="31" applyFill="1">
      <alignment vertical="center"/>
    </xf>
    <xf numFmtId="0" fontId="11" fillId="2" borderId="0" xfId="31" applyFont="1" applyFill="1" applyAlignment="1">
      <alignment horizontal="left" vertical="center"/>
    </xf>
    <xf numFmtId="180" fontId="11" fillId="2" borderId="0" xfId="31" applyNumberFormat="1" applyFont="1" applyFill="1" applyAlignment="1">
      <alignment horizontal="left" vertical="center"/>
    </xf>
    <xf numFmtId="3" fontId="66" fillId="2" borderId="0" xfId="31" applyNumberFormat="1" applyFill="1">
      <alignment vertical="center"/>
    </xf>
    <xf numFmtId="38" fontId="67" fillId="2" borderId="0" xfId="31" applyNumberFormat="1" applyFont="1" applyFill="1">
      <alignment vertical="center"/>
    </xf>
    <xf numFmtId="38" fontId="71" fillId="2" borderId="0" xfId="31" applyNumberFormat="1" applyFont="1" applyFill="1" applyAlignment="1">
      <alignment horizontal="left" vertical="center"/>
    </xf>
    <xf numFmtId="41" fontId="6" fillId="2" borderId="0" xfId="31" applyNumberFormat="1" applyFont="1" applyFill="1" applyAlignment="1">
      <alignment horizontal="left" vertical="center"/>
    </xf>
    <xf numFmtId="38" fontId="71" fillId="2" borderId="0" xfId="31" applyNumberFormat="1" applyFont="1" applyFill="1">
      <alignment vertical="center"/>
    </xf>
    <xf numFmtId="0" fontId="6" fillId="2" borderId="0" xfId="31" applyFont="1" applyFill="1">
      <alignment vertical="center"/>
    </xf>
    <xf numFmtId="0" fontId="6" fillId="2" borderId="2" xfId="31" applyFont="1" applyFill="1" applyBorder="1">
      <alignment vertical="center"/>
    </xf>
    <xf numFmtId="0" fontId="12" fillId="0" borderId="0" xfId="30" applyFont="1">
      <alignment vertical="center"/>
    </xf>
    <xf numFmtId="41" fontId="12" fillId="3" borderId="1" xfId="22" applyFont="1" applyFill="1" applyBorder="1" applyAlignment="1">
      <alignment horizontal="center" vertical="center"/>
    </xf>
    <xf numFmtId="0" fontId="66" fillId="2" borderId="3" xfId="31" applyFill="1" applyBorder="1">
      <alignment vertical="center"/>
    </xf>
    <xf numFmtId="41" fontId="10" fillId="3" borderId="1" xfId="22" applyFont="1" applyFill="1" applyBorder="1" applyAlignment="1">
      <alignment horizontal="center" vertical="center"/>
    </xf>
    <xf numFmtId="0" fontId="6" fillId="0" borderId="2" xfId="31" applyFont="1" applyBorder="1">
      <alignment vertical="center"/>
    </xf>
    <xf numFmtId="176" fontId="12" fillId="0" borderId="1" xfId="22" applyNumberFormat="1" applyFont="1" applyBorder="1" applyAlignment="1">
      <alignment horizontal="center" vertical="center"/>
    </xf>
    <xf numFmtId="41" fontId="10" fillId="2" borderId="1" xfId="22" applyFont="1" applyFill="1" applyBorder="1">
      <alignment vertical="center"/>
    </xf>
    <xf numFmtId="0" fontId="66" fillId="0" borderId="3" xfId="31" applyBorder="1">
      <alignment vertical="center"/>
    </xf>
    <xf numFmtId="0" fontId="10" fillId="0" borderId="3" xfId="30" applyFont="1" applyBorder="1">
      <alignment vertical="center"/>
    </xf>
    <xf numFmtId="176" fontId="12" fillId="0" borderId="0" xfId="22" applyNumberFormat="1" applyFont="1" applyBorder="1" applyAlignment="1">
      <alignment horizontal="center" vertical="center"/>
    </xf>
    <xf numFmtId="41" fontId="12" fillId="2" borderId="0" xfId="22" applyFont="1" applyFill="1" applyBorder="1">
      <alignment vertical="center"/>
    </xf>
    <xf numFmtId="41" fontId="10" fillId="2" borderId="0" xfId="22" applyFont="1" applyFill="1" applyBorder="1">
      <alignment vertical="center"/>
    </xf>
    <xf numFmtId="41" fontId="10" fillId="0" borderId="1" xfId="22" applyFont="1" applyFill="1" applyBorder="1">
      <alignment vertical="center"/>
    </xf>
    <xf numFmtId="41" fontId="12" fillId="0" borderId="0" xfId="22" applyFont="1" applyFill="1" applyBorder="1">
      <alignment vertical="center"/>
    </xf>
    <xf numFmtId="41" fontId="10" fillId="0" borderId="0" xfId="22" applyFont="1" applyFill="1" applyBorder="1">
      <alignment vertical="center"/>
    </xf>
    <xf numFmtId="176" fontId="12" fillId="3" borderId="1" xfId="22" applyNumberFormat="1" applyFont="1" applyFill="1" applyBorder="1" applyAlignment="1">
      <alignment horizontal="center" vertical="center"/>
    </xf>
    <xf numFmtId="176" fontId="10" fillId="3" borderId="1" xfId="22" applyNumberFormat="1" applyFont="1" applyFill="1" applyBorder="1" applyAlignment="1">
      <alignment horizontal="center" vertical="center"/>
    </xf>
    <xf numFmtId="176" fontId="10" fillId="0" borderId="3" xfId="22" applyNumberFormat="1" applyFont="1" applyFill="1" applyBorder="1" applyAlignment="1">
      <alignment horizontal="center" vertical="center"/>
    </xf>
    <xf numFmtId="41" fontId="10" fillId="2" borderId="3" xfId="22" applyFont="1" applyFill="1" applyBorder="1">
      <alignment vertical="center"/>
    </xf>
    <xf numFmtId="0" fontId="12" fillId="3" borderId="1" xfId="30" applyFont="1" applyFill="1" applyBorder="1" applyAlignment="1">
      <alignment horizontal="center" vertical="center"/>
    </xf>
    <xf numFmtId="0" fontId="12" fillId="0" borderId="1" xfId="30" applyFont="1" applyBorder="1" applyAlignment="1">
      <alignment horizontal="center" vertical="center"/>
    </xf>
    <xf numFmtId="0" fontId="12" fillId="0" borderId="0" xfId="30" applyFont="1" applyAlignment="1">
      <alignment horizontal="center" vertical="center"/>
    </xf>
    <xf numFmtId="0" fontId="10" fillId="0" borderId="0" xfId="30" applyFont="1">
      <alignment vertical="center"/>
    </xf>
    <xf numFmtId="0" fontId="10" fillId="3" borderId="1" xfId="30" applyFont="1" applyFill="1" applyBorder="1" applyAlignment="1">
      <alignment horizontal="center" vertical="center"/>
    </xf>
    <xf numFmtId="0" fontId="15" fillId="0" borderId="0" xfId="30" applyFont="1">
      <alignment vertical="center"/>
    </xf>
    <xf numFmtId="41" fontId="12" fillId="3" borderId="1" xfId="22" applyFont="1" applyFill="1" applyBorder="1">
      <alignment vertical="center"/>
    </xf>
    <xf numFmtId="41" fontId="12" fillId="0" borderId="1" xfId="22" applyFont="1" applyBorder="1" applyAlignment="1">
      <alignment horizontal="center" vertical="center"/>
    </xf>
    <xf numFmtId="0" fontId="12" fillId="3" borderId="1" xfId="25" applyFont="1" applyFill="1" applyBorder="1">
      <alignment vertical="center"/>
    </xf>
    <xf numFmtId="41" fontId="12" fillId="2" borderId="1" xfId="13" applyFont="1" applyFill="1" applyBorder="1">
      <alignment vertical="center"/>
    </xf>
    <xf numFmtId="178" fontId="12" fillId="2" borderId="1" xfId="13" applyNumberFormat="1" applyFont="1" applyFill="1" applyBorder="1">
      <alignment vertical="center"/>
    </xf>
    <xf numFmtId="0" fontId="12" fillId="3" borderId="1" xfId="30" applyFont="1" applyFill="1" applyBorder="1" applyAlignment="1">
      <alignment horizontal="left" vertical="center"/>
    </xf>
    <xf numFmtId="0" fontId="12" fillId="3" borderId="1" xfId="22" applyNumberFormat="1" applyFont="1" applyFill="1" applyBorder="1" applyAlignment="1">
      <alignment horizontal="left" vertical="center"/>
    </xf>
    <xf numFmtId="0" fontId="10" fillId="3" borderId="1" xfId="22" applyNumberFormat="1" applyFont="1" applyFill="1" applyBorder="1" applyAlignment="1">
      <alignment horizontal="left" vertical="center"/>
    </xf>
    <xf numFmtId="41" fontId="9" fillId="3" borderId="1" xfId="22" applyFont="1" applyFill="1" applyBorder="1">
      <alignment vertical="center"/>
    </xf>
    <xf numFmtId="0" fontId="10" fillId="0" borderId="1" xfId="22" applyNumberFormat="1" applyFont="1" applyBorder="1" applyAlignment="1">
      <alignment horizontal="left" vertical="center"/>
    </xf>
    <xf numFmtId="0" fontId="13" fillId="0" borderId="0" xfId="30" applyFont="1">
      <alignment vertical="center"/>
    </xf>
    <xf numFmtId="41" fontId="10" fillId="3" borderId="1" xfId="22" applyFont="1" applyFill="1" applyBorder="1">
      <alignment vertical="center"/>
    </xf>
    <xf numFmtId="0" fontId="10" fillId="0" borderId="1" xfId="22" applyNumberFormat="1" applyFont="1" applyBorder="1" applyAlignment="1">
      <alignment horizontal="center" vertical="center"/>
    </xf>
    <xf numFmtId="0" fontId="9" fillId="0" borderId="0" xfId="30" applyFont="1">
      <alignment vertical="center"/>
    </xf>
    <xf numFmtId="177" fontId="10" fillId="2" borderId="1" xfId="22" applyNumberFormat="1" applyFont="1" applyFill="1" applyBorder="1">
      <alignment vertical="center"/>
    </xf>
    <xf numFmtId="178" fontId="10" fillId="2" borderId="1" xfId="22" applyNumberFormat="1" applyFont="1" applyFill="1" applyBorder="1">
      <alignment vertical="center"/>
    </xf>
    <xf numFmtId="41" fontId="10" fillId="2" borderId="1" xfId="13" applyFont="1" applyFill="1" applyBorder="1">
      <alignment vertical="center"/>
    </xf>
    <xf numFmtId="41" fontId="10" fillId="2" borderId="1" xfId="20" applyFont="1" applyFill="1" applyBorder="1">
      <alignment vertical="center"/>
    </xf>
    <xf numFmtId="0" fontId="6" fillId="0" borderId="4" xfId="31" applyFont="1" applyBorder="1">
      <alignment vertical="center"/>
    </xf>
    <xf numFmtId="0" fontId="66" fillId="0" borderId="0" xfId="25">
      <alignment vertical="center"/>
    </xf>
    <xf numFmtId="0" fontId="66" fillId="4" borderId="0" xfId="25" applyFill="1">
      <alignment vertical="center"/>
    </xf>
    <xf numFmtId="0" fontId="12" fillId="0" borderId="0" xfId="32" applyFont="1">
      <alignment vertical="center"/>
    </xf>
    <xf numFmtId="0" fontId="20" fillId="0" borderId="0" xfId="42" applyFont="1" applyFill="1" applyBorder="1" applyAlignment="1" applyProtection="1">
      <alignment horizontal="center" vertical="center"/>
    </xf>
    <xf numFmtId="0" fontId="10" fillId="4" borderId="0" xfId="25" applyFont="1" applyFill="1">
      <alignment vertical="center"/>
    </xf>
    <xf numFmtId="0" fontId="23" fillId="0" borderId="0" xfId="25" applyFont="1">
      <alignment vertical="center"/>
    </xf>
    <xf numFmtId="41" fontId="18" fillId="0" borderId="1" xfId="32" applyNumberFormat="1" applyFont="1" applyBorder="1">
      <alignment vertical="center"/>
    </xf>
    <xf numFmtId="0" fontId="18" fillId="0" borderId="1" xfId="32" applyFont="1" applyBorder="1">
      <alignment vertical="center"/>
    </xf>
    <xf numFmtId="0" fontId="19" fillId="0" borderId="1" xfId="26" applyFont="1" applyBorder="1" applyAlignment="1">
      <alignment horizontal="center" vertical="center"/>
    </xf>
    <xf numFmtId="0" fontId="18" fillId="0" borderId="5" xfId="38" applyFont="1" applyBorder="1" applyAlignment="1">
      <alignment horizontal="left" vertical="center"/>
    </xf>
    <xf numFmtId="0" fontId="18" fillId="0" borderId="6" xfId="38" applyFont="1" applyBorder="1" applyAlignment="1">
      <alignment horizontal="left" vertical="center"/>
    </xf>
    <xf numFmtId="0" fontId="18" fillId="0" borderId="0" xfId="32" applyFont="1">
      <alignment vertical="center"/>
    </xf>
    <xf numFmtId="0" fontId="19" fillId="2" borderId="5" xfId="38" applyFont="1" applyFill="1" applyBorder="1">
      <alignment vertical="center"/>
    </xf>
    <xf numFmtId="0" fontId="17" fillId="5" borderId="1" xfId="32" applyFont="1" applyFill="1" applyBorder="1">
      <alignment vertical="center"/>
    </xf>
    <xf numFmtId="0" fontId="16" fillId="6" borderId="5" xfId="25" applyFont="1" applyFill="1" applyBorder="1" applyAlignment="1">
      <alignment vertical="center" wrapText="1"/>
    </xf>
    <xf numFmtId="0" fontId="16" fillId="6" borderId="1" xfId="25" applyFont="1" applyFill="1" applyBorder="1" applyAlignment="1">
      <alignment horizontal="center" vertical="center"/>
    </xf>
    <xf numFmtId="0" fontId="16" fillId="0" borderId="5" xfId="32" applyFont="1" applyBorder="1" applyAlignment="1">
      <alignment horizontal="left" vertical="center"/>
    </xf>
    <xf numFmtId="0" fontId="19" fillId="7" borderId="1" xfId="26" applyFont="1" applyFill="1" applyBorder="1">
      <alignment vertical="center"/>
    </xf>
    <xf numFmtId="0" fontId="19" fillId="7" borderId="1" xfId="26" applyFont="1" applyFill="1" applyBorder="1" applyAlignment="1">
      <alignment vertical="center" wrapText="1"/>
    </xf>
    <xf numFmtId="0" fontId="19" fillId="0" borderId="1" xfId="26" applyFont="1" applyBorder="1" applyAlignment="1">
      <alignment vertical="center" wrapText="1"/>
    </xf>
    <xf numFmtId="0" fontId="19" fillId="0" borderId="1" xfId="26" applyFont="1" applyBorder="1">
      <alignment vertical="center"/>
    </xf>
    <xf numFmtId="0" fontId="1" fillId="0" borderId="1" xfId="25" applyFont="1" applyBorder="1" applyAlignment="1">
      <alignment horizontal="center" vertical="center"/>
    </xf>
    <xf numFmtId="0" fontId="1" fillId="7" borderId="5" xfId="25" applyFont="1" applyFill="1" applyBorder="1">
      <alignment vertical="center"/>
    </xf>
    <xf numFmtId="0" fontId="19" fillId="0" borderId="7" xfId="26" applyFont="1" applyBorder="1" applyAlignment="1">
      <alignment horizontal="center" vertical="center"/>
    </xf>
    <xf numFmtId="0" fontId="19" fillId="7" borderId="8" xfId="26" applyFont="1" applyFill="1" applyBorder="1" applyAlignment="1">
      <alignment vertical="center" wrapText="1"/>
    </xf>
    <xf numFmtId="0" fontId="17" fillId="0" borderId="1" xfId="32" applyFont="1" applyBorder="1">
      <alignment vertical="center"/>
    </xf>
    <xf numFmtId="0" fontId="29" fillId="0" borderId="0" xfId="39" applyFont="1">
      <alignment vertical="center"/>
    </xf>
    <xf numFmtId="41" fontId="29" fillId="0" borderId="0" xfId="16" applyFont="1" applyAlignment="1">
      <alignment horizontal="right" vertical="center"/>
    </xf>
    <xf numFmtId="41" fontId="8" fillId="0" borderId="0" xfId="16" applyFont="1" applyFill="1" applyBorder="1" applyAlignment="1">
      <alignment horizontal="left" vertical="center" wrapText="1"/>
    </xf>
    <xf numFmtId="0" fontId="12" fillId="0" borderId="0" xfId="32" applyFont="1" applyAlignment="1">
      <alignment horizontal="right" vertical="center"/>
    </xf>
    <xf numFmtId="41" fontId="14" fillId="0" borderId="0" xfId="16" applyFont="1" applyFill="1" applyBorder="1" applyAlignment="1">
      <alignment horizontal="left" vertical="center" wrapText="1"/>
    </xf>
    <xf numFmtId="0" fontId="73" fillId="0" borderId="0" xfId="25" applyFont="1">
      <alignment vertical="center"/>
    </xf>
    <xf numFmtId="0" fontId="74" fillId="0" borderId="0" xfId="25" applyFont="1" applyAlignment="1">
      <alignment horizontal="center" vertical="center"/>
    </xf>
    <xf numFmtId="0" fontId="74" fillId="0" borderId="0" xfId="25" applyFont="1">
      <alignment vertical="center"/>
    </xf>
    <xf numFmtId="41" fontId="31" fillId="0" borderId="0" xfId="16" applyFont="1" applyFill="1" applyAlignment="1">
      <alignment horizontal="right" vertical="center"/>
    </xf>
    <xf numFmtId="41" fontId="31" fillId="0" borderId="0" xfId="16" applyFont="1" applyFill="1">
      <alignment vertical="center"/>
    </xf>
    <xf numFmtId="0" fontId="31" fillId="0" borderId="0" xfId="32" applyFont="1">
      <alignment vertical="center"/>
    </xf>
    <xf numFmtId="0" fontId="33" fillId="0" borderId="0" xfId="38" applyFont="1" applyAlignment="1">
      <alignment horizontal="left" vertical="center"/>
    </xf>
    <xf numFmtId="0" fontId="23" fillId="0" borderId="0" xfId="27" applyFont="1" applyAlignment="1">
      <alignment horizontal="left" vertical="center"/>
    </xf>
    <xf numFmtId="0" fontId="29" fillId="0" borderId="0" xfId="38" applyFont="1">
      <alignment vertical="center"/>
    </xf>
    <xf numFmtId="0" fontId="18" fillId="7" borderId="7" xfId="38" applyFont="1" applyFill="1" applyBorder="1" applyAlignment="1">
      <alignment horizontal="center" vertical="center" shrinkToFit="1"/>
    </xf>
    <xf numFmtId="0" fontId="1" fillId="7" borderId="1" xfId="38" applyFont="1" applyFill="1" applyBorder="1" applyAlignment="1">
      <alignment horizontal="center" vertical="center"/>
    </xf>
    <xf numFmtId="0" fontId="14" fillId="7" borderId="1" xfId="34" applyFont="1" applyFill="1" applyBorder="1" applyAlignment="1">
      <alignment horizontal="center" vertical="center"/>
    </xf>
    <xf numFmtId="0" fontId="17" fillId="7" borderId="1" xfId="39" applyFont="1" applyFill="1" applyBorder="1" applyAlignment="1">
      <alignment horizontal="center" vertical="center"/>
    </xf>
    <xf numFmtId="0" fontId="23" fillId="7" borderId="1" xfId="38" applyFont="1" applyFill="1" applyBorder="1" applyAlignment="1">
      <alignment horizontal="center" vertical="center"/>
    </xf>
    <xf numFmtId="0" fontId="75" fillId="0" borderId="0" xfId="34" applyFont="1"/>
    <xf numFmtId="0" fontId="16" fillId="0" borderId="0" xfId="32" applyFont="1">
      <alignment vertical="center"/>
    </xf>
    <xf numFmtId="0" fontId="66" fillId="0" borderId="1" xfId="25" applyBorder="1">
      <alignment vertical="center"/>
    </xf>
    <xf numFmtId="0" fontId="18" fillId="7" borderId="1" xfId="39" applyFont="1" applyFill="1" applyBorder="1" applyAlignment="1">
      <alignment horizontal="center" vertical="center"/>
    </xf>
    <xf numFmtId="0" fontId="18" fillId="7" borderId="7" xfId="39" applyFont="1" applyFill="1" applyBorder="1" applyAlignment="1">
      <alignment horizontal="center" vertical="center"/>
    </xf>
    <xf numFmtId="41" fontId="18" fillId="8" borderId="65" xfId="16" applyFont="1" applyFill="1" applyBorder="1" applyAlignment="1">
      <alignment horizontal="right" vertical="center"/>
    </xf>
    <xf numFmtId="0" fontId="8" fillId="7" borderId="5" xfId="26" applyFont="1" applyFill="1" applyBorder="1" applyAlignment="1">
      <alignment horizontal="left" vertical="center"/>
    </xf>
    <xf numFmtId="0" fontId="17" fillId="9" borderId="5" xfId="38" applyFont="1" applyFill="1" applyBorder="1" applyAlignment="1">
      <alignment vertical="center" shrinkToFit="1"/>
    </xf>
    <xf numFmtId="0" fontId="76" fillId="0" borderId="1" xfId="25" applyFont="1" applyBorder="1" applyAlignment="1">
      <alignment horizontal="left" vertical="center" wrapText="1" indent="1" readingOrder="1"/>
    </xf>
    <xf numFmtId="183" fontId="33" fillId="5" borderId="1" xfId="16" applyNumberFormat="1" applyFont="1" applyFill="1" applyBorder="1">
      <alignment vertical="center"/>
    </xf>
    <xf numFmtId="183" fontId="33" fillId="7" borderId="1" xfId="38" applyNumberFormat="1" applyFont="1" applyFill="1" applyBorder="1" applyAlignment="1">
      <alignment horizontal="right" vertical="center" shrinkToFit="1"/>
    </xf>
    <xf numFmtId="0" fontId="77" fillId="7" borderId="1" xfId="25" applyFont="1" applyFill="1" applyBorder="1" applyAlignment="1">
      <alignment horizontal="center" vertical="center"/>
    </xf>
    <xf numFmtId="0" fontId="18" fillId="0" borderId="5" xfId="32" applyFont="1" applyBorder="1" applyAlignment="1">
      <alignment horizontal="center" vertical="center"/>
    </xf>
    <xf numFmtId="38" fontId="18" fillId="0" borderId="68" xfId="32" applyNumberFormat="1" applyFont="1" applyBorder="1" applyAlignment="1">
      <alignment horizontal="right" vertical="center"/>
    </xf>
    <xf numFmtId="0" fontId="66" fillId="0" borderId="1" xfId="25" applyBorder="1" applyAlignment="1">
      <alignment horizontal="center" vertical="center"/>
    </xf>
    <xf numFmtId="0" fontId="66" fillId="0" borderId="0" xfId="25" applyAlignment="1">
      <alignment horizontal="center" vertical="center"/>
    </xf>
    <xf numFmtId="0" fontId="19" fillId="0" borderId="5" xfId="26" applyFont="1" applyBorder="1" applyAlignment="1">
      <alignment horizontal="left" vertical="center"/>
    </xf>
    <xf numFmtId="0" fontId="17" fillId="0" borderId="5" xfId="38" applyFont="1" applyBorder="1" applyAlignment="1">
      <alignment vertical="center" shrinkToFit="1"/>
    </xf>
    <xf numFmtId="183" fontId="78" fillId="0" borderId="1" xfId="25" applyNumberFormat="1" applyFont="1" applyBorder="1" applyAlignment="1">
      <alignment horizontal="right" vertical="center"/>
    </xf>
    <xf numFmtId="183" fontId="18" fillId="0" borderId="70" xfId="32" applyNumberFormat="1" applyFont="1" applyBorder="1" applyAlignment="1">
      <alignment horizontal="right" vertical="center"/>
    </xf>
    <xf numFmtId="41" fontId="66" fillId="10" borderId="1" xfId="16" applyFont="1" applyFill="1" applyBorder="1" applyAlignment="1">
      <alignment horizontal="center" vertical="center"/>
    </xf>
    <xf numFmtId="0" fontId="66" fillId="0" borderId="9" xfId="25" applyBorder="1" applyAlignment="1">
      <alignment horizontal="center" vertical="center"/>
    </xf>
    <xf numFmtId="0" fontId="66" fillId="0" borderId="10" xfId="25" applyBorder="1" applyAlignment="1">
      <alignment horizontal="center" vertical="center"/>
    </xf>
    <xf numFmtId="41" fontId="66" fillId="0" borderId="0" xfId="25" applyNumberFormat="1" applyAlignment="1">
      <alignment horizontal="center" vertical="center"/>
    </xf>
    <xf numFmtId="183" fontId="78" fillId="0" borderId="1" xfId="16" applyNumberFormat="1" applyFont="1" applyFill="1" applyBorder="1" applyAlignment="1">
      <alignment horizontal="right" vertical="center"/>
    </xf>
    <xf numFmtId="0" fontId="66" fillId="0" borderId="3" xfId="25" applyBorder="1">
      <alignment vertical="center"/>
    </xf>
    <xf numFmtId="0" fontId="74" fillId="0" borderId="3" xfId="25" applyFont="1" applyBorder="1" applyAlignment="1">
      <alignment horizontal="center" vertical="center"/>
    </xf>
    <xf numFmtId="41" fontId="66" fillId="0" borderId="0" xfId="25" applyNumberFormat="1">
      <alignment vertical="center"/>
    </xf>
    <xf numFmtId="0" fontId="18" fillId="0" borderId="5" xfId="38" applyFont="1" applyBorder="1" applyAlignment="1">
      <alignment vertical="center" shrinkToFit="1"/>
    </xf>
    <xf numFmtId="0" fontId="66" fillId="0" borderId="3" xfId="25" applyBorder="1" applyAlignment="1">
      <alignment horizontal="center" vertical="center"/>
    </xf>
    <xf numFmtId="0" fontId="74" fillId="0" borderId="10" xfId="25" applyFont="1" applyBorder="1" applyAlignment="1">
      <alignment horizontal="center" vertical="center"/>
    </xf>
    <xf numFmtId="0" fontId="66" fillId="0" borderId="8" xfId="25" applyBorder="1">
      <alignment vertical="center"/>
    </xf>
    <xf numFmtId="0" fontId="68" fillId="0" borderId="1" xfId="25" applyFont="1" applyBorder="1" applyAlignment="1">
      <alignment horizontal="center" vertical="center"/>
    </xf>
    <xf numFmtId="41" fontId="18" fillId="8" borderId="1" xfId="16" applyFont="1" applyFill="1" applyBorder="1" applyAlignment="1">
      <alignment horizontal="right" vertical="center"/>
    </xf>
    <xf numFmtId="41" fontId="18" fillId="0" borderId="1" xfId="16" applyFont="1" applyBorder="1" applyAlignment="1">
      <alignment horizontal="right" vertical="center"/>
    </xf>
    <xf numFmtId="0" fontId="79" fillId="0" borderId="1" xfId="25" applyFont="1" applyBorder="1" applyAlignment="1">
      <alignment vertical="center" wrapText="1" readingOrder="1"/>
    </xf>
    <xf numFmtId="183" fontId="78" fillId="0" borderId="7" xfId="16" applyNumberFormat="1" applyFont="1" applyFill="1" applyBorder="1" applyAlignment="1">
      <alignment horizontal="right" vertical="center"/>
    </xf>
    <xf numFmtId="0" fontId="74" fillId="0" borderId="7" xfId="25" applyFont="1" applyBorder="1" applyAlignment="1">
      <alignment horizontal="center" vertical="center"/>
    </xf>
    <xf numFmtId="10" fontId="66" fillId="5" borderId="1" xfId="2" applyNumberFormat="1" applyFont="1" applyFill="1" applyBorder="1" applyAlignment="1">
      <alignment horizontal="center" vertical="center"/>
    </xf>
    <xf numFmtId="0" fontId="66" fillId="0" borderId="9" xfId="25" applyBorder="1">
      <alignment vertical="center"/>
    </xf>
    <xf numFmtId="41" fontId="18" fillId="0" borderId="1" xfId="16" applyFont="1" applyFill="1" applyBorder="1" applyAlignment="1">
      <alignment horizontal="right" vertical="center"/>
    </xf>
    <xf numFmtId="183" fontId="33" fillId="5" borderId="1" xfId="16" applyNumberFormat="1" applyFont="1" applyFill="1" applyBorder="1" applyAlignment="1">
      <alignment vertical="center"/>
    </xf>
    <xf numFmtId="183" fontId="78" fillId="0" borderId="11" xfId="25" applyNumberFormat="1" applyFont="1" applyBorder="1" applyAlignment="1">
      <alignment horizontal="right" vertical="center"/>
    </xf>
    <xf numFmtId="38" fontId="18" fillId="0" borderId="70" xfId="32" applyNumberFormat="1" applyFont="1" applyBorder="1" applyAlignment="1">
      <alignment horizontal="right" vertical="center"/>
    </xf>
    <xf numFmtId="0" fontId="80" fillId="0" borderId="0" xfId="25" applyFont="1" applyAlignment="1">
      <alignment horizontal="center" vertical="center"/>
    </xf>
    <xf numFmtId="0" fontId="36" fillId="0" borderId="0" xfId="39" applyFont="1">
      <alignment vertical="center"/>
    </xf>
    <xf numFmtId="183" fontId="78" fillId="0" borderId="8" xfId="25" applyNumberFormat="1" applyFont="1" applyBorder="1" applyAlignment="1">
      <alignment horizontal="right" vertical="center"/>
    </xf>
    <xf numFmtId="0" fontId="18" fillId="0" borderId="12" xfId="32" applyFont="1" applyBorder="1" applyAlignment="1">
      <alignment horizontal="center" vertical="center"/>
    </xf>
    <xf numFmtId="38" fontId="18" fillId="0" borderId="72" xfId="32" applyNumberFormat="1" applyFont="1" applyBorder="1" applyAlignment="1">
      <alignment horizontal="right" vertical="center"/>
    </xf>
    <xf numFmtId="0" fontId="66" fillId="0" borderId="10" xfId="25" applyBorder="1">
      <alignment vertical="center"/>
    </xf>
    <xf numFmtId="0" fontId="17" fillId="0" borderId="1" xfId="32" applyFont="1" applyBorder="1" applyAlignment="1">
      <alignment horizontal="left" vertical="center"/>
    </xf>
    <xf numFmtId="10" fontId="18" fillId="5" borderId="68" xfId="2" applyNumberFormat="1" applyFont="1" applyFill="1" applyBorder="1" applyAlignment="1">
      <alignment horizontal="right" vertical="center"/>
    </xf>
    <xf numFmtId="3" fontId="29" fillId="0" borderId="0" xfId="39" applyNumberFormat="1" applyFont="1">
      <alignment vertical="center"/>
    </xf>
    <xf numFmtId="0" fontId="18" fillId="0" borderId="1" xfId="32" applyFont="1" applyBorder="1" applyAlignment="1">
      <alignment horizontal="left" vertical="center"/>
    </xf>
    <xf numFmtId="10" fontId="18" fillId="5" borderId="70" xfId="2" applyNumberFormat="1" applyFont="1" applyFill="1" applyBorder="1">
      <alignment vertical="center"/>
    </xf>
    <xf numFmtId="3" fontId="81" fillId="0" borderId="0" xfId="25" applyNumberFormat="1" applyFont="1">
      <alignment vertical="center"/>
    </xf>
    <xf numFmtId="41" fontId="18" fillId="8" borderId="69" xfId="16" applyFont="1" applyFill="1" applyBorder="1" applyAlignment="1">
      <alignment horizontal="right" vertical="center" shrinkToFit="1"/>
    </xf>
    <xf numFmtId="41" fontId="18" fillId="8" borderId="1" xfId="16" applyFont="1" applyFill="1" applyBorder="1" applyAlignment="1">
      <alignment horizontal="right" vertical="center" shrinkToFit="1"/>
    </xf>
    <xf numFmtId="41" fontId="18" fillId="8" borderId="71" xfId="16" applyFont="1" applyFill="1" applyBorder="1" applyAlignment="1">
      <alignment horizontal="right" vertical="center" shrinkToFit="1"/>
    </xf>
    <xf numFmtId="183" fontId="78" fillId="0" borderId="7" xfId="25" applyNumberFormat="1" applyFont="1" applyBorder="1" applyAlignment="1">
      <alignment horizontal="right" vertical="center"/>
    </xf>
    <xf numFmtId="10" fontId="18" fillId="5" borderId="72" xfId="2" applyNumberFormat="1" applyFont="1" applyFill="1" applyBorder="1">
      <alignment vertical="center"/>
    </xf>
    <xf numFmtId="0" fontId="17" fillId="0" borderId="13" xfId="32" applyFont="1" applyBorder="1" applyAlignment="1">
      <alignment horizontal="left" vertical="center"/>
    </xf>
    <xf numFmtId="0" fontId="18" fillId="0" borderId="8" xfId="32" applyFont="1" applyBorder="1" applyAlignment="1">
      <alignment horizontal="center" vertical="center"/>
    </xf>
    <xf numFmtId="0" fontId="18" fillId="0" borderId="5" xfId="32" applyFont="1" applyBorder="1" applyAlignment="1">
      <alignment horizontal="left" vertical="center"/>
    </xf>
    <xf numFmtId="184" fontId="18" fillId="0" borderId="8" xfId="2" applyNumberFormat="1" applyFont="1" applyBorder="1">
      <alignment vertical="center"/>
    </xf>
    <xf numFmtId="0" fontId="66" fillId="0" borderId="8" xfId="25" applyBorder="1" applyAlignment="1">
      <alignment horizontal="center" vertical="center"/>
    </xf>
    <xf numFmtId="187" fontId="66" fillId="5" borderId="1" xfId="2" applyNumberFormat="1" applyFont="1" applyFill="1" applyBorder="1" applyAlignment="1">
      <alignment horizontal="center" vertical="center"/>
    </xf>
    <xf numFmtId="0" fontId="19" fillId="0" borderId="5" xfId="26" applyFont="1" applyBorder="1">
      <alignment vertical="center"/>
    </xf>
    <xf numFmtId="0" fontId="82" fillId="0" borderId="0" xfId="39" applyFont="1">
      <alignment vertical="center"/>
    </xf>
    <xf numFmtId="0" fontId="82" fillId="0" borderId="0" xfId="39" applyFont="1" applyAlignment="1">
      <alignment horizontal="left" vertical="center"/>
    </xf>
    <xf numFmtId="0" fontId="18" fillId="0" borderId="1" xfId="32" applyFont="1" applyBorder="1" applyAlignment="1">
      <alignment horizontal="center" vertical="center"/>
    </xf>
    <xf numFmtId="184" fontId="18" fillId="0" borderId="1" xfId="2" applyNumberFormat="1" applyFont="1" applyBorder="1">
      <alignment vertical="center"/>
    </xf>
    <xf numFmtId="0" fontId="37" fillId="0" borderId="0" xfId="25" applyFont="1">
      <alignment vertical="center"/>
    </xf>
    <xf numFmtId="0" fontId="10" fillId="0" borderId="0" xfId="25" applyFont="1">
      <alignment vertical="center"/>
    </xf>
    <xf numFmtId="183" fontId="78" fillId="0" borderId="5" xfId="25" applyNumberFormat="1" applyFont="1" applyBorder="1" applyAlignment="1">
      <alignment horizontal="right" vertical="center"/>
    </xf>
    <xf numFmtId="183" fontId="78" fillId="0" borderId="8" xfId="16" applyNumberFormat="1" applyFont="1" applyFill="1" applyBorder="1" applyAlignment="1">
      <alignment horizontal="right" vertical="center"/>
    </xf>
    <xf numFmtId="183" fontId="33" fillId="5" borderId="1" xfId="38" applyNumberFormat="1" applyFont="1" applyFill="1" applyBorder="1" applyAlignment="1">
      <alignment horizontal="right" vertical="center"/>
    </xf>
    <xf numFmtId="183" fontId="78" fillId="0" borderId="13" xfId="25" applyNumberFormat="1" applyFont="1" applyBorder="1" applyAlignment="1">
      <alignment horizontal="right" vertical="center"/>
    </xf>
    <xf numFmtId="183" fontId="12" fillId="0" borderId="0" xfId="32" applyNumberFormat="1" applyFont="1">
      <alignment vertical="center"/>
    </xf>
    <xf numFmtId="0" fontId="18" fillId="0" borderId="1" xfId="38" applyFont="1" applyBorder="1" applyAlignment="1">
      <alignment horizontal="center" vertical="center" shrinkToFit="1"/>
    </xf>
    <xf numFmtId="0" fontId="17" fillId="0" borderId="4" xfId="38" applyFont="1" applyBorder="1" applyAlignment="1">
      <alignment vertical="center" shrinkToFit="1"/>
    </xf>
    <xf numFmtId="183" fontId="33" fillId="7" borderId="8" xfId="38" applyNumberFormat="1" applyFont="1" applyFill="1" applyBorder="1" applyAlignment="1">
      <alignment horizontal="right" vertical="center" shrinkToFit="1"/>
    </xf>
    <xf numFmtId="0" fontId="1" fillId="0" borderId="5" xfId="38" applyFont="1" applyBorder="1" applyAlignment="1">
      <alignment horizontal="left" vertical="center" shrinkToFit="1"/>
    </xf>
    <xf numFmtId="41" fontId="19" fillId="8" borderId="69" xfId="16" applyFont="1" applyFill="1" applyBorder="1" applyAlignment="1">
      <alignment horizontal="right" vertical="center" wrapText="1"/>
    </xf>
    <xf numFmtId="41" fontId="19" fillId="8" borderId="1" xfId="16" applyFont="1" applyFill="1" applyBorder="1" applyAlignment="1">
      <alignment horizontal="right" vertical="center" wrapText="1"/>
    </xf>
    <xf numFmtId="41" fontId="19" fillId="8" borderId="71" xfId="16" applyFont="1" applyFill="1" applyBorder="1" applyAlignment="1">
      <alignment horizontal="right" vertical="center" wrapText="1"/>
    </xf>
    <xf numFmtId="41" fontId="18" fillId="0" borderId="69" xfId="16" applyFont="1" applyFill="1" applyBorder="1" applyAlignment="1">
      <alignment horizontal="right" vertical="center"/>
    </xf>
    <xf numFmtId="41" fontId="18" fillId="0" borderId="71" xfId="16" applyFont="1" applyFill="1" applyBorder="1" applyAlignment="1">
      <alignment horizontal="right" vertical="center"/>
    </xf>
    <xf numFmtId="0" fontId="19" fillId="0" borderId="0" xfId="27" applyFont="1">
      <alignment vertical="center"/>
    </xf>
    <xf numFmtId="0" fontId="1" fillId="7" borderId="1" xfId="26" applyFont="1" applyFill="1" applyBorder="1" applyAlignment="1">
      <alignment horizontal="center" vertical="center"/>
    </xf>
    <xf numFmtId="0" fontId="1" fillId="0" borderId="1" xfId="23" applyNumberFormat="1" applyFont="1" applyBorder="1" applyAlignment="1">
      <alignment horizontal="center" vertical="center"/>
    </xf>
    <xf numFmtId="178" fontId="1" fillId="2" borderId="1" xfId="23" applyNumberFormat="1" applyFont="1" applyFill="1" applyBorder="1">
      <alignment vertical="center"/>
    </xf>
    <xf numFmtId="0" fontId="15" fillId="0" borderId="5" xfId="38" applyFont="1" applyBorder="1" applyAlignment="1">
      <alignment horizontal="left" vertical="center" shrinkToFit="1"/>
    </xf>
    <xf numFmtId="0" fontId="19" fillId="0" borderId="0" xfId="25" applyFont="1">
      <alignment vertical="center"/>
    </xf>
    <xf numFmtId="0" fontId="16" fillId="0" borderId="5" xfId="38" applyFont="1" applyBorder="1" applyAlignment="1">
      <alignment horizontal="left" vertical="center" shrinkToFit="1"/>
    </xf>
    <xf numFmtId="0" fontId="14" fillId="7" borderId="5" xfId="26" applyFont="1" applyFill="1" applyBorder="1" applyAlignment="1">
      <alignment horizontal="left" vertical="center"/>
    </xf>
    <xf numFmtId="0" fontId="1" fillId="9" borderId="1" xfId="25" applyFont="1" applyFill="1" applyBorder="1" applyAlignment="1">
      <alignment horizontal="center" vertical="center"/>
    </xf>
    <xf numFmtId="0" fontId="1" fillId="7" borderId="1" xfId="25" applyFont="1" applyFill="1" applyBorder="1" applyAlignment="1">
      <alignment horizontal="center" vertical="center"/>
    </xf>
    <xf numFmtId="0" fontId="1" fillId="0" borderId="5" xfId="26" applyFont="1" applyBorder="1" applyAlignment="1">
      <alignment horizontal="left" vertical="center"/>
    </xf>
    <xf numFmtId="0" fontId="29" fillId="0" borderId="1" xfId="39" applyFont="1" applyBorder="1">
      <alignment vertical="center"/>
    </xf>
    <xf numFmtId="0" fontId="23" fillId="2" borderId="0" xfId="38" applyFont="1" applyFill="1">
      <alignment vertical="center"/>
    </xf>
    <xf numFmtId="0" fontId="33" fillId="2" borderId="0" xfId="38" applyFont="1" applyFill="1" applyAlignment="1">
      <alignment vertical="center" wrapText="1"/>
    </xf>
    <xf numFmtId="0" fontId="18" fillId="0" borderId="0" xfId="39" applyFont="1">
      <alignment vertical="center"/>
    </xf>
    <xf numFmtId="0" fontId="17" fillId="2" borderId="0" xfId="38" applyFont="1" applyFill="1" applyAlignment="1">
      <alignment vertical="center" wrapText="1"/>
    </xf>
    <xf numFmtId="0" fontId="15" fillId="7" borderId="5" xfId="38" applyFont="1" applyFill="1" applyBorder="1" applyAlignment="1">
      <alignment horizontal="left" vertical="center" shrinkToFit="1"/>
    </xf>
    <xf numFmtId="0" fontId="14" fillId="7" borderId="1" xfId="38" applyFont="1" applyFill="1" applyBorder="1" applyAlignment="1">
      <alignment horizontal="left" vertical="center" shrinkToFit="1"/>
    </xf>
    <xf numFmtId="41" fontId="19" fillId="7" borderId="5" xfId="23" applyFont="1" applyFill="1" applyBorder="1" applyAlignment="1">
      <alignment horizontal="center" vertical="center"/>
    </xf>
    <xf numFmtId="41" fontId="19" fillId="7" borderId="11" xfId="23" applyFont="1" applyFill="1" applyBorder="1" applyAlignment="1">
      <alignment horizontal="center" vertical="center"/>
    </xf>
    <xf numFmtId="177" fontId="19" fillId="7" borderId="5" xfId="23" applyNumberFormat="1" applyFont="1" applyFill="1" applyBorder="1" applyAlignment="1">
      <alignment horizontal="center" vertical="center"/>
    </xf>
    <xf numFmtId="177" fontId="19" fillId="7" borderId="11" xfId="23" applyNumberFormat="1" applyFont="1" applyFill="1" applyBorder="1" applyAlignment="1">
      <alignment horizontal="center" vertical="center"/>
    </xf>
    <xf numFmtId="41" fontId="19" fillId="0" borderId="1" xfId="23" applyFont="1" applyBorder="1" applyAlignment="1">
      <alignment horizontal="center" vertical="center"/>
    </xf>
    <xf numFmtId="41" fontId="19" fillId="0" borderId="1" xfId="16" applyFont="1" applyBorder="1" applyAlignment="1">
      <alignment horizontal="center" vertical="center"/>
    </xf>
    <xf numFmtId="176" fontId="19" fillId="0" borderId="1" xfId="23" applyNumberFormat="1" applyFont="1" applyBorder="1" applyAlignment="1">
      <alignment horizontal="center" vertical="center"/>
    </xf>
    <xf numFmtId="41" fontId="19" fillId="2" borderId="1" xfId="16" applyFont="1" applyFill="1" applyBorder="1" applyAlignment="1">
      <alignment horizontal="right" vertical="center"/>
    </xf>
    <xf numFmtId="41" fontId="19" fillId="7" borderId="1" xfId="16" applyFont="1" applyFill="1" applyBorder="1" applyAlignment="1">
      <alignment horizontal="center" vertical="center"/>
    </xf>
    <xf numFmtId="189" fontId="19" fillId="0" borderId="1" xfId="16" applyNumberFormat="1" applyFont="1" applyFill="1" applyBorder="1" applyAlignment="1">
      <alignment horizontal="right" vertical="center"/>
    </xf>
    <xf numFmtId="189" fontId="19" fillId="2" borderId="1" xfId="16" applyNumberFormat="1" applyFont="1" applyFill="1" applyBorder="1" applyAlignment="1">
      <alignment horizontal="right" vertical="center"/>
    </xf>
    <xf numFmtId="0" fontId="19" fillId="7" borderId="1" xfId="16" applyNumberFormat="1" applyFont="1" applyFill="1" applyBorder="1" applyAlignment="1">
      <alignment horizontal="center" vertical="center"/>
    </xf>
    <xf numFmtId="41" fontId="19" fillId="2" borderId="7" xfId="16" applyFont="1" applyFill="1" applyBorder="1" applyAlignment="1">
      <alignment horizontal="right" vertical="center"/>
    </xf>
    <xf numFmtId="41" fontId="19" fillId="7" borderId="8" xfId="16" applyFont="1" applyFill="1" applyBorder="1" applyAlignment="1">
      <alignment horizontal="center" vertical="center"/>
    </xf>
    <xf numFmtId="41" fontId="19" fillId="7" borderId="1" xfId="16" applyFont="1" applyFill="1" applyBorder="1" applyAlignment="1">
      <alignment horizontal="right" vertical="center"/>
    </xf>
    <xf numFmtId="41" fontId="19" fillId="2" borderId="1" xfId="16" applyFont="1" applyFill="1" applyBorder="1" applyAlignment="1">
      <alignment horizontal="center" vertical="center"/>
    </xf>
    <xf numFmtId="178" fontId="19" fillId="2" borderId="1" xfId="16" applyNumberFormat="1" applyFont="1" applyFill="1" applyBorder="1" applyAlignment="1">
      <alignment horizontal="right" vertical="center"/>
    </xf>
    <xf numFmtId="0" fontId="33" fillId="0" borderId="0" xfId="38" applyFont="1" applyAlignment="1">
      <alignment horizontal="left"/>
    </xf>
    <xf numFmtId="0" fontId="12" fillId="0" borderId="0" xfId="32" applyFont="1" applyAlignment="1"/>
    <xf numFmtId="0" fontId="12" fillId="0" borderId="0" xfId="32" applyFont="1" applyAlignment="1">
      <alignment horizontal="right"/>
    </xf>
    <xf numFmtId="0" fontId="1" fillId="7" borderId="5" xfId="26" applyFont="1" applyFill="1" applyBorder="1" applyAlignment="1">
      <alignment horizontal="left" vertical="center"/>
    </xf>
    <xf numFmtId="0" fontId="1" fillId="7" borderId="5" xfId="26" applyFont="1" applyFill="1" applyBorder="1">
      <alignment vertical="center"/>
    </xf>
    <xf numFmtId="0" fontId="1" fillId="9" borderId="5" xfId="25" applyFont="1" applyFill="1" applyBorder="1" applyAlignment="1">
      <alignment horizontal="left" vertical="center"/>
    </xf>
    <xf numFmtId="0" fontId="1" fillId="0" borderId="5" xfId="25" applyFont="1" applyBorder="1">
      <alignment vertical="center"/>
    </xf>
    <xf numFmtId="0" fontId="1" fillId="7" borderId="5" xfId="25" applyFont="1" applyFill="1" applyBorder="1" applyAlignment="1">
      <alignment vertical="center" wrapText="1"/>
    </xf>
    <xf numFmtId="0" fontId="1" fillId="0" borderId="5" xfId="25" applyFont="1" applyBorder="1" applyAlignment="1">
      <alignment vertical="center" wrapText="1"/>
    </xf>
    <xf numFmtId="179" fontId="1" fillId="6" borderId="5" xfId="16" applyNumberFormat="1" applyFont="1" applyFill="1" applyBorder="1" applyAlignment="1">
      <alignment vertical="center"/>
    </xf>
    <xf numFmtId="179" fontId="1" fillId="6" borderId="11" xfId="16" applyNumberFormat="1" applyFont="1" applyFill="1" applyBorder="1" applyAlignment="1">
      <alignment vertical="center"/>
    </xf>
    <xf numFmtId="0" fontId="1" fillId="7" borderId="5" xfId="26" applyFont="1" applyFill="1" applyBorder="1" applyAlignment="1">
      <alignment horizontal="center" vertical="center"/>
    </xf>
    <xf numFmtId="0" fontId="1" fillId="7" borderId="11" xfId="26" applyFont="1" applyFill="1" applyBorder="1" applyAlignment="1">
      <alignment horizontal="center" vertical="center"/>
    </xf>
    <xf numFmtId="0" fontId="1" fillId="7" borderId="11" xfId="26" applyFont="1" applyFill="1" applyBorder="1">
      <alignment vertical="center"/>
    </xf>
    <xf numFmtId="41" fontId="1" fillId="0" borderId="0" xfId="16" applyFont="1" applyBorder="1" applyAlignment="1">
      <alignment horizontal="right" vertical="center"/>
    </xf>
    <xf numFmtId="0" fontId="19" fillId="0" borderId="1" xfId="16" applyNumberFormat="1" applyFont="1" applyFill="1" applyBorder="1" applyAlignment="1">
      <alignment horizontal="center" vertical="center"/>
    </xf>
    <xf numFmtId="184" fontId="18" fillId="0" borderId="1" xfId="2" applyNumberFormat="1" applyFont="1" applyFill="1" applyBorder="1" applyAlignment="1">
      <alignment horizontal="right" vertical="center"/>
    </xf>
    <xf numFmtId="183" fontId="17" fillId="7" borderId="1" xfId="38" applyNumberFormat="1" applyFont="1" applyFill="1" applyBorder="1">
      <alignment vertical="center"/>
    </xf>
    <xf numFmtId="183" fontId="18" fillId="0" borderId="1" xfId="38" applyNumberFormat="1" applyFont="1" applyBorder="1">
      <alignment vertical="center"/>
    </xf>
    <xf numFmtId="183" fontId="18" fillId="7" borderId="1" xfId="38" applyNumberFormat="1" applyFont="1" applyFill="1" applyBorder="1">
      <alignment vertical="center"/>
    </xf>
    <xf numFmtId="183" fontId="8" fillId="7" borderId="1" xfId="26" applyNumberFormat="1" applyFont="1" applyFill="1" applyBorder="1">
      <alignment vertical="center"/>
    </xf>
    <xf numFmtId="183" fontId="18" fillId="7" borderId="1" xfId="32" applyNumberFormat="1" applyFont="1" applyFill="1" applyBorder="1">
      <alignment vertical="center"/>
    </xf>
    <xf numFmtId="183" fontId="18" fillId="0" borderId="1" xfId="41" applyNumberFormat="1" applyFont="1" applyBorder="1" applyAlignment="1">
      <alignment horizontal="right" vertical="center" wrapText="1"/>
    </xf>
    <xf numFmtId="183" fontId="18" fillId="7" borderId="1" xfId="39" applyNumberFormat="1" applyFont="1" applyFill="1" applyBorder="1">
      <alignment vertical="center"/>
    </xf>
    <xf numFmtId="183" fontId="18" fillId="7" borderId="0" xfId="39" applyNumberFormat="1" applyFont="1" applyFill="1">
      <alignment vertical="center"/>
    </xf>
    <xf numFmtId="183" fontId="83" fillId="7" borderId="1" xfId="26" applyNumberFormat="1" applyFont="1" applyFill="1" applyBorder="1">
      <alignment vertical="center"/>
    </xf>
    <xf numFmtId="183" fontId="18" fillId="0" borderId="1" xfId="39" applyNumberFormat="1" applyFont="1" applyBorder="1">
      <alignment vertical="center"/>
    </xf>
    <xf numFmtId="183" fontId="18" fillId="7" borderId="1" xfId="16" applyNumberFormat="1" applyFont="1" applyFill="1" applyBorder="1">
      <alignment vertical="center"/>
    </xf>
    <xf numFmtId="183" fontId="18" fillId="0" borderId="1" xfId="16" applyNumberFormat="1" applyFont="1" applyBorder="1">
      <alignment vertical="center"/>
    </xf>
    <xf numFmtId="183" fontId="19" fillId="0" borderId="1" xfId="24" applyNumberFormat="1" applyFont="1" applyBorder="1">
      <alignment vertical="center"/>
    </xf>
    <xf numFmtId="183" fontId="19" fillId="7" borderId="1" xfId="24" applyNumberFormat="1" applyFont="1" applyFill="1" applyBorder="1">
      <alignment vertical="center"/>
    </xf>
    <xf numFmtId="183" fontId="8" fillId="7" borderId="1" xfId="24" applyNumberFormat="1" applyFont="1" applyFill="1" applyBorder="1">
      <alignment vertical="center"/>
    </xf>
    <xf numFmtId="183" fontId="19" fillId="0" borderId="1" xfId="24" applyNumberFormat="1" applyFont="1" applyFill="1" applyBorder="1">
      <alignment vertical="center"/>
    </xf>
    <xf numFmtId="183" fontId="19" fillId="0" borderId="1" xfId="26" applyNumberFormat="1" applyFont="1" applyBorder="1">
      <alignment vertical="center"/>
    </xf>
    <xf numFmtId="183" fontId="8" fillId="0" borderId="1" xfId="24" applyNumberFormat="1" applyFont="1" applyBorder="1">
      <alignment vertical="center"/>
    </xf>
    <xf numFmtId="0" fontId="17" fillId="7" borderId="1" xfId="38" applyFont="1" applyFill="1" applyBorder="1" applyAlignment="1">
      <alignment horizontal="center" vertical="center" shrinkToFit="1"/>
    </xf>
    <xf numFmtId="41" fontId="72" fillId="7" borderId="1" xfId="36" applyNumberFormat="1" applyFont="1" applyFill="1" applyBorder="1" applyAlignment="1">
      <alignment horizontal="center" vertical="center"/>
    </xf>
    <xf numFmtId="178" fontId="19" fillId="2" borderId="1" xfId="11" applyNumberFormat="1" applyFont="1" applyFill="1" applyBorder="1">
      <alignment vertical="center"/>
    </xf>
    <xf numFmtId="41" fontId="18" fillId="0" borderId="1" xfId="2" applyNumberFormat="1" applyFont="1" applyBorder="1">
      <alignment vertical="center"/>
    </xf>
    <xf numFmtId="178" fontId="18" fillId="0" borderId="1" xfId="2" applyNumberFormat="1" applyFont="1" applyBorder="1">
      <alignment vertical="center"/>
    </xf>
    <xf numFmtId="41" fontId="66" fillId="7" borderId="15" xfId="36" applyNumberFormat="1" applyFill="1" applyBorder="1" applyAlignment="1">
      <alignment horizontal="center" vertical="center"/>
    </xf>
    <xf numFmtId="41" fontId="66" fillId="7" borderId="1" xfId="36" applyNumberFormat="1" applyFill="1" applyBorder="1" applyAlignment="1">
      <alignment horizontal="center" vertical="center"/>
    </xf>
    <xf numFmtId="0" fontId="18" fillId="0" borderId="1" xfId="39" applyFont="1" applyBorder="1" applyAlignment="1">
      <alignment horizontal="center" vertical="center"/>
    </xf>
    <xf numFmtId="0" fontId="18" fillId="0" borderId="1" xfId="39" applyFont="1" applyBorder="1" applyAlignment="1">
      <alignment horizontal="left" vertical="center"/>
    </xf>
    <xf numFmtId="0" fontId="17" fillId="7" borderId="1" xfId="25" applyFont="1" applyFill="1" applyBorder="1" applyAlignment="1">
      <alignment horizontal="center" vertical="center"/>
    </xf>
    <xf numFmtId="0" fontId="8" fillId="7" borderId="1" xfId="26" applyFont="1" applyFill="1" applyBorder="1" applyAlignment="1">
      <alignment horizontal="center" vertical="center"/>
    </xf>
    <xf numFmtId="41" fontId="18" fillId="0" borderId="1" xfId="16" applyFont="1" applyFill="1" applyBorder="1" applyAlignment="1">
      <alignment vertical="center"/>
    </xf>
    <xf numFmtId="41" fontId="17" fillId="5" borderId="1" xfId="16" applyFont="1" applyFill="1" applyBorder="1" applyAlignment="1">
      <alignment vertical="center"/>
    </xf>
    <xf numFmtId="41" fontId="17" fillId="5" borderId="15" xfId="16" applyFont="1" applyFill="1" applyBorder="1" applyAlignment="1">
      <alignment vertical="center"/>
    </xf>
    <xf numFmtId="0" fontId="16" fillId="0" borderId="2" xfId="35" applyFont="1" applyBorder="1">
      <alignment vertical="center"/>
    </xf>
    <xf numFmtId="41" fontId="19" fillId="9" borderId="1" xfId="16" applyFont="1" applyFill="1" applyBorder="1" applyAlignment="1">
      <alignment horizontal="center" vertical="center"/>
    </xf>
    <xf numFmtId="41" fontId="19" fillId="9" borderId="73" xfId="16" applyFont="1" applyFill="1" applyBorder="1" applyAlignment="1">
      <alignment horizontal="center" vertical="center"/>
    </xf>
    <xf numFmtId="41" fontId="19" fillId="0" borderId="73" xfId="16" applyFont="1" applyBorder="1" applyAlignment="1">
      <alignment horizontal="center" vertical="center"/>
    </xf>
    <xf numFmtId="41" fontId="19" fillId="0" borderId="1" xfId="16" applyFont="1" applyBorder="1">
      <alignment vertical="center"/>
    </xf>
    <xf numFmtId="41" fontId="19" fillId="0" borderId="73" xfId="16" applyFont="1" applyBorder="1">
      <alignment vertical="center"/>
    </xf>
    <xf numFmtId="41" fontId="19" fillId="7" borderId="1" xfId="16" applyFont="1" applyFill="1" applyBorder="1" applyAlignment="1">
      <alignment vertical="center"/>
    </xf>
    <xf numFmtId="41" fontId="19" fillId="7" borderId="73" xfId="16" applyFont="1" applyFill="1" applyBorder="1" applyAlignment="1">
      <alignment horizontal="center" vertical="center"/>
    </xf>
    <xf numFmtId="41" fontId="19" fillId="7" borderId="1" xfId="16" applyFont="1" applyFill="1" applyBorder="1">
      <alignment vertical="center"/>
    </xf>
    <xf numFmtId="41" fontId="19" fillId="0" borderId="1" xfId="16" applyFont="1" applyFill="1" applyBorder="1">
      <alignment vertical="center"/>
    </xf>
    <xf numFmtId="41" fontId="19" fillId="0" borderId="73" xfId="16" applyFont="1" applyFill="1" applyBorder="1">
      <alignment vertical="center"/>
    </xf>
    <xf numFmtId="178" fontId="19" fillId="0" borderId="1" xfId="16" applyNumberFormat="1" applyFont="1" applyBorder="1">
      <alignment vertical="center"/>
    </xf>
    <xf numFmtId="179" fontId="19" fillId="6" borderId="5" xfId="16" applyNumberFormat="1" applyFont="1" applyFill="1" applyBorder="1" applyAlignment="1">
      <alignment vertical="center"/>
    </xf>
    <xf numFmtId="179" fontId="19" fillId="6" borderId="11" xfId="16" applyNumberFormat="1" applyFont="1" applyFill="1" applyBorder="1" applyAlignment="1">
      <alignment vertical="center"/>
    </xf>
    <xf numFmtId="179" fontId="19" fillId="6" borderId="11" xfId="16" applyNumberFormat="1" applyFont="1" applyFill="1" applyBorder="1" applyAlignment="1">
      <alignment horizontal="center" vertical="center"/>
    </xf>
    <xf numFmtId="179" fontId="18" fillId="6" borderId="11" xfId="16" applyNumberFormat="1" applyFont="1" applyFill="1" applyBorder="1" applyAlignment="1">
      <alignment horizontal="center" vertical="center"/>
    </xf>
    <xf numFmtId="179" fontId="18" fillId="6" borderId="5" xfId="16" applyNumberFormat="1" applyFont="1" applyFill="1" applyBorder="1" applyAlignment="1">
      <alignment horizontal="right" vertical="center"/>
    </xf>
    <xf numFmtId="179" fontId="19" fillId="6" borderId="5" xfId="16" applyNumberFormat="1" applyFont="1" applyFill="1" applyBorder="1" applyAlignment="1">
      <alignment horizontal="right" vertical="center"/>
    </xf>
    <xf numFmtId="41" fontId="19" fillId="2" borderId="15" xfId="16" applyFont="1" applyFill="1" applyBorder="1" applyAlignment="1">
      <alignment horizontal="right" vertical="center"/>
    </xf>
    <xf numFmtId="41" fontId="19" fillId="2" borderId="15" xfId="23" applyFont="1" applyFill="1" applyBorder="1">
      <alignment vertical="center"/>
    </xf>
    <xf numFmtId="183" fontId="84" fillId="0" borderId="1" xfId="26" applyNumberFormat="1" applyFont="1" applyBorder="1">
      <alignment vertical="center"/>
    </xf>
    <xf numFmtId="0" fontId="18" fillId="0" borderId="5" xfId="38" applyFont="1" applyBorder="1">
      <alignment vertical="center"/>
    </xf>
    <xf numFmtId="0" fontId="19" fillId="7" borderId="5" xfId="38" applyFont="1" applyFill="1" applyBorder="1" applyAlignment="1">
      <alignment horizontal="center" vertical="center"/>
    </xf>
    <xf numFmtId="0" fontId="19" fillId="7" borderId="1" xfId="34" applyFont="1" applyFill="1" applyBorder="1" applyAlignment="1">
      <alignment horizontal="center" vertical="center"/>
    </xf>
    <xf numFmtId="0" fontId="19" fillId="7" borderId="1" xfId="26" applyFont="1" applyFill="1" applyBorder="1" applyAlignment="1">
      <alignment horizontal="left" vertical="center"/>
    </xf>
    <xf numFmtId="41" fontId="19" fillId="0" borderId="1" xfId="16" applyFont="1" applyFill="1" applyBorder="1" applyAlignment="1">
      <alignment horizontal="center" vertical="center"/>
    </xf>
    <xf numFmtId="183" fontId="33" fillId="9" borderId="1" xfId="16" applyNumberFormat="1" applyFont="1" applyFill="1" applyBorder="1" applyAlignment="1">
      <alignment horizontal="right" vertical="center"/>
    </xf>
    <xf numFmtId="183" fontId="18" fillId="0" borderId="1" xfId="16" applyNumberFormat="1" applyFont="1" applyFill="1" applyBorder="1" applyAlignment="1">
      <alignment horizontal="right" vertical="center"/>
    </xf>
    <xf numFmtId="183" fontId="33" fillId="9" borderId="8" xfId="16" applyNumberFormat="1" applyFont="1" applyFill="1" applyBorder="1" applyAlignment="1">
      <alignment horizontal="right" vertical="center"/>
    </xf>
    <xf numFmtId="183" fontId="29" fillId="0" borderId="0" xfId="39" applyNumberFormat="1" applyFont="1">
      <alignment vertical="center"/>
    </xf>
    <xf numFmtId="183" fontId="18" fillId="0" borderId="0" xfId="39" applyNumberFormat="1" applyFont="1">
      <alignment vertical="center"/>
    </xf>
    <xf numFmtId="190" fontId="29" fillId="0" borderId="0" xfId="39" applyNumberFormat="1" applyFont="1">
      <alignment vertical="center"/>
    </xf>
    <xf numFmtId="41" fontId="17" fillId="7" borderId="1" xfId="16" applyFont="1" applyFill="1" applyBorder="1" applyAlignment="1">
      <alignment horizontal="center" vertical="center"/>
    </xf>
    <xf numFmtId="179" fontId="35" fillId="0" borderId="1" xfId="40" applyNumberFormat="1" applyFont="1" applyBorder="1" applyAlignment="1">
      <alignment vertical="center"/>
    </xf>
    <xf numFmtId="183" fontId="35" fillId="0" borderId="1" xfId="32" applyNumberFormat="1" applyFont="1" applyBorder="1">
      <alignment vertical="center"/>
    </xf>
    <xf numFmtId="184" fontId="18" fillId="0" borderId="1" xfId="2" applyNumberFormat="1" applyFont="1" applyBorder="1" applyAlignment="1">
      <alignment vertical="center"/>
    </xf>
    <xf numFmtId="183" fontId="35" fillId="0" borderId="11" xfId="32" applyNumberFormat="1" applyFont="1" applyBorder="1">
      <alignment vertical="center"/>
    </xf>
    <xf numFmtId="183" fontId="35" fillId="0" borderId="9" xfId="32" applyNumberFormat="1" applyFont="1" applyBorder="1">
      <alignment vertical="center"/>
    </xf>
    <xf numFmtId="184" fontId="18" fillId="0" borderId="74" xfId="32" applyNumberFormat="1" applyFont="1" applyBorder="1">
      <alignment vertical="center"/>
    </xf>
    <xf numFmtId="179" fontId="33" fillId="0" borderId="5" xfId="40" applyNumberFormat="1" applyFont="1" applyBorder="1" applyAlignment="1">
      <alignment horizontal="center" vertical="center"/>
    </xf>
    <xf numFmtId="183" fontId="35" fillId="0" borderId="11" xfId="40" applyNumberFormat="1" applyFont="1" applyBorder="1" applyAlignment="1">
      <alignment vertical="center"/>
    </xf>
    <xf numFmtId="0" fontId="33" fillId="0" borderId="1" xfId="32" applyFont="1" applyBorder="1">
      <alignment vertical="center"/>
    </xf>
    <xf numFmtId="0" fontId="33" fillId="5" borderId="1" xfId="32" applyFont="1" applyFill="1" applyBorder="1">
      <alignment vertical="center"/>
    </xf>
    <xf numFmtId="0" fontId="8" fillId="7" borderId="5" xfId="26" applyFont="1" applyFill="1" applyBorder="1" applyAlignment="1">
      <alignment horizontal="center" vertical="center"/>
    </xf>
    <xf numFmtId="41" fontId="16" fillId="0" borderId="0" xfId="11" applyFont="1">
      <alignment vertical="center"/>
    </xf>
    <xf numFmtId="41" fontId="18" fillId="0" borderId="0" xfId="11" applyFont="1">
      <alignment vertical="center"/>
    </xf>
    <xf numFmtId="0" fontId="16" fillId="0" borderId="0" xfId="39" applyFont="1">
      <alignment vertical="center"/>
    </xf>
    <xf numFmtId="41" fontId="16" fillId="0" borderId="0" xfId="39" applyNumberFormat="1" applyFont="1">
      <alignment vertical="center"/>
    </xf>
    <xf numFmtId="191" fontId="16" fillId="0" borderId="0" xfId="39" applyNumberFormat="1" applyFont="1">
      <alignment vertical="center"/>
    </xf>
    <xf numFmtId="183" fontId="16" fillId="0" borderId="0" xfId="39" applyNumberFormat="1" applyFont="1">
      <alignment vertical="center"/>
    </xf>
    <xf numFmtId="0" fontId="16" fillId="0" borderId="1" xfId="38" applyFont="1" applyBorder="1" applyAlignment="1">
      <alignment horizontal="left" vertical="center" shrinkToFit="1"/>
    </xf>
    <xf numFmtId="0" fontId="16" fillId="0" borderId="5" xfId="26" applyFont="1" applyBorder="1" applyAlignment="1">
      <alignment horizontal="left" vertical="center"/>
    </xf>
    <xf numFmtId="0" fontId="15" fillId="7" borderId="5" xfId="26" applyFont="1" applyFill="1" applyBorder="1" applyAlignment="1">
      <alignment horizontal="left" vertical="center"/>
    </xf>
    <xf numFmtId="0" fontId="72" fillId="0" borderId="7" xfId="25" applyFont="1" applyBorder="1" applyAlignment="1">
      <alignment horizontal="center" vertical="center" wrapText="1"/>
    </xf>
    <xf numFmtId="0" fontId="72" fillId="0" borderId="13" xfId="25" applyFont="1" applyBorder="1" applyAlignment="1">
      <alignment horizontal="center" vertical="center"/>
    </xf>
    <xf numFmtId="0" fontId="72" fillId="0" borderId="8" xfId="25" applyFont="1" applyBorder="1" applyAlignment="1">
      <alignment horizontal="center" vertical="center"/>
    </xf>
    <xf numFmtId="0" fontId="72" fillId="0" borderId="16" xfId="25" applyFont="1" applyBorder="1" applyAlignment="1">
      <alignment horizontal="center" vertical="center"/>
    </xf>
    <xf numFmtId="0" fontId="69" fillId="0" borderId="0" xfId="31" applyFont="1">
      <alignment vertical="center"/>
    </xf>
    <xf numFmtId="0" fontId="69" fillId="0" borderId="17" xfId="31" applyFont="1" applyBorder="1">
      <alignment vertical="center"/>
    </xf>
    <xf numFmtId="0" fontId="69" fillId="0" borderId="18" xfId="31" applyFont="1" applyBorder="1">
      <alignment vertical="center"/>
    </xf>
    <xf numFmtId="0" fontId="69" fillId="0" borderId="19" xfId="31" applyFont="1" applyBorder="1">
      <alignment vertical="center"/>
    </xf>
    <xf numFmtId="0" fontId="85" fillId="0" borderId="19" xfId="31" applyFont="1" applyBorder="1">
      <alignment vertical="center"/>
    </xf>
    <xf numFmtId="0" fontId="69" fillId="0" borderId="20" xfId="31" applyFont="1" applyBorder="1">
      <alignment vertical="center"/>
    </xf>
    <xf numFmtId="0" fontId="69" fillId="0" borderId="21" xfId="31" applyFont="1" applyBorder="1">
      <alignment vertical="center"/>
    </xf>
    <xf numFmtId="0" fontId="69" fillId="0" borderId="22" xfId="31" applyFont="1" applyBorder="1">
      <alignment vertical="center"/>
    </xf>
    <xf numFmtId="0" fontId="86" fillId="0" borderId="22" xfId="32" applyFont="1" applyBorder="1" applyAlignment="1">
      <alignment horizontal="center" vertical="center"/>
    </xf>
    <xf numFmtId="0" fontId="87" fillId="0" borderId="0" xfId="32" applyFont="1">
      <alignment vertical="center"/>
    </xf>
    <xf numFmtId="0" fontId="69" fillId="0" borderId="0" xfId="31" applyFont="1" applyAlignment="1">
      <alignment horizontal="left" vertical="center"/>
    </xf>
    <xf numFmtId="0" fontId="88" fillId="0" borderId="0" xfId="31" applyFont="1" applyAlignment="1">
      <alignment horizontal="left" vertical="center"/>
    </xf>
    <xf numFmtId="0" fontId="69" fillId="0" borderId="21" xfId="31" applyFont="1" applyBorder="1" applyAlignment="1">
      <alignment horizontal="left" vertical="center"/>
    </xf>
    <xf numFmtId="0" fontId="89" fillId="0" borderId="0" xfId="42" applyFont="1" applyBorder="1" applyAlignment="1" applyProtection="1">
      <alignment horizontal="left" vertical="center"/>
    </xf>
    <xf numFmtId="0" fontId="88" fillId="0" borderId="21" xfId="31" applyFont="1" applyBorder="1" applyAlignment="1">
      <alignment horizontal="left" vertical="center"/>
    </xf>
    <xf numFmtId="0" fontId="89" fillId="0" borderId="0" xfId="42" applyFont="1" applyBorder="1" applyAlignment="1" applyProtection="1">
      <alignment vertical="center"/>
    </xf>
    <xf numFmtId="0" fontId="90" fillId="0" borderId="0" xfId="42" applyFont="1" applyBorder="1" applyAlignment="1" applyProtection="1">
      <alignment horizontal="left" vertical="center"/>
    </xf>
    <xf numFmtId="0" fontId="89" fillId="0" borderId="0" xfId="42" applyFont="1" applyFill="1" applyBorder="1" applyAlignment="1" applyProtection="1">
      <alignment vertical="center"/>
    </xf>
    <xf numFmtId="0" fontId="69" fillId="0" borderId="23" xfId="31" applyFont="1" applyBorder="1">
      <alignment vertical="center"/>
    </xf>
    <xf numFmtId="0" fontId="69" fillId="0" borderId="24" xfId="31" applyFont="1" applyBorder="1">
      <alignment vertical="center"/>
    </xf>
    <xf numFmtId="0" fontId="69" fillId="0" borderId="24" xfId="31" applyFont="1" applyBorder="1" applyAlignment="1">
      <alignment horizontal="left" vertical="center"/>
    </xf>
    <xf numFmtId="0" fontId="69" fillId="0" borderId="25" xfId="31" applyFont="1" applyBorder="1">
      <alignment vertical="center"/>
    </xf>
    <xf numFmtId="41" fontId="29" fillId="0" borderId="0" xfId="39" applyNumberFormat="1" applyFont="1">
      <alignment vertical="center"/>
    </xf>
    <xf numFmtId="0" fontId="18" fillId="0" borderId="0" xfId="32" applyFont="1" applyAlignment="1">
      <alignment vertical="center" wrapText="1"/>
    </xf>
    <xf numFmtId="41" fontId="8" fillId="0" borderId="0" xfId="16" applyFont="1" applyFill="1" applyBorder="1" applyAlignment="1">
      <alignment vertical="center" wrapText="1"/>
    </xf>
    <xf numFmtId="0" fontId="35" fillId="0" borderId="0" xfId="32" applyFont="1" applyAlignment="1">
      <alignment vertical="center" wrapText="1"/>
    </xf>
    <xf numFmtId="0" fontId="91" fillId="0" borderId="0" xfId="37" applyFont="1" applyAlignment="1">
      <alignment horizontal="center" vertical="center"/>
    </xf>
    <xf numFmtId="0" fontId="66" fillId="0" borderId="5" xfId="25" applyBorder="1">
      <alignment vertical="center"/>
    </xf>
    <xf numFmtId="0" fontId="66" fillId="0" borderId="26" xfId="25" applyBorder="1">
      <alignment vertical="center"/>
    </xf>
    <xf numFmtId="0" fontId="66" fillId="0" borderId="14" xfId="25" applyBorder="1">
      <alignment vertical="center"/>
    </xf>
    <xf numFmtId="41" fontId="92" fillId="0" borderId="0" xfId="19" applyFont="1" applyFill="1" applyBorder="1" applyAlignment="1">
      <alignment horizontal="right" vertical="center"/>
    </xf>
    <xf numFmtId="0" fontId="92" fillId="0" borderId="0" xfId="25" applyFont="1" applyAlignment="1">
      <alignment horizontal="center" vertical="center"/>
    </xf>
    <xf numFmtId="0" fontId="92" fillId="0" borderId="0" xfId="25" applyFont="1" applyAlignment="1">
      <alignment shrinkToFit="1"/>
    </xf>
    <xf numFmtId="0" fontId="92" fillId="0" borderId="27" xfId="25" applyFont="1" applyBorder="1" applyAlignment="1">
      <alignment horizontal="center" vertical="center"/>
    </xf>
    <xf numFmtId="9" fontId="92" fillId="8" borderId="28" xfId="2" applyFont="1" applyFill="1" applyBorder="1" applyAlignment="1">
      <alignment horizontal="center" vertical="center"/>
    </xf>
    <xf numFmtId="0" fontId="92" fillId="0" borderId="0" xfId="25" applyFont="1" applyAlignment="1"/>
    <xf numFmtId="0" fontId="93" fillId="4" borderId="0" xfId="25" applyFont="1" applyFill="1">
      <alignment vertical="center"/>
    </xf>
    <xf numFmtId="0" fontId="92" fillId="0" borderId="29" xfId="25" applyFont="1" applyBorder="1" applyAlignment="1">
      <alignment horizontal="center" vertical="center"/>
    </xf>
    <xf numFmtId="0" fontId="92" fillId="0" borderId="30" xfId="25" applyFont="1" applyBorder="1" applyAlignment="1">
      <alignment horizontal="center" vertical="center"/>
    </xf>
    <xf numFmtId="0" fontId="92" fillId="0" borderId="31" xfId="25" applyFont="1" applyBorder="1" applyAlignment="1">
      <alignment horizontal="center" vertical="center"/>
    </xf>
    <xf numFmtId="0" fontId="92" fillId="0" borderId="11" xfId="25" applyFont="1" applyBorder="1" applyAlignment="1">
      <alignment horizontal="center" vertical="center"/>
    </xf>
    <xf numFmtId="183" fontId="92" fillId="8" borderId="1" xfId="25" applyNumberFormat="1" applyFont="1" applyFill="1" applyBorder="1">
      <alignment vertical="center"/>
    </xf>
    <xf numFmtId="183" fontId="92" fillId="8" borderId="5" xfId="25" applyNumberFormat="1" applyFont="1" applyFill="1" applyBorder="1">
      <alignment vertical="center"/>
    </xf>
    <xf numFmtId="38" fontId="92" fillId="8" borderId="1" xfId="25" applyNumberFormat="1" applyFont="1" applyFill="1" applyBorder="1">
      <alignment vertical="center"/>
    </xf>
    <xf numFmtId="38" fontId="92" fillId="8" borderId="5" xfId="25" applyNumberFormat="1" applyFont="1" applyFill="1" applyBorder="1">
      <alignment vertical="center"/>
    </xf>
    <xf numFmtId="0" fontId="92" fillId="0" borderId="32" xfId="25" applyFont="1" applyBorder="1" applyAlignment="1">
      <alignment horizontal="center" vertical="center"/>
    </xf>
    <xf numFmtId="38" fontId="92" fillId="8" borderId="33" xfId="25" applyNumberFormat="1" applyFont="1" applyFill="1" applyBorder="1">
      <alignment vertical="center"/>
    </xf>
    <xf numFmtId="38" fontId="92" fillId="8" borderId="34" xfId="25" applyNumberFormat="1" applyFont="1" applyFill="1" applyBorder="1">
      <alignment vertical="center"/>
    </xf>
    <xf numFmtId="0" fontId="94" fillId="11" borderId="29" xfId="25" applyFont="1" applyFill="1" applyBorder="1" applyAlignment="1">
      <alignment horizontal="center" vertical="center"/>
    </xf>
    <xf numFmtId="0" fontId="94" fillId="11" borderId="32" xfId="25" applyFont="1" applyFill="1" applyBorder="1" applyAlignment="1">
      <alignment horizontal="center" vertical="center"/>
    </xf>
    <xf numFmtId="6" fontId="92" fillId="0" borderId="33" xfId="25" applyNumberFormat="1" applyFont="1" applyBorder="1">
      <alignment vertical="center"/>
    </xf>
    <xf numFmtId="6" fontId="92" fillId="0" borderId="34" xfId="25" applyNumberFormat="1" applyFont="1" applyBorder="1">
      <alignment vertical="center"/>
    </xf>
    <xf numFmtId="9" fontId="92" fillId="0" borderId="33" xfId="25" applyNumberFormat="1" applyFont="1" applyBorder="1">
      <alignment vertical="center"/>
    </xf>
    <xf numFmtId="9" fontId="92" fillId="0" borderId="34" xfId="25" applyNumberFormat="1" applyFont="1" applyBorder="1">
      <alignment vertical="center"/>
    </xf>
    <xf numFmtId="0" fontId="20" fillId="0" borderId="0" xfId="42" applyFont="1" applyFill="1" applyBorder="1" applyAlignment="1" applyProtection="1">
      <alignment vertical="center"/>
    </xf>
    <xf numFmtId="0" fontId="18" fillId="0" borderId="35" xfId="32" applyFont="1" applyBorder="1" applyAlignment="1">
      <alignment vertical="center" wrapText="1"/>
    </xf>
    <xf numFmtId="0" fontId="20" fillId="0" borderId="0" xfId="38" applyFont="1" applyAlignment="1">
      <alignment horizontal="left" vertical="center"/>
    </xf>
    <xf numFmtId="41" fontId="17" fillId="7" borderId="7" xfId="16" applyFont="1" applyFill="1" applyBorder="1" applyAlignment="1">
      <alignment horizontal="center" vertical="center"/>
    </xf>
    <xf numFmtId="0" fontId="95" fillId="7" borderId="1" xfId="35" applyFont="1" applyFill="1" applyBorder="1" applyAlignment="1">
      <alignment horizontal="center" vertical="center"/>
    </xf>
    <xf numFmtId="0" fontId="18" fillId="7" borderId="5" xfId="32" applyFont="1" applyFill="1" applyBorder="1" applyAlignment="1">
      <alignment horizontal="center" vertical="center"/>
    </xf>
    <xf numFmtId="0" fontId="18" fillId="7" borderId="11" xfId="32" applyFont="1" applyFill="1" applyBorder="1" applyAlignment="1">
      <alignment horizontal="center" vertical="center"/>
    </xf>
    <xf numFmtId="0" fontId="95" fillId="7" borderId="5" xfId="35" applyFont="1" applyFill="1" applyBorder="1" applyAlignment="1">
      <alignment horizontal="center" vertical="center"/>
    </xf>
    <xf numFmtId="0" fontId="95" fillId="7" borderId="11" xfId="35" applyFont="1" applyFill="1" applyBorder="1" applyAlignment="1">
      <alignment horizontal="center" vertical="center"/>
    </xf>
    <xf numFmtId="9" fontId="18" fillId="8" borderId="69" xfId="2" applyFont="1" applyFill="1" applyBorder="1" applyAlignment="1">
      <alignment horizontal="right" vertical="center" shrinkToFit="1"/>
    </xf>
    <xf numFmtId="9" fontId="18" fillId="8" borderId="1" xfId="2" applyFont="1" applyFill="1" applyBorder="1" applyAlignment="1">
      <alignment horizontal="right" vertical="center" shrinkToFit="1"/>
    </xf>
    <xf numFmtId="9" fontId="18" fillId="8" borderId="71" xfId="2" applyFont="1" applyFill="1" applyBorder="1" applyAlignment="1">
      <alignment horizontal="right" vertical="center" shrinkToFit="1"/>
    </xf>
    <xf numFmtId="0" fontId="18" fillId="0" borderId="5" xfId="25" applyFont="1" applyBorder="1" applyAlignment="1">
      <alignment horizontal="left" vertical="center"/>
    </xf>
    <xf numFmtId="0" fontId="18" fillId="0" borderId="6" xfId="25" applyFont="1" applyBorder="1" applyAlignment="1">
      <alignment horizontal="left" vertical="center"/>
    </xf>
    <xf numFmtId="41" fontId="18" fillId="0" borderId="75" xfId="16" applyFont="1" applyFill="1" applyBorder="1" applyAlignment="1">
      <alignment horizontal="right" vertical="center" shrinkToFit="1"/>
    </xf>
    <xf numFmtId="0" fontId="17" fillId="2" borderId="1" xfId="38" applyFont="1" applyFill="1" applyBorder="1" applyAlignment="1">
      <alignment horizontal="center" vertical="center"/>
    </xf>
    <xf numFmtId="0" fontId="19" fillId="0" borderId="5" xfId="38" applyFont="1" applyBorder="1">
      <alignment vertical="center"/>
    </xf>
    <xf numFmtId="0" fontId="19" fillId="0" borderId="6" xfId="38" applyFont="1" applyBorder="1">
      <alignment vertical="center"/>
    </xf>
    <xf numFmtId="9" fontId="19" fillId="8" borderId="69" xfId="2" applyFont="1" applyFill="1" applyBorder="1" applyAlignment="1">
      <alignment horizontal="right" vertical="center" wrapText="1"/>
    </xf>
    <xf numFmtId="9" fontId="19" fillId="8" borderId="1" xfId="2" applyFont="1" applyFill="1" applyBorder="1" applyAlignment="1">
      <alignment horizontal="right" vertical="center" wrapText="1"/>
    </xf>
    <xf numFmtId="9" fontId="19" fillId="8" borderId="71" xfId="2" applyFont="1" applyFill="1" applyBorder="1" applyAlignment="1">
      <alignment horizontal="right" vertical="center" wrapText="1"/>
    </xf>
    <xf numFmtId="41" fontId="18" fillId="0" borderId="69" xfId="16" applyFont="1" applyFill="1" applyBorder="1" applyAlignment="1">
      <alignment horizontal="right" vertical="center" shrinkToFit="1"/>
    </xf>
    <xf numFmtId="41" fontId="18" fillId="0" borderId="1" xfId="16" applyFont="1" applyFill="1" applyBorder="1" applyAlignment="1">
      <alignment horizontal="right" vertical="center" shrinkToFit="1"/>
    </xf>
    <xf numFmtId="41" fontId="18" fillId="0" borderId="71" xfId="16" applyFont="1" applyFill="1" applyBorder="1" applyAlignment="1">
      <alignment horizontal="right" vertical="center" shrinkToFit="1"/>
    </xf>
    <xf numFmtId="41" fontId="18" fillId="0" borderId="76" xfId="16" applyFont="1" applyFill="1" applyBorder="1" applyAlignment="1">
      <alignment horizontal="right" vertical="center" shrinkToFit="1"/>
    </xf>
    <xf numFmtId="41" fontId="18" fillId="0" borderId="77" xfId="16" applyFont="1" applyFill="1" applyBorder="1" applyAlignment="1">
      <alignment horizontal="right" vertical="center" shrinkToFit="1"/>
    </xf>
    <xf numFmtId="41" fontId="18" fillId="0" borderId="78" xfId="16" applyFont="1" applyFill="1" applyBorder="1" applyAlignment="1">
      <alignment horizontal="right" vertical="center" shrinkToFit="1"/>
    </xf>
    <xf numFmtId="0" fontId="17" fillId="0" borderId="0" xfId="38" applyFont="1" applyAlignment="1">
      <alignment horizontal="left" vertical="center"/>
    </xf>
    <xf numFmtId="0" fontId="72" fillId="0" borderId="0" xfId="25" applyFont="1">
      <alignment vertical="center"/>
    </xf>
    <xf numFmtId="0" fontId="72" fillId="7" borderId="1" xfId="25" applyFont="1" applyFill="1" applyBorder="1" applyAlignment="1">
      <alignment horizontal="center" vertical="center"/>
    </xf>
    <xf numFmtId="0" fontId="96" fillId="7" borderId="1" xfId="25" applyFont="1" applyFill="1" applyBorder="1" applyAlignment="1">
      <alignment horizontal="center" vertical="center"/>
    </xf>
    <xf numFmtId="0" fontId="72" fillId="0" borderId="1" xfId="25" applyFont="1" applyBorder="1" applyAlignment="1">
      <alignment horizontal="left" vertical="center"/>
    </xf>
    <xf numFmtId="41" fontId="18" fillId="0" borderId="79" xfId="16" applyFont="1" applyFill="1" applyBorder="1" applyAlignment="1">
      <alignment horizontal="center" vertical="center" shrinkToFit="1"/>
    </xf>
    <xf numFmtId="176" fontId="18" fillId="0" borderId="1" xfId="16" applyNumberFormat="1" applyFont="1" applyFill="1" applyBorder="1" applyAlignment="1">
      <alignment horizontal="center" vertical="center" shrinkToFit="1"/>
    </xf>
    <xf numFmtId="0" fontId="72" fillId="0" borderId="1" xfId="25" applyFont="1" applyBorder="1" applyAlignment="1">
      <alignment horizontal="center" vertical="center"/>
    </xf>
    <xf numFmtId="41" fontId="96" fillId="5" borderId="1" xfId="16" applyFont="1" applyFill="1" applyBorder="1">
      <alignment vertical="center"/>
    </xf>
    <xf numFmtId="0" fontId="72" fillId="0" borderId="1" xfId="25" applyFont="1" applyBorder="1">
      <alignment vertical="center"/>
    </xf>
    <xf numFmtId="41" fontId="72" fillId="0" borderId="1" xfId="16" applyFont="1" applyFill="1" applyBorder="1">
      <alignment vertical="center"/>
    </xf>
    <xf numFmtId="0" fontId="96" fillId="0" borderId="1" xfId="25" applyFont="1" applyBorder="1">
      <alignment vertical="center"/>
    </xf>
    <xf numFmtId="41" fontId="8" fillId="5" borderId="1" xfId="16" applyFont="1" applyFill="1" applyBorder="1" applyAlignment="1">
      <alignment horizontal="center" vertical="center"/>
    </xf>
    <xf numFmtId="0" fontId="96" fillId="0" borderId="0" xfId="25" applyFont="1">
      <alignment vertical="center"/>
    </xf>
    <xf numFmtId="41" fontId="96" fillId="0" borderId="0" xfId="16" applyFont="1" applyFill="1" applyBorder="1">
      <alignment vertical="center"/>
    </xf>
    <xf numFmtId="41" fontId="8" fillId="0" borderId="0" xfId="16" applyFont="1" applyFill="1" applyBorder="1" applyAlignment="1">
      <alignment horizontal="center" vertical="center"/>
    </xf>
    <xf numFmtId="41" fontId="19" fillId="7" borderId="1" xfId="23" applyFont="1" applyFill="1" applyBorder="1" applyAlignment="1">
      <alignment horizontal="center" vertical="center"/>
    </xf>
    <xf numFmtId="177" fontId="19" fillId="7" borderId="1" xfId="23" applyNumberFormat="1" applyFont="1" applyFill="1" applyBorder="1" applyAlignment="1">
      <alignment horizontal="center" vertical="center"/>
    </xf>
    <xf numFmtId="0" fontId="37" fillId="7" borderId="1" xfId="26" applyFont="1" applyFill="1" applyBorder="1" applyAlignment="1">
      <alignment horizontal="center" vertical="center"/>
    </xf>
    <xf numFmtId="0" fontId="37" fillId="7" borderId="5" xfId="26" applyFont="1" applyFill="1" applyBorder="1" applyAlignment="1">
      <alignment horizontal="center" vertical="center"/>
    </xf>
    <xf numFmtId="0" fontId="37" fillId="7" borderId="36" xfId="26" applyFont="1" applyFill="1" applyBorder="1" applyAlignment="1">
      <alignment horizontal="center" vertical="center"/>
    </xf>
    <xf numFmtId="0" fontId="37" fillId="7" borderId="37" xfId="26" applyFont="1" applyFill="1" applyBorder="1" applyAlignment="1">
      <alignment horizontal="center" vertical="center"/>
    </xf>
    <xf numFmtId="0" fontId="37" fillId="7" borderId="11" xfId="26" applyFont="1" applyFill="1" applyBorder="1" applyAlignment="1">
      <alignment horizontal="center" vertical="center"/>
    </xf>
    <xf numFmtId="41" fontId="19" fillId="0" borderId="1" xfId="23" applyFont="1" applyBorder="1" applyAlignment="1">
      <alignment horizontal="left" vertical="center"/>
    </xf>
    <xf numFmtId="0" fontId="35" fillId="6" borderId="1" xfId="25" applyFont="1" applyFill="1" applyBorder="1" applyAlignment="1">
      <alignment horizontal="left" vertical="center"/>
    </xf>
    <xf numFmtId="0" fontId="35" fillId="6" borderId="1" xfId="25" applyFont="1" applyFill="1" applyBorder="1" applyAlignment="1">
      <alignment horizontal="center" vertical="center"/>
    </xf>
    <xf numFmtId="41" fontId="35" fillId="6" borderId="1" xfId="16" applyFont="1" applyFill="1" applyBorder="1" applyAlignment="1">
      <alignment horizontal="center" vertical="center"/>
    </xf>
    <xf numFmtId="41" fontId="35" fillId="6" borderId="5" xfId="16" applyFont="1" applyFill="1" applyBorder="1" applyAlignment="1">
      <alignment horizontal="center" vertical="center"/>
    </xf>
    <xf numFmtId="41" fontId="35" fillId="6" borderId="36" xfId="16" applyFont="1" applyFill="1" applyBorder="1" applyAlignment="1">
      <alignment horizontal="center" vertical="center"/>
    </xf>
    <xf numFmtId="41" fontId="35" fillId="6" borderId="37" xfId="16" applyFont="1" applyFill="1" applyBorder="1" applyAlignment="1">
      <alignment horizontal="center" vertical="center"/>
    </xf>
    <xf numFmtId="41" fontId="35" fillId="6" borderId="11" xfId="16" applyFont="1" applyFill="1" applyBorder="1" applyAlignment="1">
      <alignment horizontal="center" vertical="center"/>
    </xf>
    <xf numFmtId="0" fontId="37" fillId="9" borderId="1" xfId="25" applyFont="1" applyFill="1" applyBorder="1" applyAlignment="1">
      <alignment horizontal="left" vertical="center"/>
    </xf>
    <xf numFmtId="0" fontId="37" fillId="9" borderId="1" xfId="25" applyFont="1" applyFill="1" applyBorder="1" applyAlignment="1">
      <alignment horizontal="center" vertical="center"/>
    </xf>
    <xf numFmtId="41" fontId="37" fillId="9" borderId="1" xfId="16" applyFont="1" applyFill="1" applyBorder="1" applyAlignment="1">
      <alignment horizontal="center" vertical="center"/>
    </xf>
    <xf numFmtId="41" fontId="37" fillId="9" borderId="5" xfId="16" applyFont="1" applyFill="1" applyBorder="1" applyAlignment="1">
      <alignment horizontal="center" vertical="center"/>
    </xf>
    <xf numFmtId="41" fontId="37" fillId="9" borderId="36" xfId="16" applyFont="1" applyFill="1" applyBorder="1" applyAlignment="1">
      <alignment horizontal="center" vertical="center"/>
    </xf>
    <xf numFmtId="41" fontId="37" fillId="9" borderId="37" xfId="16" applyFont="1" applyFill="1" applyBorder="1" applyAlignment="1">
      <alignment horizontal="center" vertical="center"/>
    </xf>
    <xf numFmtId="41" fontId="37" fillId="9" borderId="11" xfId="16" applyFont="1" applyFill="1" applyBorder="1" applyAlignment="1">
      <alignment horizontal="center" vertical="center"/>
    </xf>
    <xf numFmtId="0" fontId="35" fillId="0" borderId="1" xfId="32" applyFont="1" applyBorder="1" applyAlignment="1">
      <alignment horizontal="left" vertical="center"/>
    </xf>
    <xf numFmtId="0" fontId="37" fillId="0" borderId="1" xfId="25" applyFont="1" applyBorder="1" applyAlignment="1">
      <alignment horizontal="center" vertical="center"/>
    </xf>
    <xf numFmtId="41" fontId="37" fillId="0" borderId="1" xfId="16" applyFont="1" applyBorder="1" applyAlignment="1">
      <alignment horizontal="center" vertical="center"/>
    </xf>
    <xf numFmtId="41" fontId="37" fillId="0" borderId="5" xfId="16" applyFont="1" applyBorder="1" applyAlignment="1">
      <alignment horizontal="center" vertical="center"/>
    </xf>
    <xf numFmtId="0" fontId="19" fillId="7" borderId="1" xfId="26" applyFont="1" applyFill="1" applyBorder="1" applyAlignment="1">
      <alignment horizontal="left" vertical="center" wrapText="1"/>
    </xf>
    <xf numFmtId="0" fontId="37" fillId="0" borderId="1" xfId="25" applyFont="1" applyBorder="1" applyAlignment="1">
      <alignment horizontal="left" vertical="center"/>
    </xf>
    <xf numFmtId="41" fontId="37" fillId="0" borderId="1" xfId="16" applyFont="1" applyBorder="1">
      <alignment vertical="center"/>
    </xf>
    <xf numFmtId="41" fontId="37" fillId="0" borderId="5" xfId="16" applyFont="1" applyBorder="1">
      <alignment vertical="center"/>
    </xf>
    <xf numFmtId="41" fontId="37" fillId="0" borderId="36" xfId="16" applyFont="1" applyBorder="1">
      <alignment vertical="center"/>
    </xf>
    <xf numFmtId="41" fontId="37" fillId="0" borderId="37" xfId="16" applyFont="1" applyBorder="1">
      <alignment vertical="center"/>
    </xf>
    <xf numFmtId="41" fontId="37" fillId="0" borderId="11" xfId="16" applyFont="1" applyBorder="1">
      <alignment vertical="center"/>
    </xf>
    <xf numFmtId="41" fontId="19" fillId="6" borderId="1" xfId="16" applyFont="1" applyFill="1" applyBorder="1" applyAlignment="1">
      <alignment horizontal="right" vertical="center"/>
    </xf>
    <xf numFmtId="41" fontId="19" fillId="0" borderId="1" xfId="16" applyFont="1" applyFill="1" applyBorder="1" applyAlignment="1">
      <alignment horizontal="right" vertical="center"/>
    </xf>
    <xf numFmtId="9" fontId="37" fillId="0" borderId="1" xfId="16" applyNumberFormat="1" applyFont="1" applyBorder="1">
      <alignment vertical="center"/>
    </xf>
    <xf numFmtId="9" fontId="37" fillId="0" borderId="5" xfId="16" applyNumberFormat="1" applyFont="1" applyBorder="1">
      <alignment vertical="center"/>
    </xf>
    <xf numFmtId="9" fontId="37" fillId="0" borderId="36" xfId="16" applyNumberFormat="1" applyFont="1" applyBorder="1">
      <alignment vertical="center"/>
    </xf>
    <xf numFmtId="9" fontId="37" fillId="0" borderId="37" xfId="16" applyNumberFormat="1" applyFont="1" applyBorder="1">
      <alignment vertical="center"/>
    </xf>
    <xf numFmtId="9" fontId="37" fillId="0" borderId="11" xfId="16" applyNumberFormat="1" applyFont="1" applyBorder="1">
      <alignment vertical="center"/>
    </xf>
    <xf numFmtId="176" fontId="19" fillId="2" borderId="1" xfId="23" applyNumberFormat="1" applyFont="1" applyFill="1" applyBorder="1" applyAlignment="1">
      <alignment horizontal="center" vertical="center"/>
    </xf>
    <xf numFmtId="0" fontId="37" fillId="7" borderId="1" xfId="25" applyFont="1" applyFill="1" applyBorder="1" applyAlignment="1">
      <alignment horizontal="left" vertical="center"/>
    </xf>
    <xf numFmtId="0" fontId="37" fillId="7" borderId="1" xfId="25" applyFont="1" applyFill="1" applyBorder="1" applyAlignment="1">
      <alignment horizontal="center" vertical="center"/>
    </xf>
    <xf numFmtId="41" fontId="37" fillId="7" borderId="1" xfId="16" applyFont="1" applyFill="1" applyBorder="1" applyAlignment="1">
      <alignment vertical="center"/>
    </xf>
    <xf numFmtId="41" fontId="37" fillId="7" borderId="5" xfId="16" applyFont="1" applyFill="1" applyBorder="1" applyAlignment="1">
      <alignment horizontal="center" vertical="center"/>
    </xf>
    <xf numFmtId="41" fontId="37" fillId="7" borderId="36" xfId="16" applyFont="1" applyFill="1" applyBorder="1" applyAlignment="1">
      <alignment vertical="center"/>
    </xf>
    <xf numFmtId="41" fontId="37" fillId="7" borderId="37" xfId="16" applyFont="1" applyFill="1" applyBorder="1" applyAlignment="1">
      <alignment horizontal="center" vertical="center"/>
    </xf>
    <xf numFmtId="41" fontId="37" fillId="7" borderId="11" xfId="16" applyFont="1" applyFill="1" applyBorder="1" applyAlignment="1">
      <alignment vertical="center"/>
    </xf>
    <xf numFmtId="41" fontId="37" fillId="7" borderId="1" xfId="16" applyFont="1" applyFill="1" applyBorder="1" applyAlignment="1">
      <alignment horizontal="center" vertical="center"/>
    </xf>
    <xf numFmtId="41" fontId="37" fillId="7" borderId="1" xfId="16" applyFont="1" applyFill="1" applyBorder="1" applyAlignment="1">
      <alignment horizontal="right" vertical="center"/>
    </xf>
    <xf numFmtId="41" fontId="37" fillId="7" borderId="36" xfId="16" applyFont="1" applyFill="1" applyBorder="1" applyAlignment="1">
      <alignment horizontal="center" vertical="center"/>
    </xf>
    <xf numFmtId="41" fontId="37" fillId="7" borderId="11" xfId="16" applyFont="1" applyFill="1" applyBorder="1" applyAlignment="1">
      <alignment horizontal="center" vertical="center"/>
    </xf>
    <xf numFmtId="41" fontId="37" fillId="0" borderId="37" xfId="16" applyFont="1" applyBorder="1" applyAlignment="1">
      <alignment horizontal="center" vertical="center"/>
    </xf>
    <xf numFmtId="41" fontId="37" fillId="7" borderId="1" xfId="16" applyFont="1" applyFill="1" applyBorder="1">
      <alignment vertical="center"/>
    </xf>
    <xf numFmtId="41" fontId="37" fillId="7" borderId="5" xfId="16" applyFont="1" applyFill="1" applyBorder="1">
      <alignment vertical="center"/>
    </xf>
    <xf numFmtId="41" fontId="37" fillId="7" borderId="36" xfId="16" applyFont="1" applyFill="1" applyBorder="1">
      <alignment vertical="center"/>
    </xf>
    <xf numFmtId="41" fontId="37" fillId="7" borderId="37" xfId="16" applyFont="1" applyFill="1" applyBorder="1">
      <alignment vertical="center"/>
    </xf>
    <xf numFmtId="41" fontId="37" fillId="7" borderId="11" xfId="16" applyFont="1" applyFill="1" applyBorder="1">
      <alignment vertical="center"/>
    </xf>
    <xf numFmtId="41" fontId="72" fillId="0" borderId="1" xfId="16" applyFont="1" applyBorder="1" applyAlignment="1">
      <alignment horizontal="center" vertical="center"/>
    </xf>
    <xf numFmtId="0" fontId="19" fillId="0" borderId="1" xfId="26" applyFont="1" applyBorder="1" applyAlignment="1">
      <alignment horizontal="left" vertical="center" wrapText="1"/>
    </xf>
    <xf numFmtId="41" fontId="72" fillId="0" borderId="1" xfId="16" applyFont="1" applyBorder="1" applyAlignment="1">
      <alignment horizontal="right" vertical="center"/>
    </xf>
    <xf numFmtId="41" fontId="37" fillId="7" borderId="15" xfId="16" applyFont="1" applyFill="1" applyBorder="1">
      <alignment vertical="center"/>
    </xf>
    <xf numFmtId="41" fontId="37" fillId="0" borderId="1" xfId="16" applyFont="1" applyFill="1" applyBorder="1">
      <alignment vertical="center"/>
    </xf>
    <xf numFmtId="41" fontId="37" fillId="0" borderId="5" xfId="16" applyFont="1" applyFill="1" applyBorder="1">
      <alignment vertical="center"/>
    </xf>
    <xf numFmtId="41" fontId="37" fillId="0" borderId="36" xfId="16" applyFont="1" applyFill="1" applyBorder="1">
      <alignment vertical="center"/>
    </xf>
    <xf numFmtId="41" fontId="37" fillId="0" borderId="37" xfId="16" applyFont="1" applyFill="1" applyBorder="1">
      <alignment vertical="center"/>
    </xf>
    <xf numFmtId="41" fontId="37" fillId="0" borderId="11" xfId="16" applyFont="1" applyFill="1" applyBorder="1">
      <alignment vertical="center"/>
    </xf>
    <xf numFmtId="0" fontId="19" fillId="0" borderId="1" xfId="26" applyFont="1" applyBorder="1" applyAlignment="1">
      <alignment horizontal="left" vertical="center"/>
    </xf>
    <xf numFmtId="41" fontId="37" fillId="7" borderId="36" xfId="16" applyFont="1" applyFill="1" applyBorder="1" applyAlignment="1">
      <alignment horizontal="right" vertical="center"/>
    </xf>
    <xf numFmtId="41" fontId="37" fillId="7" borderId="11" xfId="16" applyFont="1" applyFill="1" applyBorder="1" applyAlignment="1">
      <alignment horizontal="right" vertical="center"/>
    </xf>
    <xf numFmtId="41" fontId="37" fillId="7" borderId="5" xfId="16" applyFont="1" applyFill="1" applyBorder="1" applyAlignment="1">
      <alignment horizontal="right" vertical="center"/>
    </xf>
    <xf numFmtId="41" fontId="37" fillId="7" borderId="37" xfId="16" applyFont="1" applyFill="1" applyBorder="1" applyAlignment="1">
      <alignment horizontal="right" vertical="center"/>
    </xf>
    <xf numFmtId="41" fontId="72" fillId="7" borderId="1" xfId="16" applyFont="1" applyFill="1" applyBorder="1" applyAlignment="1">
      <alignment horizontal="right" vertical="center"/>
    </xf>
    <xf numFmtId="0" fontId="37" fillId="0" borderId="1" xfId="25" applyFont="1" applyBorder="1" applyAlignment="1">
      <alignment horizontal="left" vertical="center" wrapText="1"/>
    </xf>
    <xf numFmtId="41" fontId="19" fillId="0" borderId="0" xfId="16" applyFont="1" applyAlignment="1">
      <alignment horizontal="right" vertical="center"/>
    </xf>
    <xf numFmtId="0" fontId="37" fillId="6" borderId="1" xfId="25" applyFont="1" applyFill="1" applyBorder="1" applyAlignment="1">
      <alignment horizontal="left" vertical="center"/>
    </xf>
    <xf numFmtId="0" fontId="37" fillId="6" borderId="1" xfId="25" applyFont="1" applyFill="1" applyBorder="1" applyAlignment="1">
      <alignment horizontal="center" vertical="center"/>
    </xf>
    <xf numFmtId="41" fontId="37" fillId="6" borderId="1" xfId="16" applyFont="1" applyFill="1" applyBorder="1" applyAlignment="1">
      <alignment horizontal="center" vertical="center"/>
    </xf>
    <xf numFmtId="41" fontId="37" fillId="6" borderId="5" xfId="16" applyFont="1" applyFill="1" applyBorder="1" applyAlignment="1">
      <alignment horizontal="center" vertical="center"/>
    </xf>
    <xf numFmtId="41" fontId="37" fillId="6" borderId="36" xfId="16" applyFont="1" applyFill="1" applyBorder="1" applyAlignment="1">
      <alignment horizontal="center" vertical="center"/>
    </xf>
    <xf numFmtId="41" fontId="37" fillId="6" borderId="37" xfId="16" applyFont="1" applyFill="1" applyBorder="1" applyAlignment="1">
      <alignment horizontal="center" vertical="center"/>
    </xf>
    <xf numFmtId="41" fontId="37" fillId="6" borderId="11" xfId="16" applyFont="1" applyFill="1" applyBorder="1" applyAlignment="1">
      <alignment horizontal="center" vertical="center"/>
    </xf>
    <xf numFmtId="0" fontId="19" fillId="7" borderId="7" xfId="26" applyFont="1" applyFill="1" applyBorder="1" applyAlignment="1">
      <alignment horizontal="left" vertical="center"/>
    </xf>
    <xf numFmtId="186" fontId="18" fillId="0" borderId="0" xfId="32" applyNumberFormat="1" applyFont="1">
      <alignment vertical="center"/>
    </xf>
    <xf numFmtId="178" fontId="19" fillId="7" borderId="1" xfId="16" applyNumberFormat="1" applyFont="1" applyFill="1" applyBorder="1" applyAlignment="1">
      <alignment horizontal="right" vertical="center"/>
    </xf>
    <xf numFmtId="41" fontId="19" fillId="0" borderId="1" xfId="16" applyFont="1" applyBorder="1" applyAlignment="1">
      <alignment horizontal="right" vertical="center"/>
    </xf>
    <xf numFmtId="0" fontId="12" fillId="0" borderId="35" xfId="32" applyFont="1" applyBorder="1">
      <alignment vertical="center"/>
    </xf>
    <xf numFmtId="43" fontId="12" fillId="0" borderId="0" xfId="32" applyNumberFormat="1" applyFont="1">
      <alignment vertical="center"/>
    </xf>
    <xf numFmtId="0" fontId="18" fillId="0" borderId="0" xfId="32" applyFont="1" applyAlignment="1">
      <alignment horizontal="left" vertical="center" wrapText="1"/>
    </xf>
    <xf numFmtId="41" fontId="8" fillId="0" borderId="0" xfId="16" applyFont="1" applyFill="1" applyBorder="1" applyAlignment="1">
      <alignment horizontal="center" vertical="center" wrapText="1"/>
    </xf>
    <xf numFmtId="0" fontId="17" fillId="0" borderId="0" xfId="42" applyFont="1" applyFill="1" applyBorder="1" applyAlignment="1" applyProtection="1">
      <alignment horizontal="center" vertical="center"/>
    </xf>
    <xf numFmtId="41" fontId="18" fillId="0" borderId="0" xfId="16" applyFont="1" applyAlignment="1">
      <alignment horizontal="right" vertical="center"/>
    </xf>
    <xf numFmtId="0" fontId="17" fillId="0" borderId="0" xfId="38" applyFont="1" applyAlignment="1">
      <alignment horizontal="left" vertical="top"/>
    </xf>
    <xf numFmtId="0" fontId="18" fillId="0" borderId="0" xfId="32" applyFont="1" applyAlignment="1">
      <alignment vertical="top"/>
    </xf>
    <xf numFmtId="0" fontId="18" fillId="0" borderId="0" xfId="39" applyFont="1" applyAlignment="1">
      <alignment vertical="top"/>
    </xf>
    <xf numFmtId="41" fontId="18" fillId="0" borderId="0" xfId="16" applyFont="1" applyAlignment="1">
      <alignment horizontal="right" vertical="top"/>
    </xf>
    <xf numFmtId="0" fontId="97" fillId="0" borderId="1" xfId="25" applyFont="1" applyBorder="1" applyAlignment="1">
      <alignment horizontal="center" vertical="center"/>
    </xf>
    <xf numFmtId="41" fontId="17" fillId="0" borderId="1" xfId="16" applyFont="1" applyFill="1" applyBorder="1" applyAlignment="1">
      <alignment horizontal="center" vertical="center"/>
    </xf>
    <xf numFmtId="0" fontId="96" fillId="0" borderId="1" xfId="25" applyFont="1" applyBorder="1" applyAlignment="1">
      <alignment horizontal="center" vertical="center"/>
    </xf>
    <xf numFmtId="0" fontId="78" fillId="0" borderId="1" xfId="25" applyFont="1" applyBorder="1" applyAlignment="1">
      <alignment horizontal="center" vertical="center"/>
    </xf>
    <xf numFmtId="0" fontId="78" fillId="0" borderId="7" xfId="25" applyFont="1" applyBorder="1" applyAlignment="1">
      <alignment horizontal="center" vertical="center"/>
    </xf>
    <xf numFmtId="183" fontId="72" fillId="8" borderId="1" xfId="16" applyNumberFormat="1" applyFont="1" applyFill="1" applyBorder="1">
      <alignment vertical="center"/>
    </xf>
    <xf numFmtId="183" fontId="72" fillId="0" borderId="1" xfId="16" applyNumberFormat="1" applyFont="1" applyBorder="1">
      <alignment vertical="center"/>
    </xf>
    <xf numFmtId="183" fontId="18" fillId="0" borderId="1" xfId="16" applyNumberFormat="1" applyFont="1" applyFill="1" applyBorder="1">
      <alignment vertical="center"/>
    </xf>
    <xf numFmtId="183" fontId="72" fillId="8" borderId="1" xfId="25" applyNumberFormat="1" applyFont="1" applyFill="1" applyBorder="1">
      <alignment vertical="center"/>
    </xf>
    <xf numFmtId="0" fontId="97" fillId="7" borderId="1" xfId="25" applyFont="1" applyFill="1" applyBorder="1" applyAlignment="1">
      <alignment horizontal="center" vertical="center"/>
    </xf>
    <xf numFmtId="183" fontId="96" fillId="7" borderId="1" xfId="16" applyNumberFormat="1" applyFont="1" applyFill="1" applyBorder="1">
      <alignment vertical="center"/>
    </xf>
    <xf numFmtId="0" fontId="72" fillId="0" borderId="1" xfId="16" applyNumberFormat="1" applyFont="1" applyBorder="1" applyAlignment="1">
      <alignment horizontal="center" vertical="center"/>
    </xf>
    <xf numFmtId="183" fontId="97" fillId="8" borderId="1" xfId="16" applyNumberFormat="1" applyFont="1" applyFill="1" applyBorder="1">
      <alignment vertical="center"/>
    </xf>
    <xf numFmtId="179" fontId="18" fillId="8" borderId="1" xfId="16" applyNumberFormat="1" applyFont="1" applyFill="1" applyBorder="1" applyAlignment="1">
      <alignment horizontal="right" vertical="center"/>
    </xf>
    <xf numFmtId="183" fontId="72" fillId="0" borderId="1" xfId="16" applyNumberFormat="1" applyFont="1" applyFill="1" applyBorder="1">
      <alignment vertical="center"/>
    </xf>
    <xf numFmtId="0" fontId="50" fillId="0" borderId="0" xfId="32" applyFont="1">
      <alignment vertical="center"/>
    </xf>
    <xf numFmtId="41" fontId="18" fillId="0" borderId="0" xfId="16" applyFont="1" applyFill="1">
      <alignment vertical="center"/>
    </xf>
    <xf numFmtId="41" fontId="33" fillId="0" borderId="0" xfId="16" applyFont="1" applyFill="1" applyBorder="1" applyAlignment="1">
      <alignment horizontal="center" vertical="center" wrapText="1"/>
    </xf>
    <xf numFmtId="0" fontId="72" fillId="0" borderId="38" xfId="25" applyFont="1" applyBorder="1" applyAlignment="1">
      <alignment horizontal="center" vertical="center"/>
    </xf>
    <xf numFmtId="185" fontId="72" fillId="8" borderId="38" xfId="25" applyNumberFormat="1" applyFont="1" applyFill="1" applyBorder="1">
      <alignment vertical="center"/>
    </xf>
    <xf numFmtId="185" fontId="72" fillId="8" borderId="38" xfId="16" applyNumberFormat="1" applyFont="1" applyFill="1" applyBorder="1">
      <alignment vertical="center"/>
    </xf>
    <xf numFmtId="183" fontId="96" fillId="5" borderId="1" xfId="16" applyNumberFormat="1" applyFont="1" applyFill="1" applyBorder="1">
      <alignment vertical="center"/>
    </xf>
    <xf numFmtId="0" fontId="35" fillId="0" borderId="0" xfId="32" applyFont="1">
      <alignment vertical="center"/>
    </xf>
    <xf numFmtId="183" fontId="72" fillId="8" borderId="8" xfId="16" applyNumberFormat="1" applyFont="1" applyFill="1" applyBorder="1">
      <alignment vertical="center"/>
    </xf>
    <xf numFmtId="41" fontId="20" fillId="0" borderId="0" xfId="16" applyFont="1" applyFill="1" applyBorder="1" applyAlignment="1">
      <alignment horizontal="center" vertical="center" wrapText="1"/>
    </xf>
    <xf numFmtId="0" fontId="72" fillId="0" borderId="5" xfId="25" applyFont="1" applyBorder="1" applyAlignment="1">
      <alignment horizontal="center" vertical="center"/>
    </xf>
    <xf numFmtId="183" fontId="72" fillId="0" borderId="79" xfId="25" applyNumberFormat="1" applyFont="1" applyBorder="1">
      <alignment vertical="center"/>
    </xf>
    <xf numFmtId="41" fontId="72" fillId="8" borderId="1" xfId="16" applyFont="1" applyFill="1" applyBorder="1">
      <alignment vertical="center"/>
    </xf>
    <xf numFmtId="183" fontId="72" fillId="0" borderId="1" xfId="16" applyNumberFormat="1" applyFont="1" applyFill="1" applyBorder="1" applyAlignment="1">
      <alignment horizontal="center" vertical="center"/>
    </xf>
    <xf numFmtId="41" fontId="18" fillId="0" borderId="0" xfId="16" applyFont="1">
      <alignment vertical="center"/>
    </xf>
    <xf numFmtId="0" fontId="12" fillId="0" borderId="39" xfId="32" applyFont="1" applyBorder="1">
      <alignment vertical="center"/>
    </xf>
    <xf numFmtId="0" fontId="29" fillId="0" borderId="39" xfId="39" applyFont="1" applyBorder="1">
      <alignment vertical="center"/>
    </xf>
    <xf numFmtId="41" fontId="18" fillId="0" borderId="39" xfId="16" applyFont="1" applyFill="1" applyBorder="1">
      <alignment vertical="center"/>
    </xf>
    <xf numFmtId="41" fontId="29" fillId="0" borderId="39" xfId="16" applyFont="1" applyFill="1" applyBorder="1" applyAlignment="1">
      <alignment horizontal="right" vertical="center"/>
    </xf>
    <xf numFmtId="41" fontId="18" fillId="0" borderId="0" xfId="16" applyFont="1" applyFill="1" applyAlignment="1">
      <alignment horizontal="right" vertical="center"/>
    </xf>
    <xf numFmtId="183" fontId="18" fillId="8" borderId="1" xfId="16" applyNumberFormat="1" applyFont="1" applyFill="1" applyBorder="1" applyAlignment="1">
      <alignment horizontal="right" vertical="center"/>
    </xf>
    <xf numFmtId="41" fontId="18" fillId="0" borderId="1" xfId="16" applyFont="1" applyFill="1" applyBorder="1">
      <alignment vertical="center"/>
    </xf>
    <xf numFmtId="41" fontId="35" fillId="0" borderId="0" xfId="16" applyFont="1">
      <alignment vertical="center"/>
    </xf>
    <xf numFmtId="183" fontId="98" fillId="8" borderId="1" xfId="16" applyNumberFormat="1" applyFont="1" applyFill="1" applyBorder="1" applyAlignment="1">
      <alignment horizontal="right" vertical="center"/>
    </xf>
    <xf numFmtId="41" fontId="16" fillId="0" borderId="0" xfId="16" applyFont="1" applyAlignment="1">
      <alignment horizontal="right" vertical="center"/>
    </xf>
    <xf numFmtId="183" fontId="99" fillId="0" borderId="1" xfId="16" applyNumberFormat="1" applyFont="1" applyFill="1" applyBorder="1" applyAlignment="1">
      <alignment horizontal="right" vertical="center"/>
    </xf>
    <xf numFmtId="0" fontId="35" fillId="0" borderId="0" xfId="39" applyFont="1">
      <alignment vertical="center"/>
    </xf>
    <xf numFmtId="41" fontId="35" fillId="0" borderId="0" xfId="16" applyFont="1" applyAlignment="1">
      <alignment horizontal="right" vertical="center"/>
    </xf>
    <xf numFmtId="0" fontId="14" fillId="0" borderId="0" xfId="30" applyFont="1" applyAlignment="1">
      <alignment horizontal="left" vertical="center"/>
    </xf>
    <xf numFmtId="0" fontId="9" fillId="0" borderId="0" xfId="30" applyFont="1" applyAlignment="1">
      <alignment horizontal="left" vertical="center"/>
    </xf>
    <xf numFmtId="0" fontId="15" fillId="0" borderId="0" xfId="30" applyFont="1" applyAlignment="1">
      <alignment horizontal="left" vertical="center"/>
    </xf>
    <xf numFmtId="0" fontId="100" fillId="0" borderId="0" xfId="0" applyFont="1" applyAlignment="1">
      <alignment horizontal="left" vertical="center"/>
    </xf>
    <xf numFmtId="0" fontId="68" fillId="0" borderId="0" xfId="0" applyFont="1">
      <alignment vertical="center"/>
    </xf>
    <xf numFmtId="0" fontId="101" fillId="0" borderId="0" xfId="0" applyFont="1">
      <alignment vertical="center"/>
    </xf>
    <xf numFmtId="41" fontId="10" fillId="0" borderId="38" xfId="16" applyFont="1" applyFill="1" applyBorder="1" applyAlignment="1">
      <alignment horizontal="center" vertical="center"/>
    </xf>
    <xf numFmtId="0" fontId="102" fillId="0" borderId="0" xfId="0" applyFont="1" applyAlignment="1">
      <alignment horizontal="center" vertical="center" wrapText="1"/>
    </xf>
    <xf numFmtId="0" fontId="102" fillId="0" borderId="0" xfId="0" applyFont="1" applyAlignment="1">
      <alignment horizontal="center" vertical="center"/>
    </xf>
    <xf numFmtId="0" fontId="103" fillId="0" borderId="0" xfId="0" applyFont="1" applyAlignment="1">
      <alignment vertical="center" wrapText="1"/>
    </xf>
    <xf numFmtId="0" fontId="71" fillId="0" borderId="0" xfId="32" applyFont="1">
      <alignment vertical="center"/>
    </xf>
    <xf numFmtId="0" fontId="33" fillId="0" borderId="0" xfId="32" applyFont="1">
      <alignment vertical="center"/>
    </xf>
    <xf numFmtId="0" fontId="16" fillId="0" borderId="3" xfId="32" applyFont="1" applyBorder="1">
      <alignment vertical="center"/>
    </xf>
    <xf numFmtId="0" fontId="17" fillId="3" borderId="1" xfId="32" applyFont="1" applyFill="1" applyBorder="1" applyAlignment="1">
      <alignment horizontal="center" vertical="center"/>
    </xf>
    <xf numFmtId="0" fontId="18" fillId="3" borderId="1" xfId="32" applyFont="1" applyFill="1" applyBorder="1" applyAlignment="1">
      <alignment horizontal="center" vertical="center"/>
    </xf>
    <xf numFmtId="0" fontId="1" fillId="0" borderId="0" xfId="25" applyFont="1">
      <alignment vertical="center"/>
    </xf>
    <xf numFmtId="41" fontId="12" fillId="0" borderId="1" xfId="21" applyFont="1" applyBorder="1">
      <alignment vertical="center"/>
    </xf>
    <xf numFmtId="41" fontId="16" fillId="0" borderId="0" xfId="32" applyNumberFormat="1" applyFont="1">
      <alignment vertical="center"/>
    </xf>
    <xf numFmtId="0" fontId="5" fillId="0" borderId="0" xfId="42" applyAlignment="1" applyProtection="1">
      <alignment horizontal="left" vertical="center" indent="1"/>
    </xf>
    <xf numFmtId="0" fontId="16" fillId="12" borderId="0" xfId="32" applyFont="1" applyFill="1">
      <alignment vertical="center"/>
    </xf>
    <xf numFmtId="0" fontId="1" fillId="0" borderId="0" xfId="25" applyFont="1" applyAlignment="1">
      <alignment horizontal="center" vertical="center"/>
    </xf>
    <xf numFmtId="0" fontId="62" fillId="0" borderId="0" xfId="25" applyFont="1" applyAlignment="1">
      <alignment horizontal="center" vertical="center"/>
    </xf>
    <xf numFmtId="181" fontId="18" fillId="0" borderId="1" xfId="5" applyNumberFormat="1" applyFont="1" applyFill="1" applyBorder="1" applyAlignment="1">
      <alignment horizontal="right" vertical="center"/>
    </xf>
    <xf numFmtId="41" fontId="18" fillId="0" borderId="1" xfId="21" applyFont="1" applyFill="1" applyBorder="1" applyAlignment="1">
      <alignment horizontal="right" vertical="center"/>
    </xf>
    <xf numFmtId="0" fontId="18" fillId="0" borderId="7" xfId="32" applyFont="1" applyBorder="1" applyAlignment="1">
      <alignment horizontal="center" vertical="center"/>
    </xf>
    <xf numFmtId="181" fontId="18" fillId="0" borderId="7" xfId="5" applyNumberFormat="1" applyFont="1" applyFill="1" applyBorder="1" applyAlignment="1">
      <alignment horizontal="right" vertical="center"/>
    </xf>
    <xf numFmtId="0" fontId="18" fillId="0" borderId="40" xfId="32" applyFont="1" applyBorder="1" applyAlignment="1">
      <alignment horizontal="center" vertical="center"/>
    </xf>
    <xf numFmtId="181" fontId="18" fillId="0" borderId="40" xfId="5" applyNumberFormat="1" applyFont="1" applyFill="1" applyBorder="1" applyAlignment="1">
      <alignment horizontal="right" vertical="center"/>
    </xf>
    <xf numFmtId="0" fontId="18" fillId="0" borderId="38" xfId="32" applyFont="1" applyBorder="1" applyAlignment="1">
      <alignment horizontal="center" vertical="center"/>
    </xf>
    <xf numFmtId="181" fontId="18" fillId="0" borderId="38" xfId="5" applyNumberFormat="1" applyFont="1" applyFill="1" applyBorder="1" applyAlignment="1">
      <alignment horizontal="right" vertical="center"/>
    </xf>
    <xf numFmtId="41" fontId="18" fillId="0" borderId="8" xfId="21" applyFont="1" applyFill="1" applyBorder="1" applyAlignment="1">
      <alignment horizontal="center" vertical="center"/>
    </xf>
    <xf numFmtId="41" fontId="18" fillId="0" borderId="41" xfId="21" applyFont="1" applyFill="1" applyBorder="1" applyAlignment="1">
      <alignment horizontal="center" vertical="center"/>
    </xf>
    <xf numFmtId="41" fontId="18" fillId="0" borderId="13" xfId="21" applyFont="1" applyFill="1" applyBorder="1" applyAlignment="1">
      <alignment horizontal="right" vertical="center"/>
    </xf>
    <xf numFmtId="41" fontId="18" fillId="0" borderId="8" xfId="21" applyFont="1" applyFill="1" applyBorder="1" applyAlignment="1">
      <alignment horizontal="right" vertical="center"/>
    </xf>
    <xf numFmtId="41" fontId="1" fillId="0" borderId="0" xfId="21" applyFont="1" applyBorder="1" applyAlignment="1">
      <alignment horizontal="center" vertical="center"/>
    </xf>
    <xf numFmtId="41" fontId="1" fillId="0" borderId="0" xfId="21" applyFont="1" applyAlignment="1">
      <alignment horizontal="center" vertical="center"/>
    </xf>
    <xf numFmtId="41" fontId="18" fillId="0" borderId="1" xfId="21" applyFont="1" applyFill="1" applyBorder="1" applyAlignment="1">
      <alignment horizontal="center" vertical="center"/>
    </xf>
    <xf numFmtId="41" fontId="17" fillId="0" borderId="1" xfId="21" applyFont="1" applyFill="1" applyBorder="1" applyAlignment="1">
      <alignment horizontal="center" vertical="center"/>
    </xf>
    <xf numFmtId="41" fontId="12" fillId="0" borderId="1" xfId="32" applyNumberFormat="1" applyFont="1" applyBorder="1" applyAlignment="1">
      <alignment horizontal="center" vertical="center"/>
    </xf>
    <xf numFmtId="0" fontId="16" fillId="0" borderId="1" xfId="32" applyFont="1" applyBorder="1" applyAlignment="1">
      <alignment horizontal="center" vertical="center"/>
    </xf>
    <xf numFmtId="41" fontId="18" fillId="0" borderId="1" xfId="21" applyFont="1" applyBorder="1">
      <alignment vertical="center"/>
    </xf>
    <xf numFmtId="41" fontId="63" fillId="0" borderId="1" xfId="21" applyFont="1" applyBorder="1">
      <alignment vertical="center"/>
    </xf>
    <xf numFmtId="0" fontId="64" fillId="0" borderId="0" xfId="32" applyFont="1">
      <alignment vertical="center"/>
    </xf>
    <xf numFmtId="0" fontId="19" fillId="3" borderId="1" xfId="32" applyFont="1" applyFill="1" applyBorder="1" applyAlignment="1">
      <alignment horizontal="center" vertical="center" wrapText="1"/>
    </xf>
    <xf numFmtId="41" fontId="18" fillId="0" borderId="1" xfId="21" applyFont="1" applyFill="1" applyBorder="1" applyAlignment="1">
      <alignment vertical="center"/>
    </xf>
    <xf numFmtId="0" fontId="66" fillId="12" borderId="0" xfId="25" applyFill="1">
      <alignment vertical="center"/>
    </xf>
    <xf numFmtId="41" fontId="16" fillId="0" borderId="1" xfId="21" applyFont="1" applyFill="1" applyBorder="1">
      <alignment vertical="center"/>
    </xf>
    <xf numFmtId="41" fontId="18" fillId="0" borderId="1" xfId="21" applyFont="1" applyFill="1" applyBorder="1">
      <alignment vertical="center"/>
    </xf>
    <xf numFmtId="0" fontId="15" fillId="0" borderId="42" xfId="32" applyFont="1" applyBorder="1">
      <alignment vertical="center"/>
    </xf>
    <xf numFmtId="182" fontId="18" fillId="0" borderId="1" xfId="32" applyNumberFormat="1" applyFont="1" applyBorder="1">
      <alignment vertical="center"/>
    </xf>
    <xf numFmtId="3" fontId="18" fillId="0" borderId="1" xfId="32" applyNumberFormat="1" applyFont="1" applyBorder="1">
      <alignment vertical="center"/>
    </xf>
    <xf numFmtId="0" fontId="19" fillId="3" borderId="1" xfId="32" applyFont="1" applyFill="1" applyBorder="1" applyAlignment="1">
      <alignment horizontal="center" vertical="center"/>
    </xf>
    <xf numFmtId="41" fontId="66" fillId="0" borderId="0" xfId="21" applyFont="1">
      <alignment vertical="center"/>
    </xf>
    <xf numFmtId="41" fontId="16" fillId="0" borderId="1" xfId="21" applyFont="1" applyBorder="1">
      <alignment vertical="center"/>
    </xf>
    <xf numFmtId="41" fontId="64" fillId="0" borderId="1" xfId="21" applyFont="1" applyBorder="1">
      <alignment vertical="center"/>
    </xf>
    <xf numFmtId="41" fontId="16" fillId="0" borderId="1" xfId="21" applyFont="1" applyFill="1" applyBorder="1" applyAlignment="1">
      <alignment horizontal="center" vertical="center"/>
    </xf>
    <xf numFmtId="0" fontId="14" fillId="0" borderId="0" xfId="25" applyFont="1">
      <alignment vertical="center"/>
    </xf>
    <xf numFmtId="0" fontId="16" fillId="0" borderId="0" xfId="32" applyFont="1" applyAlignment="1">
      <alignment horizontal="center" vertical="center"/>
    </xf>
    <xf numFmtId="0" fontId="16" fillId="0" borderId="0" xfId="32" applyFont="1" applyAlignment="1">
      <alignment horizontal="center"/>
    </xf>
    <xf numFmtId="3" fontId="16" fillId="0" borderId="0" xfId="32" applyNumberFormat="1" applyFont="1">
      <alignment vertical="center"/>
    </xf>
    <xf numFmtId="0" fontId="33" fillId="12" borderId="0" xfId="32" applyFont="1" applyFill="1">
      <alignment vertical="center"/>
    </xf>
    <xf numFmtId="0" fontId="15" fillId="12" borderId="42" xfId="32" applyFont="1" applyFill="1" applyBorder="1">
      <alignment vertical="center"/>
    </xf>
    <xf numFmtId="0" fontId="18" fillId="3" borderId="5" xfId="25" applyFont="1" applyFill="1" applyBorder="1" applyAlignment="1">
      <alignment horizontal="center" vertical="center" wrapText="1"/>
    </xf>
    <xf numFmtId="41" fontId="19" fillId="0" borderId="1" xfId="21" applyFont="1" applyBorder="1">
      <alignment vertical="center"/>
    </xf>
    <xf numFmtId="179" fontId="12" fillId="0" borderId="1" xfId="21" applyNumberFormat="1" applyFont="1" applyBorder="1">
      <alignment vertical="center"/>
    </xf>
    <xf numFmtId="179" fontId="12" fillId="0" borderId="1" xfId="21" applyNumberFormat="1" applyFont="1" applyFill="1" applyBorder="1">
      <alignment vertical="center"/>
    </xf>
    <xf numFmtId="0" fontId="67" fillId="0" borderId="0" xfId="0" applyFont="1">
      <alignment vertical="center"/>
    </xf>
    <xf numFmtId="0" fontId="104" fillId="0" borderId="0" xfId="0" applyFont="1">
      <alignment vertical="center"/>
    </xf>
    <xf numFmtId="0" fontId="66" fillId="0" borderId="0" xfId="25" applyAlignment="1">
      <alignment horizontal="left" vertical="center" wrapText="1"/>
    </xf>
    <xf numFmtId="0" fontId="68" fillId="0" borderId="0" xfId="25" applyFont="1" applyAlignment="1">
      <alignment horizontal="center" vertical="center"/>
    </xf>
    <xf numFmtId="0" fontId="105" fillId="0" borderId="40" xfId="0" applyFont="1" applyBorder="1" applyAlignment="1">
      <alignment horizontal="center" vertical="center" wrapText="1"/>
    </xf>
    <xf numFmtId="0" fontId="105" fillId="0" borderId="1" xfId="0" applyFont="1" applyBorder="1" applyAlignment="1">
      <alignment horizontal="center" vertical="center" wrapText="1"/>
    </xf>
    <xf numFmtId="0" fontId="105" fillId="0" borderId="1" xfId="0" applyFont="1" applyBorder="1" applyAlignment="1">
      <alignment horizontal="center" vertical="center"/>
    </xf>
    <xf numFmtId="0" fontId="74" fillId="0" borderId="1" xfId="0" applyFont="1" applyBorder="1">
      <alignment vertical="center"/>
    </xf>
    <xf numFmtId="0" fontId="74" fillId="0" borderId="7" xfId="0" applyFont="1" applyBorder="1">
      <alignment vertical="center"/>
    </xf>
    <xf numFmtId="0" fontId="74" fillId="0" borderId="8" xfId="0" applyFont="1" applyBorder="1">
      <alignment vertical="center"/>
    </xf>
    <xf numFmtId="0" fontId="74" fillId="0" borderId="40" xfId="0" applyFont="1" applyBorder="1">
      <alignment vertical="center"/>
    </xf>
    <xf numFmtId="0" fontId="74" fillId="0" borderId="38" xfId="0" applyFont="1" applyBorder="1">
      <alignment vertical="center"/>
    </xf>
    <xf numFmtId="179" fontId="106" fillId="0" borderId="1" xfId="11" applyNumberFormat="1" applyFont="1" applyFill="1" applyBorder="1" applyAlignment="1">
      <alignment horizontal="right" vertical="center"/>
    </xf>
    <xf numFmtId="41" fontId="10" fillId="0" borderId="1" xfId="16" applyFont="1" applyFill="1" applyBorder="1" applyAlignment="1">
      <alignment horizontal="center" vertical="center"/>
    </xf>
    <xf numFmtId="0" fontId="107" fillId="8" borderId="69" xfId="0" applyFont="1" applyFill="1" applyBorder="1" applyAlignment="1">
      <alignment horizontal="center" vertical="center" wrapText="1" readingOrder="1"/>
    </xf>
    <xf numFmtId="0" fontId="107" fillId="8" borderId="71" xfId="0" applyFont="1" applyFill="1" applyBorder="1" applyAlignment="1">
      <alignment horizontal="center" vertical="center" wrapText="1" readingOrder="1"/>
    </xf>
    <xf numFmtId="179" fontId="106" fillId="0" borderId="5" xfId="11" applyNumberFormat="1" applyFont="1" applyFill="1" applyBorder="1" applyAlignment="1">
      <alignment horizontal="right" vertical="center"/>
    </xf>
    <xf numFmtId="0" fontId="107" fillId="13" borderId="69" xfId="0" applyFont="1" applyFill="1" applyBorder="1" applyAlignment="1">
      <alignment horizontal="center" vertical="center" wrapText="1"/>
    </xf>
    <xf numFmtId="0" fontId="107" fillId="13" borderId="71" xfId="0" applyFont="1" applyFill="1" applyBorder="1" applyAlignment="1">
      <alignment horizontal="center" vertical="center" wrapText="1"/>
    </xf>
    <xf numFmtId="179" fontId="106" fillId="0" borderId="69" xfId="11" applyNumberFormat="1" applyFont="1" applyFill="1" applyBorder="1" applyAlignment="1">
      <alignment horizontal="right" vertical="center"/>
    </xf>
    <xf numFmtId="179" fontId="106" fillId="0" borderId="71" xfId="11" applyNumberFormat="1" applyFont="1" applyFill="1" applyBorder="1" applyAlignment="1">
      <alignment horizontal="right" vertical="center"/>
    </xf>
    <xf numFmtId="179" fontId="106" fillId="0" borderId="11" xfId="11" applyNumberFormat="1" applyFont="1" applyFill="1" applyBorder="1" applyAlignment="1">
      <alignment horizontal="right" vertical="center"/>
    </xf>
    <xf numFmtId="192" fontId="108" fillId="14" borderId="1" xfId="0" applyNumberFormat="1" applyFont="1" applyFill="1" applyBorder="1" applyAlignment="1">
      <alignment horizontal="right" vertical="center" readingOrder="1"/>
    </xf>
    <xf numFmtId="192" fontId="109" fillId="15" borderId="1" xfId="0" applyNumberFormat="1" applyFont="1" applyFill="1" applyBorder="1" applyAlignment="1">
      <alignment horizontal="right" vertical="center" readingOrder="1"/>
    </xf>
    <xf numFmtId="192" fontId="109" fillId="0" borderId="1" xfId="0" applyNumberFormat="1" applyFont="1" applyBorder="1" applyAlignment="1">
      <alignment horizontal="right" vertical="center" readingOrder="1"/>
    </xf>
    <xf numFmtId="192" fontId="109" fillId="0" borderId="5" xfId="0" applyNumberFormat="1" applyFont="1" applyBorder="1" applyAlignment="1">
      <alignment horizontal="right" vertical="center" readingOrder="1"/>
    </xf>
    <xf numFmtId="192" fontId="109" fillId="0" borderId="69" xfId="0" applyNumberFormat="1" applyFont="1" applyBorder="1" applyAlignment="1">
      <alignment horizontal="right" vertical="center" readingOrder="1"/>
    </xf>
    <xf numFmtId="192" fontId="109" fillId="0" borderId="71" xfId="0" applyNumberFormat="1" applyFont="1" applyBorder="1" applyAlignment="1">
      <alignment horizontal="right" vertical="center" readingOrder="1"/>
    </xf>
    <xf numFmtId="192" fontId="109" fillId="15" borderId="11" xfId="0" applyNumberFormat="1" applyFont="1" applyFill="1" applyBorder="1" applyAlignment="1">
      <alignment horizontal="right" vertical="center" readingOrder="1"/>
    </xf>
    <xf numFmtId="192" fontId="108" fillId="14" borderId="80" xfId="0" applyNumberFormat="1" applyFont="1" applyFill="1" applyBorder="1" applyAlignment="1">
      <alignment horizontal="right" vertical="center" readingOrder="1"/>
    </xf>
    <xf numFmtId="0" fontId="14" fillId="2" borderId="22" xfId="31" applyFont="1" applyFill="1" applyBorder="1">
      <alignment vertical="center"/>
    </xf>
    <xf numFmtId="0" fontId="6" fillId="2" borderId="22" xfId="31" applyFont="1" applyFill="1" applyBorder="1" applyAlignment="1">
      <alignment horizontal="center" vertical="center"/>
    </xf>
    <xf numFmtId="0" fontId="66" fillId="2" borderId="22" xfId="31" applyFill="1" applyBorder="1">
      <alignment vertical="center"/>
    </xf>
    <xf numFmtId="0" fontId="6" fillId="2" borderId="3" xfId="31" applyFont="1" applyFill="1" applyBorder="1">
      <alignment vertical="center"/>
    </xf>
    <xf numFmtId="176" fontId="10" fillId="0" borderId="0" xfId="22" applyNumberFormat="1" applyFont="1" applyFill="1" applyBorder="1" applyAlignment="1">
      <alignment horizontal="center" vertical="center"/>
    </xf>
    <xf numFmtId="0" fontId="10" fillId="0" borderId="0" xfId="31" applyFont="1" applyAlignment="1">
      <alignment horizontal="left" vertical="center"/>
    </xf>
    <xf numFmtId="0" fontId="10" fillId="3" borderId="1" xfId="22" applyNumberFormat="1" applyFont="1" applyFill="1" applyBorder="1" applyAlignment="1">
      <alignment horizontal="center" vertical="center"/>
    </xf>
    <xf numFmtId="0" fontId="107" fillId="13" borderId="1" xfId="0" applyFont="1" applyFill="1" applyBorder="1" applyAlignment="1">
      <alignment horizontal="center" vertical="center" wrapText="1"/>
    </xf>
    <xf numFmtId="0" fontId="107" fillId="13" borderId="5" xfId="0" applyFont="1" applyFill="1" applyBorder="1" applyAlignment="1">
      <alignment horizontal="center" vertical="center" wrapText="1"/>
    </xf>
    <xf numFmtId="0" fontId="107" fillId="13" borderId="80" xfId="0" applyFont="1" applyFill="1" applyBorder="1" applyAlignment="1">
      <alignment horizontal="center" vertical="center" wrapText="1"/>
    </xf>
    <xf numFmtId="0" fontId="107" fillId="13" borderId="81" xfId="0" applyFont="1" applyFill="1" applyBorder="1" applyAlignment="1">
      <alignment horizontal="center" vertical="center" wrapText="1"/>
    </xf>
    <xf numFmtId="0" fontId="107" fillId="13" borderId="11" xfId="0" applyFont="1" applyFill="1" applyBorder="1" applyAlignment="1">
      <alignment horizontal="center" vertical="center" wrapText="1"/>
    </xf>
    <xf numFmtId="0" fontId="107" fillId="8" borderId="1" xfId="0" applyFont="1" applyFill="1" applyBorder="1" applyAlignment="1">
      <alignment horizontal="center" vertical="center" wrapText="1" readingOrder="1"/>
    </xf>
    <xf numFmtId="41" fontId="10" fillId="0" borderId="40" xfId="16" applyFont="1" applyFill="1" applyBorder="1" applyAlignment="1">
      <alignment horizontal="center" vertical="center"/>
    </xf>
    <xf numFmtId="179" fontId="106" fillId="0" borderId="80" xfId="11" applyNumberFormat="1" applyFont="1" applyFill="1" applyBorder="1" applyAlignment="1">
      <alignment horizontal="right" vertical="center"/>
    </xf>
    <xf numFmtId="0" fontId="92" fillId="0" borderId="7" xfId="0" applyFont="1" applyBorder="1">
      <alignment vertical="center"/>
    </xf>
    <xf numFmtId="179" fontId="106" fillId="0" borderId="1" xfId="23" applyNumberFormat="1" applyFont="1" applyFill="1" applyBorder="1" applyAlignment="1">
      <alignment horizontal="right" vertical="center"/>
    </xf>
    <xf numFmtId="179" fontId="106" fillId="0" borderId="5" xfId="23" applyNumberFormat="1" applyFont="1" applyFill="1" applyBorder="1" applyAlignment="1">
      <alignment horizontal="right" vertical="center"/>
    </xf>
    <xf numFmtId="179" fontId="106" fillId="0" borderId="80" xfId="23" applyNumberFormat="1" applyFont="1" applyFill="1" applyBorder="1" applyAlignment="1">
      <alignment horizontal="right" vertical="center"/>
    </xf>
    <xf numFmtId="179" fontId="106" fillId="0" borderId="11" xfId="23" applyNumberFormat="1" applyFont="1" applyFill="1" applyBorder="1" applyAlignment="1">
      <alignment horizontal="right" vertical="center"/>
    </xf>
    <xf numFmtId="179" fontId="106" fillId="0" borderId="69" xfId="23" applyNumberFormat="1" applyFont="1" applyFill="1" applyBorder="1" applyAlignment="1">
      <alignment horizontal="right" vertical="center"/>
    </xf>
    <xf numFmtId="179" fontId="106" fillId="0" borderId="71" xfId="23" applyNumberFormat="1" applyFont="1" applyFill="1" applyBorder="1" applyAlignment="1">
      <alignment horizontal="right" vertical="center"/>
    </xf>
    <xf numFmtId="41" fontId="84" fillId="0" borderId="1" xfId="21" applyFont="1" applyFill="1" applyBorder="1" applyAlignment="1">
      <alignment vertical="center"/>
    </xf>
    <xf numFmtId="0" fontId="110" fillId="0" borderId="0" xfId="31" applyFont="1" applyAlignment="1">
      <alignment horizontal="left" vertical="center"/>
    </xf>
    <xf numFmtId="192" fontId="109" fillId="0" borderId="76" xfId="0" applyNumberFormat="1" applyFont="1" applyBorder="1" applyAlignment="1">
      <alignment horizontal="right" vertical="center" readingOrder="1"/>
    </xf>
    <xf numFmtId="179" fontId="106" fillId="0" borderId="82" xfId="11" applyNumberFormat="1" applyFont="1" applyFill="1" applyBorder="1" applyAlignment="1">
      <alignment horizontal="right" vertical="center"/>
    </xf>
    <xf numFmtId="179" fontId="106" fillId="0" borderId="83" xfId="11" applyNumberFormat="1" applyFont="1" applyFill="1" applyBorder="1" applyAlignment="1">
      <alignment horizontal="right" vertical="center"/>
    </xf>
    <xf numFmtId="179" fontId="106" fillId="0" borderId="84" xfId="11" applyNumberFormat="1" applyFont="1" applyFill="1" applyBorder="1" applyAlignment="1">
      <alignment horizontal="right" vertical="center"/>
    </xf>
    <xf numFmtId="41" fontId="69" fillId="0" borderId="0" xfId="11" applyFont="1" applyFill="1" applyBorder="1" applyAlignment="1">
      <alignment horizontal="right" vertical="center" wrapText="1"/>
    </xf>
    <xf numFmtId="179" fontId="106" fillId="0" borderId="85" xfId="11" applyNumberFormat="1" applyFont="1" applyFill="1" applyBorder="1" applyAlignment="1">
      <alignment horizontal="right" vertical="center"/>
    </xf>
    <xf numFmtId="179" fontId="106" fillId="0" borderId="7" xfId="11" applyNumberFormat="1" applyFont="1" applyFill="1" applyBorder="1" applyAlignment="1">
      <alignment horizontal="right" vertical="center"/>
    </xf>
    <xf numFmtId="179" fontId="106" fillId="0" borderId="40" xfId="11" applyNumberFormat="1" applyFont="1" applyFill="1" applyBorder="1" applyAlignment="1">
      <alignment horizontal="right" vertical="center"/>
    </xf>
    <xf numFmtId="179" fontId="106" fillId="0" borderId="8" xfId="11" applyNumberFormat="1" applyFont="1" applyFill="1" applyBorder="1" applyAlignment="1">
      <alignment horizontal="right" vertical="center"/>
    </xf>
    <xf numFmtId="179" fontId="106" fillId="0" borderId="38" xfId="11" applyNumberFormat="1" applyFont="1" applyFill="1" applyBorder="1" applyAlignment="1">
      <alignment horizontal="right" vertical="center"/>
    </xf>
    <xf numFmtId="179" fontId="106" fillId="0" borderId="9" xfId="11" applyNumberFormat="1" applyFont="1" applyFill="1" applyBorder="1" applyAlignment="1">
      <alignment horizontal="right" vertical="center"/>
    </xf>
    <xf numFmtId="179" fontId="106" fillId="0" borderId="43" xfId="11" applyNumberFormat="1" applyFont="1" applyFill="1" applyBorder="1" applyAlignment="1">
      <alignment horizontal="right" vertical="center"/>
    </xf>
    <xf numFmtId="179" fontId="106" fillId="0" borderId="10" xfId="11" applyNumberFormat="1" applyFont="1" applyFill="1" applyBorder="1" applyAlignment="1">
      <alignment horizontal="right" vertical="center"/>
    </xf>
    <xf numFmtId="179" fontId="106" fillId="0" borderId="86" xfId="11" applyNumberFormat="1" applyFont="1" applyFill="1" applyBorder="1" applyAlignment="1">
      <alignment horizontal="right" vertical="center"/>
    </xf>
    <xf numFmtId="179" fontId="106" fillId="0" borderId="87" xfId="11" applyNumberFormat="1" applyFont="1" applyFill="1" applyBorder="1" applyAlignment="1">
      <alignment horizontal="right" vertical="center"/>
    </xf>
    <xf numFmtId="179" fontId="106" fillId="0" borderId="88" xfId="11" applyNumberFormat="1" applyFont="1" applyFill="1" applyBorder="1" applyAlignment="1">
      <alignment horizontal="right" vertical="center"/>
    </xf>
    <xf numFmtId="179" fontId="106" fillId="0" borderId="89" xfId="11" applyNumberFormat="1" applyFont="1" applyFill="1" applyBorder="1" applyAlignment="1">
      <alignment horizontal="right" vertical="center"/>
    </xf>
    <xf numFmtId="192" fontId="109" fillId="0" borderId="77" xfId="0" applyNumberFormat="1" applyFont="1" applyBorder="1" applyAlignment="1">
      <alignment horizontal="right" vertical="center" readingOrder="1"/>
    </xf>
    <xf numFmtId="179" fontId="106" fillId="0" borderId="90" xfId="11" applyNumberFormat="1" applyFont="1" applyFill="1" applyBorder="1" applyAlignment="1">
      <alignment horizontal="right" vertical="center"/>
    </xf>
    <xf numFmtId="179" fontId="106" fillId="0" borderId="91" xfId="11" applyNumberFormat="1" applyFont="1" applyFill="1" applyBorder="1" applyAlignment="1">
      <alignment horizontal="right" vertical="center"/>
    </xf>
    <xf numFmtId="179" fontId="106" fillId="0" borderId="92" xfId="11" applyNumberFormat="1" applyFont="1" applyFill="1" applyBorder="1" applyAlignment="1">
      <alignment horizontal="right" vertical="center"/>
    </xf>
    <xf numFmtId="179" fontId="106" fillId="0" borderId="93" xfId="11" applyNumberFormat="1" applyFont="1" applyFill="1" applyBorder="1" applyAlignment="1">
      <alignment horizontal="right" vertical="center"/>
    </xf>
    <xf numFmtId="41" fontId="111" fillId="0" borderId="0" xfId="11" applyFont="1" applyFill="1" applyBorder="1" applyAlignment="1">
      <alignment horizontal="right" vertical="center" wrapText="1"/>
    </xf>
    <xf numFmtId="179" fontId="106" fillId="0" borderId="77" xfId="11" applyNumberFormat="1" applyFont="1" applyFill="1" applyBorder="1" applyAlignment="1">
      <alignment horizontal="right" vertical="center"/>
    </xf>
    <xf numFmtId="192" fontId="109" fillId="0" borderId="78" xfId="0" applyNumberFormat="1" applyFont="1" applyBorder="1" applyAlignment="1">
      <alignment horizontal="right" vertical="center" readingOrder="1"/>
    </xf>
    <xf numFmtId="179" fontId="106" fillId="0" borderId="94" xfId="11" applyNumberFormat="1" applyFont="1" applyFill="1" applyBorder="1" applyAlignment="1">
      <alignment horizontal="right" vertical="center"/>
    </xf>
    <xf numFmtId="179" fontId="106" fillId="0" borderId="95" xfId="11" applyNumberFormat="1" applyFont="1" applyFill="1" applyBorder="1" applyAlignment="1">
      <alignment horizontal="right" vertical="center"/>
    </xf>
    <xf numFmtId="179" fontId="106" fillId="0" borderId="96" xfId="11" applyNumberFormat="1" applyFont="1" applyFill="1" applyBorder="1" applyAlignment="1">
      <alignment horizontal="right" vertical="center"/>
    </xf>
    <xf numFmtId="179" fontId="106" fillId="0" borderId="97" xfId="11" applyNumberFormat="1" applyFont="1" applyFill="1" applyBorder="1" applyAlignment="1">
      <alignment horizontal="right" vertical="center"/>
    </xf>
    <xf numFmtId="179" fontId="106" fillId="0" borderId="98" xfId="11" applyNumberFormat="1" applyFont="1" applyFill="1" applyBorder="1" applyAlignment="1">
      <alignment horizontal="right" vertical="center"/>
    </xf>
    <xf numFmtId="179" fontId="106" fillId="0" borderId="99" xfId="11" applyNumberFormat="1" applyFont="1" applyFill="1" applyBorder="1" applyAlignment="1">
      <alignment horizontal="right" vertical="center"/>
    </xf>
    <xf numFmtId="179" fontId="106" fillId="0" borderId="100" xfId="11" applyNumberFormat="1" applyFont="1" applyFill="1" applyBorder="1" applyAlignment="1">
      <alignment horizontal="right" vertical="center"/>
    </xf>
    <xf numFmtId="179" fontId="106" fillId="0" borderId="101" xfId="11" applyNumberFormat="1" applyFont="1" applyFill="1" applyBorder="1" applyAlignment="1">
      <alignment horizontal="right" vertical="center"/>
    </xf>
    <xf numFmtId="179" fontId="106" fillId="0" borderId="78" xfId="11" applyNumberFormat="1" applyFont="1" applyFill="1" applyBorder="1" applyAlignment="1">
      <alignment horizontal="right" vertical="center"/>
    </xf>
    <xf numFmtId="179" fontId="106" fillId="0" borderId="102" xfId="11" applyNumberFormat="1" applyFont="1" applyFill="1" applyBorder="1" applyAlignment="1">
      <alignment horizontal="right" vertical="center"/>
    </xf>
    <xf numFmtId="179" fontId="106" fillId="0" borderId="104" xfId="11" applyNumberFormat="1" applyFont="1" applyFill="1" applyBorder="1" applyAlignment="1">
      <alignment horizontal="right" vertical="center"/>
    </xf>
    <xf numFmtId="179" fontId="106" fillId="0" borderId="4" xfId="11" applyNumberFormat="1" applyFont="1" applyFill="1" applyBorder="1" applyAlignment="1">
      <alignment horizontal="right" vertical="center"/>
    </xf>
    <xf numFmtId="179" fontId="106" fillId="0" borderId="44" xfId="11" applyNumberFormat="1" applyFont="1" applyFill="1" applyBorder="1" applyAlignment="1">
      <alignment horizontal="right" vertical="center"/>
    </xf>
    <xf numFmtId="179" fontId="106" fillId="0" borderId="105" xfId="11" applyNumberFormat="1" applyFont="1" applyFill="1" applyBorder="1" applyAlignment="1">
      <alignment horizontal="right" vertical="center"/>
    </xf>
    <xf numFmtId="179" fontId="106" fillId="0" borderId="26" xfId="11" applyNumberFormat="1" applyFont="1" applyFill="1" applyBorder="1" applyAlignment="1">
      <alignment horizontal="right" vertical="center"/>
    </xf>
    <xf numFmtId="179" fontId="106" fillId="0" borderId="12" xfId="11" applyNumberFormat="1" applyFont="1" applyFill="1" applyBorder="1" applyAlignment="1">
      <alignment horizontal="right" vertical="center"/>
    </xf>
    <xf numFmtId="179" fontId="66" fillId="0" borderId="82" xfId="11" applyNumberFormat="1" applyFont="1" applyFill="1" applyBorder="1" applyAlignment="1">
      <alignment horizontal="right" vertical="center"/>
    </xf>
    <xf numFmtId="179" fontId="66" fillId="0" borderId="1" xfId="11" applyNumberFormat="1" applyFont="1" applyFill="1" applyBorder="1" applyAlignment="1">
      <alignment horizontal="right" vertical="center"/>
    </xf>
    <xf numFmtId="179" fontId="66" fillId="0" borderId="38" xfId="11" applyNumberFormat="1" applyFont="1" applyFill="1" applyBorder="1" applyAlignment="1">
      <alignment horizontal="right" vertical="center"/>
    </xf>
    <xf numFmtId="179" fontId="66" fillId="0" borderId="7" xfId="11" applyNumberFormat="1" applyFont="1" applyFill="1" applyBorder="1" applyAlignment="1">
      <alignment horizontal="right" vertical="center"/>
    </xf>
    <xf numFmtId="179" fontId="66" fillId="0" borderId="9" xfId="11" applyNumberFormat="1" applyFont="1" applyFill="1" applyBorder="1" applyAlignment="1">
      <alignment horizontal="right" vertical="center"/>
    </xf>
    <xf numFmtId="179" fontId="66" fillId="0" borderId="40" xfId="11" applyNumberFormat="1" applyFont="1" applyFill="1" applyBorder="1" applyAlignment="1">
      <alignment horizontal="right" vertical="center"/>
    </xf>
    <xf numFmtId="179" fontId="66" fillId="0" borderId="8" xfId="11" applyNumberFormat="1" applyFont="1" applyFill="1" applyBorder="1" applyAlignment="1">
      <alignment horizontal="right" vertical="center"/>
    </xf>
    <xf numFmtId="179" fontId="66" fillId="0" borderId="87" xfId="11" applyNumberFormat="1" applyFont="1" applyFill="1" applyBorder="1" applyAlignment="1">
      <alignment horizontal="right" vertical="center"/>
    </xf>
    <xf numFmtId="179" fontId="66" fillId="0" borderId="80" xfId="11" applyNumberFormat="1" applyFont="1" applyFill="1" applyBorder="1" applyAlignment="1">
      <alignment horizontal="right" vertical="center"/>
    </xf>
    <xf numFmtId="179" fontId="66" fillId="0" borderId="88" xfId="11" applyNumberFormat="1" applyFont="1" applyFill="1" applyBorder="1" applyAlignment="1">
      <alignment horizontal="right" vertical="center"/>
    </xf>
    <xf numFmtId="179" fontId="66" fillId="0" borderId="89" xfId="11" applyNumberFormat="1" applyFont="1" applyFill="1" applyBorder="1" applyAlignment="1">
      <alignment horizontal="right" vertical="center"/>
    </xf>
    <xf numFmtId="179" fontId="66" fillId="0" borderId="86" xfId="11" applyNumberFormat="1" applyFont="1" applyFill="1" applyBorder="1" applyAlignment="1">
      <alignment horizontal="right" vertical="center"/>
    </xf>
    <xf numFmtId="41" fontId="16" fillId="0" borderId="1" xfId="32" quotePrefix="1" applyNumberFormat="1" applyFont="1" applyBorder="1" applyAlignment="1">
      <alignment horizontal="center" vertical="center"/>
    </xf>
    <xf numFmtId="41" fontId="1" fillId="0" borderId="0" xfId="11" applyFont="1" applyFill="1">
      <alignment vertical="center"/>
    </xf>
    <xf numFmtId="41" fontId="66" fillId="0" borderId="0" xfId="11" applyFont="1" applyFill="1">
      <alignment vertical="center"/>
    </xf>
    <xf numFmtId="179" fontId="106" fillId="0" borderId="45" xfId="11" applyNumberFormat="1" applyFont="1" applyFill="1" applyBorder="1" applyAlignment="1">
      <alignment horizontal="right" vertical="center"/>
    </xf>
    <xf numFmtId="183" fontId="33" fillId="7" borderId="1" xfId="16" applyNumberFormat="1" applyFont="1" applyFill="1" applyBorder="1" applyAlignment="1">
      <alignment horizontal="right" vertical="center"/>
    </xf>
    <xf numFmtId="183" fontId="98" fillId="15" borderId="1" xfId="16" applyNumberFormat="1" applyFont="1" applyFill="1" applyBorder="1" applyAlignment="1">
      <alignment horizontal="right" vertical="center"/>
    </xf>
    <xf numFmtId="3" fontId="112" fillId="14" borderId="0" xfId="0" applyNumberFormat="1" applyFont="1" applyFill="1" applyAlignment="1">
      <alignment horizontal="right" vertical="center" wrapText="1"/>
    </xf>
    <xf numFmtId="3" fontId="112" fillId="0" borderId="0" xfId="0" applyNumberFormat="1" applyFont="1">
      <alignment vertical="center"/>
    </xf>
    <xf numFmtId="0" fontId="17" fillId="7" borderId="5" xfId="38" applyFont="1" applyFill="1" applyBorder="1" applyAlignment="1">
      <alignment vertical="center" shrinkToFit="1"/>
    </xf>
    <xf numFmtId="183" fontId="33" fillId="7" borderId="8" xfId="16" applyNumberFormat="1" applyFont="1" applyFill="1" applyBorder="1" applyAlignment="1">
      <alignment horizontal="right" vertical="center"/>
    </xf>
    <xf numFmtId="179" fontId="106" fillId="0" borderId="76" xfId="11" applyNumberFormat="1" applyFont="1" applyFill="1" applyBorder="1" applyAlignment="1">
      <alignment horizontal="right" vertical="center"/>
    </xf>
    <xf numFmtId="0" fontId="14" fillId="2" borderId="0" xfId="31" applyFont="1" applyFill="1">
      <alignment vertical="center"/>
    </xf>
    <xf numFmtId="0" fontId="12" fillId="0" borderId="1" xfId="39" applyFont="1" applyBorder="1" applyAlignment="1">
      <alignment horizontal="center" vertical="center"/>
    </xf>
    <xf numFmtId="178" fontId="10" fillId="2" borderId="1" xfId="11" applyNumberFormat="1" applyFont="1" applyFill="1" applyBorder="1">
      <alignment vertical="center"/>
    </xf>
    <xf numFmtId="178" fontId="12" fillId="0" borderId="1" xfId="11" applyNumberFormat="1" applyFont="1" applyBorder="1">
      <alignment vertical="center"/>
    </xf>
    <xf numFmtId="0" fontId="8" fillId="6" borderId="46" xfId="31" applyFont="1" applyFill="1" applyBorder="1">
      <alignment vertical="center"/>
    </xf>
    <xf numFmtId="0" fontId="9" fillId="6" borderId="46" xfId="31" applyFont="1" applyFill="1" applyBorder="1">
      <alignment vertical="center"/>
    </xf>
    <xf numFmtId="179" fontId="16" fillId="0" borderId="1" xfId="21" applyNumberFormat="1" applyFont="1" applyBorder="1">
      <alignment vertical="center"/>
    </xf>
    <xf numFmtId="3" fontId="113" fillId="0" borderId="0" xfId="0" applyNumberFormat="1" applyFont="1">
      <alignment vertical="center"/>
    </xf>
    <xf numFmtId="3" fontId="0" fillId="0" borderId="0" xfId="0" applyNumberFormat="1">
      <alignment vertical="center"/>
    </xf>
    <xf numFmtId="183" fontId="35" fillId="0" borderId="1" xfId="16" applyNumberFormat="1" applyFont="1" applyFill="1" applyBorder="1" applyAlignment="1">
      <alignment vertical="center"/>
    </xf>
    <xf numFmtId="183" fontId="35" fillId="0" borderId="7" xfId="16" applyNumberFormat="1" applyFont="1" applyFill="1" applyBorder="1" applyAlignment="1">
      <alignment vertical="center"/>
    </xf>
    <xf numFmtId="183" fontId="35" fillId="5" borderId="1" xfId="16" applyNumberFormat="1" applyFont="1" applyFill="1" applyBorder="1" applyAlignment="1">
      <alignment vertical="center"/>
    </xf>
    <xf numFmtId="183" fontId="35" fillId="5" borderId="1" xfId="32" applyNumberFormat="1" applyFont="1" applyFill="1" applyBorder="1">
      <alignment vertical="center"/>
    </xf>
    <xf numFmtId="183" fontId="35" fillId="5" borderId="1" xfId="40" applyNumberFormat="1" applyFont="1" applyFill="1" applyBorder="1" applyAlignment="1">
      <alignment vertical="center"/>
    </xf>
    <xf numFmtId="183" fontId="35" fillId="0" borderId="1" xfId="38" applyNumberFormat="1" applyFont="1" applyBorder="1" applyAlignment="1">
      <alignment horizontal="right" vertical="center"/>
    </xf>
    <xf numFmtId="183" fontId="33" fillId="5" borderId="7" xfId="38" applyNumberFormat="1" applyFont="1" applyFill="1" applyBorder="1" applyAlignment="1">
      <alignment horizontal="right" vertical="center"/>
    </xf>
    <xf numFmtId="183" fontId="35" fillId="0" borderId="8" xfId="38" applyNumberFormat="1" applyFont="1" applyBorder="1" applyAlignment="1">
      <alignment horizontal="right" vertical="center"/>
    </xf>
    <xf numFmtId="183" fontId="33" fillId="7" borderId="1" xfId="38" applyNumberFormat="1" applyFont="1" applyFill="1" applyBorder="1" applyAlignment="1">
      <alignment horizontal="right" vertical="center"/>
    </xf>
    <xf numFmtId="183" fontId="35" fillId="0" borderId="7" xfId="38" applyNumberFormat="1" applyFont="1" applyBorder="1" applyAlignment="1">
      <alignment horizontal="right" vertical="center"/>
    </xf>
    <xf numFmtId="183" fontId="35" fillId="8" borderId="106" xfId="38" applyNumberFormat="1" applyFont="1" applyFill="1" applyBorder="1" applyAlignment="1">
      <alignment horizontal="right" vertical="center"/>
    </xf>
    <xf numFmtId="183" fontId="33" fillId="5" borderId="13" xfId="38" applyNumberFormat="1" applyFont="1" applyFill="1" applyBorder="1" applyAlignment="1">
      <alignment horizontal="right" vertical="center"/>
    </xf>
    <xf numFmtId="183" fontId="33" fillId="5" borderId="8" xfId="38" applyNumberFormat="1" applyFont="1" applyFill="1" applyBorder="1" applyAlignment="1">
      <alignment horizontal="right" vertical="center"/>
    </xf>
    <xf numFmtId="41" fontId="35" fillId="8" borderId="65" xfId="16" applyFont="1" applyFill="1" applyBorder="1" applyAlignment="1">
      <alignment horizontal="right" vertical="center"/>
    </xf>
    <xf numFmtId="41" fontId="35" fillId="8" borderId="69" xfId="16" applyFont="1" applyFill="1" applyBorder="1" applyAlignment="1">
      <alignment horizontal="right" vertical="center"/>
    </xf>
    <xf numFmtId="41" fontId="35" fillId="8" borderId="82" xfId="16" applyFont="1" applyFill="1" applyBorder="1" applyAlignment="1">
      <alignment horizontal="right" vertical="center"/>
    </xf>
    <xf numFmtId="41" fontId="35" fillId="8" borderId="83" xfId="16" applyFont="1" applyFill="1" applyBorder="1" applyAlignment="1">
      <alignment horizontal="right" vertical="center"/>
    </xf>
    <xf numFmtId="41" fontId="35" fillId="8" borderId="1" xfId="16" applyFont="1" applyFill="1" applyBorder="1" applyAlignment="1">
      <alignment horizontal="right" vertical="center"/>
    </xf>
    <xf numFmtId="41" fontId="35" fillId="8" borderId="71" xfId="16" applyFont="1" applyFill="1" applyBorder="1" applyAlignment="1">
      <alignment horizontal="right" vertical="center"/>
    </xf>
    <xf numFmtId="41" fontId="35" fillId="8" borderId="69" xfId="16" applyFont="1" applyFill="1" applyBorder="1" applyAlignment="1">
      <alignment horizontal="right" vertical="center" shrinkToFit="1"/>
    </xf>
    <xf numFmtId="41" fontId="35" fillId="8" borderId="1" xfId="16" applyFont="1" applyFill="1" applyBorder="1" applyAlignment="1">
      <alignment horizontal="right" vertical="center" shrinkToFit="1"/>
    </xf>
    <xf numFmtId="41" fontId="35" fillId="8" borderId="71" xfId="16" applyFont="1" applyFill="1" applyBorder="1" applyAlignment="1">
      <alignment horizontal="right" vertical="center" shrinkToFit="1"/>
    </xf>
    <xf numFmtId="41" fontId="35" fillId="8" borderId="85" xfId="16" applyFont="1" applyFill="1" applyBorder="1" applyAlignment="1">
      <alignment horizontal="right" vertical="center"/>
    </xf>
    <xf numFmtId="41" fontId="35" fillId="8" borderId="84" xfId="16" applyFont="1" applyFill="1" applyBorder="1" applyAlignment="1">
      <alignment horizontal="right" vertical="center" shrinkToFit="1"/>
    </xf>
    <xf numFmtId="41" fontId="35" fillId="8" borderId="8" xfId="16" applyFont="1" applyFill="1" applyBorder="1" applyAlignment="1">
      <alignment horizontal="right" vertical="center" shrinkToFit="1"/>
    </xf>
    <xf numFmtId="41" fontId="35" fillId="8" borderId="97" xfId="16" applyFont="1" applyFill="1" applyBorder="1" applyAlignment="1">
      <alignment horizontal="right" vertical="center" shrinkToFit="1"/>
    </xf>
    <xf numFmtId="41" fontId="35" fillId="8" borderId="1" xfId="11" applyFont="1" applyFill="1" applyBorder="1" applyAlignment="1">
      <alignment horizontal="right" vertical="center"/>
    </xf>
    <xf numFmtId="41" fontId="35" fillId="8" borderId="71" xfId="11" applyFont="1" applyFill="1" applyBorder="1" applyAlignment="1">
      <alignment horizontal="right" vertical="center"/>
    </xf>
    <xf numFmtId="41" fontId="35" fillId="8" borderId="1" xfId="11" applyFont="1" applyFill="1" applyBorder="1" applyAlignment="1">
      <alignment horizontal="right" vertical="center" shrinkToFit="1"/>
    </xf>
    <xf numFmtId="41" fontId="35" fillId="8" borderId="71" xfId="11" applyFont="1" applyFill="1" applyBorder="1" applyAlignment="1">
      <alignment horizontal="right" vertical="center" shrinkToFit="1"/>
    </xf>
    <xf numFmtId="183" fontId="35" fillId="0" borderId="7" xfId="16" applyNumberFormat="1" applyFont="1" applyFill="1" applyBorder="1" applyAlignment="1">
      <alignment horizontal="right" vertical="center"/>
    </xf>
    <xf numFmtId="183" fontId="35" fillId="0" borderId="8" xfId="16" applyNumberFormat="1" applyFont="1" applyBorder="1" applyAlignment="1">
      <alignment horizontal="right" vertical="center"/>
    </xf>
    <xf numFmtId="183" fontId="35" fillId="0" borderId="1" xfId="16" applyNumberFormat="1" applyFont="1" applyBorder="1" applyAlignment="1">
      <alignment horizontal="right" vertical="center"/>
    </xf>
    <xf numFmtId="183" fontId="35" fillId="0" borderId="1" xfId="16" applyNumberFormat="1" applyFont="1" applyFill="1" applyBorder="1" applyAlignment="1">
      <alignment horizontal="right" vertical="center"/>
    </xf>
    <xf numFmtId="183" fontId="35" fillId="0" borderId="7" xfId="16" applyNumberFormat="1" applyFont="1" applyBorder="1" applyAlignment="1">
      <alignment horizontal="right" vertical="center"/>
    </xf>
    <xf numFmtId="183" fontId="35" fillId="8" borderId="72" xfId="16" applyNumberFormat="1" applyFont="1" applyFill="1" applyBorder="1" applyAlignment="1">
      <alignment horizontal="right" vertical="center"/>
    </xf>
    <xf numFmtId="183" fontId="35" fillId="8" borderId="106" xfId="16" applyNumberFormat="1" applyFont="1" applyFill="1" applyBorder="1" applyAlignment="1">
      <alignment horizontal="right" vertical="center"/>
    </xf>
    <xf numFmtId="183" fontId="35" fillId="0" borderId="8" xfId="16" applyNumberFormat="1" applyFont="1" applyFill="1" applyBorder="1" applyAlignment="1">
      <alignment horizontal="right" vertical="center"/>
    </xf>
    <xf numFmtId="183" fontId="35" fillId="0" borderId="13" xfId="16" applyNumberFormat="1" applyFont="1" applyBorder="1" applyAlignment="1">
      <alignment horizontal="right" vertical="center"/>
    </xf>
    <xf numFmtId="0" fontId="67" fillId="15" borderId="0" xfId="25" applyFont="1" applyFill="1">
      <alignment vertical="center"/>
    </xf>
    <xf numFmtId="0" fontId="114" fillId="15" borderId="0" xfId="39" applyFont="1" applyFill="1">
      <alignment vertical="center"/>
    </xf>
    <xf numFmtId="0" fontId="12" fillId="16" borderId="0" xfId="32" applyFont="1" applyFill="1">
      <alignment vertical="center"/>
    </xf>
    <xf numFmtId="0" fontId="18" fillId="16" borderId="0" xfId="32" applyFont="1" applyFill="1">
      <alignment vertical="center"/>
    </xf>
    <xf numFmtId="0" fontId="66" fillId="16" borderId="0" xfId="25" applyFill="1">
      <alignment vertical="center"/>
    </xf>
    <xf numFmtId="0" fontId="72" fillId="0" borderId="5" xfId="25" applyFont="1" applyBorder="1">
      <alignment vertical="center"/>
    </xf>
    <xf numFmtId="0" fontId="17" fillId="7" borderId="1" xfId="38" applyFont="1" applyFill="1" applyBorder="1" applyAlignment="1">
      <alignment vertical="center" shrinkToFit="1"/>
    </xf>
    <xf numFmtId="0" fontId="115" fillId="0" borderId="1" xfId="25" applyFont="1" applyBorder="1" applyAlignment="1">
      <alignment horizontal="left" vertical="center"/>
    </xf>
    <xf numFmtId="0" fontId="115" fillId="0" borderId="7" xfId="25" applyFont="1" applyBorder="1" applyAlignment="1">
      <alignment horizontal="left" vertical="center"/>
    </xf>
    <xf numFmtId="0" fontId="115" fillId="0" borderId="40" xfId="25" applyFont="1" applyBorder="1" applyAlignment="1">
      <alignment horizontal="left" vertical="center"/>
    </xf>
    <xf numFmtId="0" fontId="115" fillId="0" borderId="38" xfId="25" applyFont="1" applyBorder="1" applyAlignment="1">
      <alignment horizontal="left" vertical="center"/>
    </xf>
    <xf numFmtId="0" fontId="115" fillId="0" borderId="8" xfId="25" applyFont="1" applyBorder="1" applyAlignment="1">
      <alignment horizontal="left" vertical="center"/>
    </xf>
    <xf numFmtId="0" fontId="18" fillId="0" borderId="7" xfId="32" applyFont="1" applyBorder="1" applyAlignment="1">
      <alignment horizontal="left" vertical="center"/>
    </xf>
    <xf numFmtId="0" fontId="18" fillId="0" borderId="40" xfId="32" applyFont="1" applyBorder="1" applyAlignment="1">
      <alignment horizontal="left" vertical="center"/>
    </xf>
    <xf numFmtId="0" fontId="18" fillId="0" borderId="38" xfId="32" applyFont="1" applyBorder="1" applyAlignment="1">
      <alignment horizontal="left" vertical="center"/>
    </xf>
    <xf numFmtId="41" fontId="115" fillId="0" borderId="1" xfId="17" applyFont="1" applyFill="1" applyBorder="1" applyAlignment="1">
      <alignment horizontal="left" vertical="center"/>
    </xf>
    <xf numFmtId="41" fontId="115" fillId="0" borderId="7" xfId="17" applyFont="1" applyFill="1" applyBorder="1" applyAlignment="1">
      <alignment horizontal="left" vertical="center"/>
    </xf>
    <xf numFmtId="41" fontId="115" fillId="0" borderId="40" xfId="17" applyFont="1" applyFill="1" applyBorder="1" applyAlignment="1">
      <alignment horizontal="left" vertical="center"/>
    </xf>
    <xf numFmtId="41" fontId="115" fillId="0" borderId="38" xfId="17" applyFont="1" applyFill="1" applyBorder="1" applyAlignment="1">
      <alignment horizontal="left" vertical="center"/>
    </xf>
    <xf numFmtId="41" fontId="115" fillId="0" borderId="8" xfId="17" applyFont="1" applyFill="1" applyBorder="1" applyAlignment="1">
      <alignment horizontal="left" vertical="center"/>
    </xf>
    <xf numFmtId="41" fontId="18" fillId="0" borderId="7" xfId="32" applyNumberFormat="1" applyFont="1" applyBorder="1" applyAlignment="1">
      <alignment horizontal="left" vertical="center"/>
    </xf>
    <xf numFmtId="41" fontId="18" fillId="0" borderId="40" xfId="32" applyNumberFormat="1" applyFont="1" applyBorder="1" applyAlignment="1">
      <alignment horizontal="left" vertical="center"/>
    </xf>
    <xf numFmtId="41" fontId="72" fillId="0" borderId="1" xfId="25" applyNumberFormat="1" applyFont="1" applyBorder="1">
      <alignment vertical="center"/>
    </xf>
    <xf numFmtId="41" fontId="72" fillId="5" borderId="1" xfId="25" applyNumberFormat="1" applyFont="1" applyFill="1" applyBorder="1">
      <alignment vertical="center"/>
    </xf>
    <xf numFmtId="41" fontId="96" fillId="5" borderId="1" xfId="11" applyFont="1" applyFill="1" applyBorder="1">
      <alignment vertical="center"/>
    </xf>
    <xf numFmtId="41" fontId="96" fillId="5" borderId="1" xfId="25" applyNumberFormat="1" applyFont="1" applyFill="1" applyBorder="1">
      <alignment vertical="center"/>
    </xf>
    <xf numFmtId="0" fontId="86" fillId="0" borderId="1" xfId="37" applyFont="1" applyBorder="1" applyAlignment="1">
      <alignment horizontal="center" vertical="center"/>
    </xf>
    <xf numFmtId="0" fontId="115" fillId="0" borderId="1" xfId="37" applyFont="1" applyBorder="1" applyAlignment="1">
      <alignment horizontal="center" vertical="center"/>
    </xf>
    <xf numFmtId="183" fontId="115" fillId="8" borderId="1" xfId="19" applyNumberFormat="1" applyFont="1" applyFill="1" applyBorder="1" applyAlignment="1">
      <alignment horizontal="right" vertical="center"/>
    </xf>
    <xf numFmtId="183" fontId="72" fillId="0" borderId="1" xfId="25" applyNumberFormat="1" applyFont="1" applyBorder="1">
      <alignment vertical="center"/>
    </xf>
    <xf numFmtId="41" fontId="115" fillId="0" borderId="1" xfId="16" applyFont="1" applyFill="1" applyBorder="1" applyAlignment="1">
      <alignment horizontal="center" vertical="center"/>
    </xf>
    <xf numFmtId="188" fontId="72" fillId="0" borderId="1" xfId="16" applyNumberFormat="1" applyFont="1" applyBorder="1">
      <alignment vertical="center"/>
    </xf>
    <xf numFmtId="183" fontId="115" fillId="8" borderId="1" xfId="16" applyNumberFormat="1" applyFont="1" applyFill="1" applyBorder="1" applyAlignment="1">
      <alignment horizontal="right" vertical="center"/>
    </xf>
    <xf numFmtId="185" fontId="72" fillId="0" borderId="1" xfId="16" applyNumberFormat="1" applyFont="1" applyBorder="1">
      <alignment vertical="center"/>
    </xf>
    <xf numFmtId="0" fontId="86" fillId="0" borderId="47" xfId="37" applyFont="1" applyBorder="1" applyAlignment="1">
      <alignment horizontal="center" vertical="center"/>
    </xf>
    <xf numFmtId="0" fontId="86" fillId="0" borderId="48" xfId="37" applyFont="1" applyBorder="1" applyAlignment="1">
      <alignment horizontal="center" vertical="center"/>
    </xf>
    <xf numFmtId="0" fontId="86" fillId="0" borderId="49" xfId="37" applyFont="1" applyBorder="1" applyAlignment="1">
      <alignment horizontal="center" vertical="center"/>
    </xf>
    <xf numFmtId="0" fontId="115" fillId="0" borderId="8" xfId="37" applyFont="1" applyBorder="1" applyAlignment="1">
      <alignment horizontal="center" vertical="center"/>
    </xf>
    <xf numFmtId="183" fontId="115" fillId="8" borderId="8" xfId="19" applyNumberFormat="1" applyFont="1" applyFill="1" applyBorder="1" applyAlignment="1">
      <alignment horizontal="right" vertical="center"/>
    </xf>
    <xf numFmtId="0" fontId="115" fillId="0" borderId="1" xfId="32" applyFont="1" applyBorder="1" applyAlignment="1">
      <alignment horizontal="center" vertical="center"/>
    </xf>
    <xf numFmtId="183" fontId="115" fillId="0" borderId="1" xfId="19" applyNumberFormat="1" applyFont="1" applyFill="1" applyBorder="1" applyAlignment="1">
      <alignment horizontal="right" vertical="center"/>
    </xf>
    <xf numFmtId="0" fontId="115" fillId="0" borderId="33" xfId="37" applyFont="1" applyBorder="1" applyAlignment="1">
      <alignment horizontal="center" vertical="center"/>
    </xf>
    <xf numFmtId="183" fontId="115" fillId="8" borderId="33" xfId="19" applyNumberFormat="1" applyFont="1" applyFill="1" applyBorder="1" applyAlignment="1">
      <alignment horizontal="right" vertical="center"/>
    </xf>
    <xf numFmtId="0" fontId="17" fillId="7" borderId="1" xfId="32" applyFont="1" applyFill="1" applyBorder="1" applyAlignment="1">
      <alignment horizontal="center" vertical="center"/>
    </xf>
    <xf numFmtId="41" fontId="17" fillId="7" borderId="1" xfId="32" applyNumberFormat="1" applyFont="1" applyFill="1" applyBorder="1">
      <alignment vertical="center"/>
    </xf>
    <xf numFmtId="41" fontId="18" fillId="0" borderId="73" xfId="16" applyFont="1" applyFill="1" applyBorder="1" applyAlignment="1">
      <alignment vertical="center"/>
    </xf>
    <xf numFmtId="41" fontId="84" fillId="0" borderId="1" xfId="16" applyFont="1" applyFill="1" applyBorder="1" applyAlignment="1">
      <alignment vertical="center"/>
    </xf>
    <xf numFmtId="41" fontId="18" fillId="0" borderId="8" xfId="16" applyFont="1" applyFill="1" applyBorder="1" applyAlignment="1">
      <alignment vertical="center"/>
    </xf>
    <xf numFmtId="43" fontId="18" fillId="0" borderId="1" xfId="16" applyNumberFormat="1" applyFont="1" applyFill="1" applyBorder="1" applyAlignment="1">
      <alignment vertical="center"/>
    </xf>
    <xf numFmtId="0" fontId="86" fillId="0" borderId="27" xfId="25" applyFont="1" applyBorder="1" applyAlignment="1">
      <alignment horizontal="center" vertical="center"/>
    </xf>
    <xf numFmtId="179" fontId="86" fillId="8" borderId="46" xfId="25" applyNumberFormat="1" applyFont="1" applyFill="1" applyBorder="1">
      <alignment vertical="center"/>
    </xf>
    <xf numFmtId="0" fontId="86" fillId="0" borderId="0" xfId="25" applyFont="1">
      <alignment vertical="center"/>
    </xf>
    <xf numFmtId="0" fontId="86" fillId="0" borderId="29" xfId="25" applyFont="1" applyBorder="1" applyAlignment="1">
      <alignment horizontal="center" vertical="center"/>
    </xf>
    <xf numFmtId="0" fontId="86" fillId="0" borderId="30" xfId="25" applyFont="1" applyBorder="1" applyAlignment="1">
      <alignment horizontal="center" vertical="center"/>
    </xf>
    <xf numFmtId="0" fontId="86" fillId="0" borderId="31" xfId="25" applyFont="1" applyBorder="1" applyAlignment="1">
      <alignment horizontal="center" vertical="center"/>
    </xf>
    <xf numFmtId="0" fontId="115" fillId="0" borderId="0" xfId="25" applyFont="1">
      <alignment vertical="center"/>
    </xf>
    <xf numFmtId="183" fontId="115" fillId="8" borderId="11" xfId="25" applyNumberFormat="1" applyFont="1" applyFill="1" applyBorder="1">
      <alignment vertical="center"/>
    </xf>
    <xf numFmtId="183" fontId="115" fillId="0" borderId="1" xfId="25" applyNumberFormat="1" applyFont="1" applyBorder="1">
      <alignment vertical="center"/>
    </xf>
    <xf numFmtId="183" fontId="115" fillId="0" borderId="5" xfId="25" applyNumberFormat="1" applyFont="1" applyBorder="1">
      <alignment vertical="center"/>
    </xf>
    <xf numFmtId="0" fontId="115" fillId="8" borderId="11" xfId="25" applyFont="1" applyFill="1" applyBorder="1">
      <alignment vertical="center"/>
    </xf>
    <xf numFmtId="41" fontId="115" fillId="8" borderId="5" xfId="16" applyFont="1" applyFill="1" applyBorder="1" applyAlignment="1">
      <alignment vertical="center"/>
    </xf>
    <xf numFmtId="0" fontId="86" fillId="0" borderId="0" xfId="25" applyFont="1" applyAlignment="1">
      <alignment horizontal="center" vertical="center"/>
    </xf>
    <xf numFmtId="0" fontId="86" fillId="0" borderId="32" xfId="25" applyFont="1" applyBorder="1" applyAlignment="1">
      <alignment horizontal="center" vertical="center"/>
    </xf>
    <xf numFmtId="41" fontId="86" fillId="0" borderId="34" xfId="16" applyFont="1" applyBorder="1" applyAlignment="1">
      <alignment vertical="center"/>
    </xf>
    <xf numFmtId="0" fontId="115" fillId="8" borderId="9" xfId="25" applyFont="1" applyFill="1" applyBorder="1">
      <alignment vertical="center"/>
    </xf>
    <xf numFmtId="179" fontId="115" fillId="8" borderId="26" xfId="25" applyNumberFormat="1" applyFont="1" applyFill="1" applyBorder="1">
      <alignment vertical="center"/>
    </xf>
    <xf numFmtId="179" fontId="115" fillId="8" borderId="5" xfId="25" applyNumberFormat="1" applyFont="1" applyFill="1" applyBorder="1">
      <alignment vertical="center"/>
    </xf>
    <xf numFmtId="0" fontId="115" fillId="8" borderId="10" xfId="25" applyFont="1" applyFill="1" applyBorder="1">
      <alignment vertical="center"/>
    </xf>
    <xf numFmtId="41" fontId="115" fillId="8" borderId="4" xfId="16" applyFont="1" applyFill="1" applyBorder="1" applyAlignment="1">
      <alignment vertical="center"/>
    </xf>
    <xf numFmtId="183" fontId="115" fillId="8" borderId="32" xfId="25" applyNumberFormat="1" applyFont="1" applyFill="1" applyBorder="1">
      <alignment vertical="center"/>
    </xf>
    <xf numFmtId="183" fontId="115" fillId="0" borderId="33" xfId="25" applyNumberFormat="1" applyFont="1" applyBorder="1">
      <alignment vertical="center"/>
    </xf>
    <xf numFmtId="183" fontId="115" fillId="0" borderId="34" xfId="25" applyNumberFormat="1" applyFont="1" applyBorder="1">
      <alignment vertical="center"/>
    </xf>
    <xf numFmtId="183" fontId="66" fillId="0" borderId="0" xfId="25" applyNumberFormat="1">
      <alignment vertical="center"/>
    </xf>
    <xf numFmtId="183" fontId="80" fillId="0" borderId="0" xfId="25" applyNumberFormat="1" applyFont="1">
      <alignment vertical="center"/>
    </xf>
    <xf numFmtId="0" fontId="16" fillId="0" borderId="0" xfId="39" applyFont="1" applyAlignment="1">
      <alignment horizontal="left" vertical="center"/>
    </xf>
    <xf numFmtId="0" fontId="35" fillId="0" borderId="0" xfId="39" applyFont="1" applyAlignment="1">
      <alignment horizontal="center" vertical="center"/>
    </xf>
    <xf numFmtId="0" fontId="16" fillId="0" borderId="3" xfId="39" applyFont="1" applyBorder="1" applyAlignment="1">
      <alignment horizontal="left" vertical="center"/>
    </xf>
    <xf numFmtId="0" fontId="18" fillId="7" borderId="1" xfId="38" applyFont="1" applyFill="1" applyBorder="1" applyAlignment="1">
      <alignment horizontal="center" vertical="center"/>
    </xf>
    <xf numFmtId="0" fontId="35" fillId="0" borderId="3" xfId="39" applyFont="1" applyBorder="1">
      <alignment vertical="center"/>
    </xf>
    <xf numFmtId="183" fontId="116" fillId="11" borderId="106" xfId="38" applyNumberFormat="1" applyFont="1" applyFill="1" applyBorder="1" applyAlignment="1">
      <alignment horizontal="right" vertical="center"/>
    </xf>
    <xf numFmtId="41" fontId="17" fillId="8" borderId="1" xfId="16" applyFont="1" applyFill="1" applyBorder="1" applyAlignment="1">
      <alignment horizontal="center" vertical="center"/>
    </xf>
    <xf numFmtId="0" fontId="17" fillId="5" borderId="1" xfId="32" applyFont="1" applyFill="1" applyBorder="1" applyAlignment="1">
      <alignment horizontal="center" vertical="center"/>
    </xf>
    <xf numFmtId="0" fontId="18" fillId="0" borderId="44" xfId="38" applyFont="1" applyBorder="1" applyAlignment="1">
      <alignment horizontal="left" vertical="center"/>
    </xf>
    <xf numFmtId="0" fontId="18" fillId="0" borderId="4" xfId="38" applyFont="1" applyBorder="1">
      <alignment vertical="center"/>
    </xf>
    <xf numFmtId="0" fontId="18" fillId="0" borderId="44" xfId="38" applyFont="1" applyBorder="1">
      <alignment vertical="center"/>
    </xf>
    <xf numFmtId="41" fontId="35" fillId="0" borderId="108" xfId="16" applyFont="1" applyFill="1" applyBorder="1" applyAlignment="1">
      <alignment horizontal="right" vertical="center"/>
    </xf>
    <xf numFmtId="41" fontId="35" fillId="0" borderId="109" xfId="16" applyFont="1" applyFill="1" applyBorder="1" applyAlignment="1">
      <alignment horizontal="right" vertical="center"/>
    </xf>
    <xf numFmtId="41" fontId="35" fillId="0" borderId="110" xfId="16" applyFont="1" applyFill="1" applyBorder="1" applyAlignment="1">
      <alignment horizontal="right" vertical="center"/>
    </xf>
    <xf numFmtId="41" fontId="35" fillId="0" borderId="111" xfId="16" applyFont="1" applyFill="1" applyBorder="1" applyAlignment="1">
      <alignment horizontal="right" vertical="center"/>
    </xf>
    <xf numFmtId="41" fontId="35" fillId="0" borderId="73" xfId="16" applyFont="1" applyFill="1" applyBorder="1" applyAlignment="1">
      <alignment horizontal="right" vertical="center"/>
    </xf>
    <xf numFmtId="41" fontId="35" fillId="0" borderId="112" xfId="16" applyFont="1" applyFill="1" applyBorder="1" applyAlignment="1">
      <alignment horizontal="right" vertical="center"/>
    </xf>
    <xf numFmtId="41" fontId="35" fillId="0" borderId="113" xfId="16" applyFont="1" applyFill="1" applyBorder="1" applyAlignment="1">
      <alignment horizontal="right" vertical="center"/>
    </xf>
    <xf numFmtId="41" fontId="35" fillId="0" borderId="114" xfId="16" applyFont="1" applyFill="1" applyBorder="1" applyAlignment="1">
      <alignment horizontal="right" vertical="center"/>
    </xf>
    <xf numFmtId="41" fontId="35" fillId="0" borderId="115" xfId="16" applyFont="1" applyFill="1" applyBorder="1" applyAlignment="1">
      <alignment horizontal="right" vertical="center"/>
    </xf>
    <xf numFmtId="41" fontId="35" fillId="0" borderId="116" xfId="16" applyFont="1" applyFill="1" applyBorder="1" applyAlignment="1">
      <alignment horizontal="right" vertical="center"/>
    </xf>
    <xf numFmtId="41" fontId="35" fillId="0" borderId="66" xfId="16" applyFont="1" applyFill="1" applyBorder="1" applyAlignment="1">
      <alignment horizontal="right" vertical="center"/>
    </xf>
    <xf numFmtId="41" fontId="35" fillId="0" borderId="67" xfId="16" applyFont="1" applyFill="1" applyBorder="1" applyAlignment="1">
      <alignment horizontal="right" vertical="center"/>
    </xf>
    <xf numFmtId="179" fontId="106" fillId="0" borderId="1" xfId="11" quotePrefix="1" applyNumberFormat="1" applyFont="1" applyFill="1" applyBorder="1" applyAlignment="1">
      <alignment horizontal="right" vertical="center"/>
    </xf>
    <xf numFmtId="179" fontId="106" fillId="0" borderId="11" xfId="11" quotePrefix="1" applyNumberFormat="1" applyFont="1" applyFill="1" applyBorder="1" applyAlignment="1">
      <alignment horizontal="right" vertical="center"/>
    </xf>
    <xf numFmtId="179" fontId="106" fillId="0" borderId="80" xfId="11" quotePrefix="1" applyNumberFormat="1" applyFont="1" applyFill="1" applyBorder="1" applyAlignment="1">
      <alignment horizontal="right" vertical="center"/>
    </xf>
    <xf numFmtId="0" fontId="15" fillId="0" borderId="0" xfId="39" applyFont="1" applyAlignment="1">
      <alignment horizontal="left" vertical="center"/>
    </xf>
    <xf numFmtId="0" fontId="18" fillId="0" borderId="0" xfId="39" quotePrefix="1" applyFont="1">
      <alignment vertical="center"/>
    </xf>
    <xf numFmtId="0" fontId="33" fillId="0" borderId="22" xfId="38" applyFont="1" applyBorder="1" applyAlignment="1">
      <alignment horizontal="left" vertical="center"/>
    </xf>
    <xf numFmtId="41" fontId="66" fillId="0" borderId="0" xfId="11" applyFont="1" applyBorder="1">
      <alignment vertical="center"/>
    </xf>
    <xf numFmtId="179" fontId="106" fillId="7" borderId="1" xfId="11" applyNumberFormat="1" applyFont="1" applyFill="1" applyBorder="1" applyAlignment="1">
      <alignment horizontal="right" vertical="center"/>
    </xf>
    <xf numFmtId="179" fontId="106" fillId="7" borderId="90" xfId="11" applyNumberFormat="1" applyFont="1" applyFill="1" applyBorder="1" applyAlignment="1">
      <alignment horizontal="right" vertical="center"/>
    </xf>
    <xf numFmtId="179" fontId="106" fillId="7" borderId="7" xfId="11" applyNumberFormat="1" applyFont="1" applyFill="1" applyBorder="1" applyAlignment="1">
      <alignment horizontal="right" vertical="center"/>
    </xf>
    <xf numFmtId="179" fontId="66" fillId="7" borderId="40" xfId="11" applyNumberFormat="1" applyFont="1" applyFill="1" applyBorder="1" applyAlignment="1">
      <alignment horizontal="right" vertical="center"/>
    </xf>
    <xf numFmtId="179" fontId="106" fillId="7" borderId="92" xfId="11" applyNumberFormat="1" applyFont="1" applyFill="1" applyBorder="1" applyAlignment="1">
      <alignment horizontal="right" vertical="center"/>
    </xf>
    <xf numFmtId="179" fontId="66" fillId="7" borderId="1" xfId="11" applyNumberFormat="1" applyFont="1" applyFill="1" applyBorder="1" applyAlignment="1">
      <alignment horizontal="right" vertical="center"/>
    </xf>
    <xf numFmtId="179" fontId="106" fillId="7" borderId="1" xfId="23" applyNumberFormat="1" applyFont="1" applyFill="1" applyBorder="1" applyAlignment="1">
      <alignment horizontal="right" vertical="center"/>
    </xf>
    <xf numFmtId="179" fontId="66" fillId="7" borderId="38" xfId="11" applyNumberFormat="1" applyFont="1" applyFill="1" applyBorder="1" applyAlignment="1">
      <alignment horizontal="right" vertical="center"/>
    </xf>
    <xf numFmtId="179" fontId="66" fillId="7" borderId="8" xfId="11" applyNumberFormat="1" applyFont="1" applyFill="1" applyBorder="1" applyAlignment="1">
      <alignment horizontal="right" vertical="center"/>
    </xf>
    <xf numFmtId="179" fontId="66" fillId="7" borderId="7" xfId="11" applyNumberFormat="1" applyFont="1" applyFill="1" applyBorder="1" applyAlignment="1">
      <alignment horizontal="right" vertical="center"/>
    </xf>
    <xf numFmtId="179" fontId="106" fillId="7" borderId="93" xfId="11" applyNumberFormat="1" applyFont="1" applyFill="1" applyBorder="1" applyAlignment="1">
      <alignment horizontal="right" vertical="center"/>
    </xf>
    <xf numFmtId="192" fontId="108" fillId="7" borderId="1" xfId="0" applyNumberFormat="1" applyFont="1" applyFill="1" applyBorder="1" applyAlignment="1">
      <alignment horizontal="right" vertical="center" readingOrder="1"/>
    </xf>
    <xf numFmtId="179" fontId="106" fillId="7" borderId="1" xfId="11" quotePrefix="1" applyNumberFormat="1" applyFont="1" applyFill="1" applyBorder="1" applyAlignment="1">
      <alignment horizontal="right" vertical="center"/>
    </xf>
    <xf numFmtId="179" fontId="106" fillId="7" borderId="40" xfId="11" applyNumberFormat="1" applyFont="1" applyFill="1" applyBorder="1" applyAlignment="1">
      <alignment horizontal="right" vertical="center"/>
    </xf>
    <xf numFmtId="179" fontId="106" fillId="7" borderId="38" xfId="11" applyNumberFormat="1" applyFont="1" applyFill="1" applyBorder="1" applyAlignment="1">
      <alignment horizontal="right" vertical="center"/>
    </xf>
    <xf numFmtId="179" fontId="106" fillId="7" borderId="8" xfId="11" applyNumberFormat="1" applyFont="1" applyFill="1" applyBorder="1" applyAlignment="1">
      <alignment horizontal="right" vertical="center"/>
    </xf>
    <xf numFmtId="192" fontId="108" fillId="7" borderId="5" xfId="0" applyNumberFormat="1" applyFont="1" applyFill="1" applyBorder="1" applyAlignment="1">
      <alignment horizontal="right" vertical="center" readingOrder="1"/>
    </xf>
    <xf numFmtId="179" fontId="106" fillId="7" borderId="102" xfId="11" applyNumberFormat="1" applyFont="1" applyFill="1" applyBorder="1" applyAlignment="1">
      <alignment horizontal="right" vertical="center"/>
    </xf>
    <xf numFmtId="179" fontId="106" fillId="7" borderId="104" xfId="11" applyNumberFormat="1" applyFont="1" applyFill="1" applyBorder="1" applyAlignment="1">
      <alignment horizontal="right" vertical="center"/>
    </xf>
    <xf numFmtId="179" fontId="66" fillId="7" borderId="5" xfId="11" applyNumberFormat="1" applyFont="1" applyFill="1" applyBorder="1" applyAlignment="1">
      <alignment horizontal="right" vertical="center"/>
    </xf>
    <xf numFmtId="179" fontId="106" fillId="7" borderId="5" xfId="23" applyNumberFormat="1" applyFont="1" applyFill="1" applyBorder="1" applyAlignment="1">
      <alignment horizontal="right" vertical="center"/>
    </xf>
    <xf numFmtId="179" fontId="106" fillId="7" borderId="5" xfId="11" applyNumberFormat="1" applyFont="1" applyFill="1" applyBorder="1" applyAlignment="1">
      <alignment horizontal="right" vertical="center"/>
    </xf>
    <xf numFmtId="179" fontId="66" fillId="7" borderId="44" xfId="11" applyNumberFormat="1" applyFont="1" applyFill="1" applyBorder="1" applyAlignment="1">
      <alignment horizontal="right" vertical="center"/>
    </xf>
    <xf numFmtId="179" fontId="106" fillId="7" borderId="105" xfId="11" applyNumberFormat="1" applyFont="1" applyFill="1" applyBorder="1" applyAlignment="1">
      <alignment horizontal="right" vertical="center"/>
    </xf>
    <xf numFmtId="179" fontId="106" fillId="7" borderId="26" xfId="11" applyNumberFormat="1" applyFont="1" applyFill="1" applyBorder="1" applyAlignment="1">
      <alignment horizontal="right" vertical="center"/>
    </xf>
    <xf numFmtId="179" fontId="106" fillId="7" borderId="44" xfId="11" applyNumberFormat="1" applyFont="1" applyFill="1" applyBorder="1" applyAlignment="1">
      <alignment horizontal="right" vertical="center"/>
    </xf>
    <xf numFmtId="179" fontId="106" fillId="7" borderId="12" xfId="11" applyNumberFormat="1" applyFont="1" applyFill="1" applyBorder="1" applyAlignment="1">
      <alignment horizontal="right" vertical="center"/>
    </xf>
    <xf numFmtId="179" fontId="106" fillId="7" borderId="4" xfId="11" applyNumberFormat="1" applyFont="1" applyFill="1" applyBorder="1" applyAlignment="1">
      <alignment horizontal="right" vertical="center"/>
    </xf>
    <xf numFmtId="192" fontId="108" fillId="7" borderId="81" xfId="0" applyNumberFormat="1" applyFont="1" applyFill="1" applyBorder="1" applyAlignment="1">
      <alignment horizontal="right" vertical="center" readingOrder="1"/>
    </xf>
    <xf numFmtId="179" fontId="106" fillId="7" borderId="118" xfId="11" applyNumberFormat="1" applyFont="1" applyFill="1" applyBorder="1" applyAlignment="1">
      <alignment horizontal="right" vertical="center"/>
    </xf>
    <xf numFmtId="179" fontId="106" fillId="7" borderId="120" xfId="11" applyNumberFormat="1" applyFont="1" applyFill="1" applyBorder="1" applyAlignment="1">
      <alignment horizontal="right" vertical="center"/>
    </xf>
    <xf numFmtId="179" fontId="66" fillId="7" borderId="81" xfId="11" applyNumberFormat="1" applyFont="1" applyFill="1" applyBorder="1" applyAlignment="1">
      <alignment horizontal="right" vertical="center"/>
    </xf>
    <xf numFmtId="179" fontId="106" fillId="7" borderId="81" xfId="23" applyNumberFormat="1" applyFont="1" applyFill="1" applyBorder="1" applyAlignment="1">
      <alignment horizontal="right" vertical="center"/>
    </xf>
    <xf numFmtId="179" fontId="106" fillId="7" borderId="81" xfId="11" applyNumberFormat="1" applyFont="1" applyFill="1" applyBorder="1" applyAlignment="1">
      <alignment horizontal="right" vertical="center"/>
    </xf>
    <xf numFmtId="179" fontId="66" fillId="7" borderId="122" xfId="11" applyNumberFormat="1" applyFont="1" applyFill="1" applyBorder="1" applyAlignment="1">
      <alignment horizontal="right" vertical="center"/>
    </xf>
    <xf numFmtId="179" fontId="106" fillId="7" borderId="123" xfId="11" applyNumberFormat="1" applyFont="1" applyFill="1" applyBorder="1" applyAlignment="1">
      <alignment horizontal="right" vertical="center"/>
    </xf>
    <xf numFmtId="179" fontId="106" fillId="7" borderId="124" xfId="11" applyNumberFormat="1" applyFont="1" applyFill="1" applyBorder="1" applyAlignment="1">
      <alignment horizontal="right" vertical="center"/>
    </xf>
    <xf numFmtId="179" fontId="106" fillId="7" borderId="122" xfId="11" applyNumberFormat="1" applyFont="1" applyFill="1" applyBorder="1" applyAlignment="1">
      <alignment horizontal="right" vertical="center"/>
    </xf>
    <xf numFmtId="179" fontId="106" fillId="7" borderId="125" xfId="11" applyNumberFormat="1" applyFont="1" applyFill="1" applyBorder="1" applyAlignment="1">
      <alignment horizontal="right" vertical="center"/>
    </xf>
    <xf numFmtId="179" fontId="106" fillId="7" borderId="121" xfId="11" applyNumberFormat="1" applyFont="1" applyFill="1" applyBorder="1" applyAlignment="1">
      <alignment horizontal="right" vertical="center"/>
    </xf>
    <xf numFmtId="192" fontId="109" fillId="7" borderId="1" xfId="0" applyNumberFormat="1" applyFont="1" applyFill="1" applyBorder="1" applyAlignment="1">
      <alignment horizontal="right" vertical="center" readingOrder="1"/>
    </xf>
    <xf numFmtId="192" fontId="109" fillId="7" borderId="69" xfId="0" applyNumberFormat="1" applyFont="1" applyFill="1" applyBorder="1" applyAlignment="1">
      <alignment horizontal="right" vertical="center" readingOrder="1"/>
    </xf>
    <xf numFmtId="192" fontId="109" fillId="7" borderId="71" xfId="0" applyNumberFormat="1" applyFont="1" applyFill="1" applyBorder="1" applyAlignment="1">
      <alignment horizontal="right" vertical="center" readingOrder="1"/>
    </xf>
    <xf numFmtId="192" fontId="109" fillId="7" borderId="76" xfId="0" applyNumberFormat="1" applyFont="1" applyFill="1" applyBorder="1" applyAlignment="1">
      <alignment horizontal="right" vertical="center" readingOrder="1"/>
    </xf>
    <xf numFmtId="192" fontId="109" fillId="7" borderId="77" xfId="0" applyNumberFormat="1" applyFont="1" applyFill="1" applyBorder="1" applyAlignment="1">
      <alignment horizontal="right" vertical="center" readingOrder="1"/>
    </xf>
    <xf numFmtId="192" fontId="109" fillId="7" borderId="78" xfId="0" applyNumberFormat="1" applyFont="1" applyFill="1" applyBorder="1" applyAlignment="1">
      <alignment horizontal="right" vertical="center" readingOrder="1"/>
    </xf>
    <xf numFmtId="179" fontId="106" fillId="7" borderId="69" xfId="11" applyNumberFormat="1" applyFont="1" applyFill="1" applyBorder="1" applyAlignment="1">
      <alignment horizontal="right" vertical="center"/>
    </xf>
    <xf numFmtId="179" fontId="106" fillId="7" borderId="94" xfId="11" applyNumberFormat="1" applyFont="1" applyFill="1" applyBorder="1" applyAlignment="1">
      <alignment horizontal="right" vertical="center"/>
    </xf>
    <xf numFmtId="179" fontId="106" fillId="7" borderId="83" xfId="11" applyNumberFormat="1" applyFont="1" applyFill="1" applyBorder="1" applyAlignment="1">
      <alignment horizontal="right" vertical="center"/>
    </xf>
    <xf numFmtId="179" fontId="106" fillId="7" borderId="96" xfId="11" applyNumberFormat="1" applyFont="1" applyFill="1" applyBorder="1" applyAlignment="1">
      <alignment horizontal="right" vertical="center"/>
    </xf>
    <xf numFmtId="179" fontId="106" fillId="7" borderId="71" xfId="11" applyNumberFormat="1" applyFont="1" applyFill="1" applyBorder="1" applyAlignment="1">
      <alignment horizontal="right" vertical="center"/>
    </xf>
    <xf numFmtId="179" fontId="106" fillId="7" borderId="69" xfId="23" applyNumberFormat="1" applyFont="1" applyFill="1" applyBorder="1" applyAlignment="1">
      <alignment horizontal="right" vertical="center"/>
    </xf>
    <xf numFmtId="179" fontId="106" fillId="7" borderId="71" xfId="23" applyNumberFormat="1" applyFont="1" applyFill="1" applyBorder="1" applyAlignment="1">
      <alignment horizontal="right" vertical="center"/>
    </xf>
    <xf numFmtId="179" fontId="106" fillId="7" borderId="84" xfId="11" applyNumberFormat="1" applyFont="1" applyFill="1" applyBorder="1" applyAlignment="1">
      <alignment horizontal="right" vertical="center"/>
    </xf>
    <xf numFmtId="179" fontId="106" fillId="7" borderId="97" xfId="11" applyNumberFormat="1" applyFont="1" applyFill="1" applyBorder="1" applyAlignment="1">
      <alignment horizontal="right" vertical="center"/>
    </xf>
    <xf numFmtId="179" fontId="66" fillId="7" borderId="82" xfId="11" applyNumberFormat="1" applyFont="1" applyFill="1" applyBorder="1" applyAlignment="1">
      <alignment horizontal="right" vertical="center"/>
    </xf>
    <xf numFmtId="179" fontId="106" fillId="7" borderId="98" xfId="11" applyNumberFormat="1" applyFont="1" applyFill="1" applyBorder="1" applyAlignment="1">
      <alignment horizontal="right" vertical="center"/>
    </xf>
    <xf numFmtId="179" fontId="106" fillId="7" borderId="99" xfId="11" applyNumberFormat="1" applyFont="1" applyFill="1" applyBorder="1" applyAlignment="1">
      <alignment horizontal="right" vertical="center"/>
    </xf>
    <xf numFmtId="179" fontId="106" fillId="7" borderId="69" xfId="11" quotePrefix="1" applyNumberFormat="1" applyFont="1" applyFill="1" applyBorder="1" applyAlignment="1">
      <alignment horizontal="right" vertical="center"/>
    </xf>
    <xf numFmtId="179" fontId="106" fillId="7" borderId="100" xfId="11" applyNumberFormat="1" applyFont="1" applyFill="1" applyBorder="1" applyAlignment="1">
      <alignment horizontal="right" vertical="center"/>
    </xf>
    <xf numFmtId="179" fontId="106" fillId="7" borderId="85" xfId="11" applyNumberFormat="1" applyFont="1" applyFill="1" applyBorder="1" applyAlignment="1">
      <alignment horizontal="right" vertical="center"/>
    </xf>
    <xf numFmtId="179" fontId="106" fillId="7" borderId="101" xfId="11" applyNumberFormat="1" applyFont="1" applyFill="1" applyBorder="1" applyAlignment="1">
      <alignment horizontal="right" vertical="center"/>
    </xf>
    <xf numFmtId="179" fontId="106" fillId="7" borderId="69" xfId="11" applyNumberFormat="1" applyFont="1" applyFill="1" applyBorder="1" applyAlignment="1">
      <alignment horizontal="right" vertical="center" wrapText="1"/>
    </xf>
    <xf numFmtId="179" fontId="106" fillId="7" borderId="76" xfId="11" applyNumberFormat="1" applyFont="1" applyFill="1" applyBorder="1" applyAlignment="1">
      <alignment horizontal="right" vertical="center"/>
    </xf>
    <xf numFmtId="179" fontId="106" fillId="7" borderId="77" xfId="11" applyNumberFormat="1" applyFont="1" applyFill="1" applyBorder="1" applyAlignment="1">
      <alignment horizontal="right" vertical="center"/>
    </xf>
    <xf numFmtId="179" fontId="106" fillId="7" borderId="78" xfId="11" applyNumberFormat="1" applyFont="1" applyFill="1" applyBorder="1" applyAlignment="1">
      <alignment horizontal="right" vertical="center"/>
    </xf>
    <xf numFmtId="179" fontId="0" fillId="0" borderId="0" xfId="0" applyNumberFormat="1">
      <alignment vertical="center"/>
    </xf>
    <xf numFmtId="0" fontId="19" fillId="11" borderId="5" xfId="26" applyFont="1" applyFill="1" applyBorder="1" applyAlignment="1">
      <alignment horizontal="left" vertical="center"/>
    </xf>
    <xf numFmtId="0" fontId="18" fillId="15" borderId="6" xfId="38" applyFont="1" applyFill="1" applyBorder="1" applyAlignment="1">
      <alignment horizontal="left" vertical="center"/>
    </xf>
    <xf numFmtId="0" fontId="18" fillId="15" borderId="126" xfId="38" applyFont="1" applyFill="1" applyBorder="1" applyAlignment="1">
      <alignment horizontal="left" vertical="center"/>
    </xf>
    <xf numFmtId="0" fontId="18" fillId="15" borderId="42" xfId="38" applyFont="1" applyFill="1" applyBorder="1" applyAlignment="1">
      <alignment horizontal="left" vertical="center"/>
    </xf>
    <xf numFmtId="0" fontId="18" fillId="15" borderId="6" xfId="38" applyFont="1" applyFill="1" applyBorder="1" applyAlignment="1">
      <alignment horizontal="center" vertical="center" shrinkToFit="1"/>
    </xf>
    <xf numFmtId="0" fontId="18" fillId="15" borderId="50" xfId="38" applyFont="1" applyFill="1" applyBorder="1" applyAlignment="1">
      <alignment horizontal="left" vertical="center"/>
    </xf>
    <xf numFmtId="0" fontId="18" fillId="15" borderId="6" xfId="38" applyFont="1" applyFill="1" applyBorder="1">
      <alignment vertical="center"/>
    </xf>
    <xf numFmtId="41" fontId="35" fillId="0" borderId="127" xfId="16" applyFont="1" applyFill="1" applyBorder="1" applyAlignment="1">
      <alignment horizontal="right" vertical="center"/>
    </xf>
    <xf numFmtId="41" fontId="35" fillId="0" borderId="128" xfId="16" applyFont="1" applyFill="1" applyBorder="1" applyAlignment="1">
      <alignment horizontal="right" vertical="center"/>
    </xf>
    <xf numFmtId="0" fontId="17" fillId="15" borderId="51" xfId="38" applyFont="1" applyFill="1" applyBorder="1" applyAlignment="1">
      <alignment horizontal="center" vertical="center" wrapText="1"/>
    </xf>
    <xf numFmtId="0" fontId="17" fillId="15" borderId="52" xfId="38" applyFont="1" applyFill="1" applyBorder="1" applyAlignment="1">
      <alignment horizontal="center" vertical="center" wrapText="1"/>
    </xf>
    <xf numFmtId="0" fontId="17" fillId="15" borderId="53" xfId="38" applyFont="1" applyFill="1" applyBorder="1" applyAlignment="1">
      <alignment horizontal="center" vertical="center" wrapText="1"/>
    </xf>
    <xf numFmtId="0" fontId="17" fillId="15" borderId="54" xfId="38" applyFont="1" applyFill="1" applyBorder="1" applyAlignment="1">
      <alignment horizontal="center" vertical="center" wrapText="1"/>
    </xf>
    <xf numFmtId="0" fontId="18" fillId="15" borderId="55" xfId="38" applyFont="1" applyFill="1" applyBorder="1">
      <alignment vertical="center"/>
    </xf>
    <xf numFmtId="0" fontId="17" fillId="0" borderId="0" xfId="38" applyFont="1" applyAlignment="1">
      <alignment horizontal="center" vertical="center" wrapText="1"/>
    </xf>
    <xf numFmtId="0" fontId="84" fillId="0" borderId="0" xfId="38" applyFont="1" applyAlignment="1">
      <alignment horizontal="left" vertical="center"/>
    </xf>
    <xf numFmtId="10" fontId="35" fillId="0" borderId="0" xfId="2" applyNumberFormat="1" applyFont="1" applyFill="1" applyBorder="1" applyAlignment="1">
      <alignment horizontal="right" vertical="center"/>
    </xf>
    <xf numFmtId="41" fontId="35" fillId="0" borderId="0" xfId="16" applyFont="1" applyFill="1" applyBorder="1" applyAlignment="1">
      <alignment horizontal="right" vertical="center"/>
    </xf>
    <xf numFmtId="0" fontId="12" fillId="0" borderId="0" xfId="32" applyFont="1" applyAlignment="1">
      <alignment horizontal="center" vertical="center"/>
    </xf>
    <xf numFmtId="41" fontId="35" fillId="10" borderId="69" xfId="16" applyFont="1" applyFill="1" applyBorder="1" applyAlignment="1">
      <alignment horizontal="right" vertical="center"/>
    </xf>
    <xf numFmtId="41" fontId="35" fillId="10" borderId="1" xfId="16" applyFont="1" applyFill="1" applyBorder="1" applyAlignment="1">
      <alignment horizontal="right" vertical="center"/>
    </xf>
    <xf numFmtId="41" fontId="35" fillId="10" borderId="83" xfId="16" applyFont="1" applyFill="1" applyBorder="1" applyAlignment="1">
      <alignment horizontal="right" vertical="center"/>
    </xf>
    <xf numFmtId="41" fontId="35" fillId="10" borderId="40" xfId="16" applyFont="1" applyFill="1" applyBorder="1" applyAlignment="1">
      <alignment horizontal="right" vertical="center"/>
    </xf>
    <xf numFmtId="41" fontId="35" fillId="10" borderId="69" xfId="16" applyFont="1" applyFill="1" applyBorder="1" applyAlignment="1">
      <alignment horizontal="right" vertical="center" shrinkToFit="1"/>
    </xf>
    <xf numFmtId="41" fontId="35" fillId="10" borderId="1" xfId="16" applyFont="1" applyFill="1" applyBorder="1" applyAlignment="1">
      <alignment horizontal="right" vertical="center" shrinkToFit="1"/>
    </xf>
    <xf numFmtId="41" fontId="35" fillId="10" borderId="82" xfId="16" applyFont="1" applyFill="1" applyBorder="1" applyAlignment="1">
      <alignment horizontal="right" vertical="center"/>
    </xf>
    <xf numFmtId="41" fontId="35" fillId="10" borderId="7" xfId="16" applyFont="1" applyFill="1" applyBorder="1" applyAlignment="1">
      <alignment horizontal="right" vertical="center"/>
    </xf>
    <xf numFmtId="41" fontId="35" fillId="0" borderId="82" xfId="16" applyFont="1" applyFill="1" applyBorder="1" applyAlignment="1">
      <alignment horizontal="right" vertical="center"/>
    </xf>
    <xf numFmtId="41" fontId="35" fillId="0" borderId="7" xfId="16" applyFont="1" applyFill="1" applyBorder="1" applyAlignment="1">
      <alignment horizontal="right" vertical="center"/>
    </xf>
    <xf numFmtId="41" fontId="35" fillId="0" borderId="69" xfId="16" applyFont="1" applyFill="1" applyBorder="1" applyAlignment="1">
      <alignment horizontal="right" vertical="center"/>
    </xf>
    <xf numFmtId="41" fontId="35" fillId="0" borderId="1" xfId="16" applyFont="1" applyFill="1" applyBorder="1" applyAlignment="1">
      <alignment horizontal="right" vertical="center"/>
    </xf>
    <xf numFmtId="41" fontId="35" fillId="10" borderId="65" xfId="16" applyFont="1" applyFill="1" applyBorder="1" applyAlignment="1">
      <alignment horizontal="right" vertical="center"/>
    </xf>
    <xf numFmtId="41" fontId="35" fillId="10" borderId="129" xfId="16" applyFont="1" applyFill="1" applyBorder="1" applyAlignment="1">
      <alignment horizontal="right" vertical="center"/>
    </xf>
    <xf numFmtId="41" fontId="35" fillId="10" borderId="130" xfId="16" applyFont="1" applyFill="1" applyBorder="1" applyAlignment="1">
      <alignment horizontal="right" vertical="center"/>
    </xf>
    <xf numFmtId="41" fontId="35" fillId="10" borderId="71" xfId="16" applyFont="1" applyFill="1" applyBorder="1" applyAlignment="1">
      <alignment horizontal="right" vertical="center"/>
    </xf>
    <xf numFmtId="41" fontId="35" fillId="0" borderId="71" xfId="16" applyFont="1" applyFill="1" applyBorder="1" applyAlignment="1">
      <alignment horizontal="right" vertical="center"/>
    </xf>
    <xf numFmtId="41" fontId="37" fillId="10" borderId="71" xfId="16" applyFont="1" applyFill="1" applyBorder="1" applyAlignment="1">
      <alignment horizontal="right" vertical="center" wrapText="1"/>
    </xf>
    <xf numFmtId="41" fontId="35" fillId="10" borderId="98" xfId="16" applyFont="1" applyFill="1" applyBorder="1" applyAlignment="1">
      <alignment horizontal="right" vertical="center"/>
    </xf>
    <xf numFmtId="41" fontId="35" fillId="10" borderId="71" xfId="16" applyFont="1" applyFill="1" applyBorder="1" applyAlignment="1">
      <alignment horizontal="right" vertical="center" shrinkToFit="1"/>
    </xf>
    <xf numFmtId="41" fontId="35" fillId="0" borderId="100" xfId="16" applyFont="1" applyFill="1" applyBorder="1" applyAlignment="1">
      <alignment horizontal="right" vertical="center"/>
    </xf>
    <xf numFmtId="41" fontId="35" fillId="10" borderId="100" xfId="16" applyFont="1" applyFill="1" applyBorder="1" applyAlignment="1">
      <alignment horizontal="right" vertical="center"/>
    </xf>
    <xf numFmtId="0" fontId="18" fillId="15" borderId="14" xfId="38" applyFont="1" applyFill="1" applyBorder="1" applyAlignment="1">
      <alignment horizontal="left" vertical="center"/>
    </xf>
    <xf numFmtId="0" fontId="117" fillId="0" borderId="0" xfId="32" applyFont="1" applyAlignment="1">
      <alignment horizontal="center" vertical="center"/>
    </xf>
    <xf numFmtId="0" fontId="118" fillId="0" borderId="0" xfId="32" applyFont="1" applyAlignment="1">
      <alignment horizontal="center" vertical="center"/>
    </xf>
    <xf numFmtId="0" fontId="12" fillId="17" borderId="0" xfId="32" applyFont="1" applyFill="1">
      <alignment vertical="center"/>
    </xf>
    <xf numFmtId="0" fontId="98" fillId="15" borderId="0" xfId="32" applyFont="1" applyFill="1" applyAlignment="1">
      <alignment horizontal="left" vertical="center" wrapText="1"/>
    </xf>
    <xf numFmtId="0" fontId="8" fillId="7" borderId="1" xfId="38" applyFont="1" applyFill="1" applyBorder="1" applyAlignment="1">
      <alignment horizontal="center" vertical="center"/>
    </xf>
    <xf numFmtId="0" fontId="8" fillId="7" borderId="1" xfId="38" applyFont="1" applyFill="1" applyBorder="1">
      <alignment vertical="center"/>
    </xf>
    <xf numFmtId="0" fontId="14" fillId="7" borderId="1" xfId="38" applyFont="1" applyFill="1" applyBorder="1" applyAlignment="1">
      <alignment horizontal="left" vertical="center"/>
    </xf>
    <xf numFmtId="183" fontId="17" fillId="10" borderId="1" xfId="38" applyNumberFormat="1" applyFont="1" applyFill="1" applyBorder="1" applyAlignment="1">
      <alignment horizontal="center" vertical="center"/>
    </xf>
    <xf numFmtId="0" fontId="72" fillId="0" borderId="0" xfId="0" applyFont="1">
      <alignment vertical="center"/>
    </xf>
    <xf numFmtId="0" fontId="72" fillId="0" borderId="5" xfId="0" applyFont="1" applyBorder="1">
      <alignment vertical="center"/>
    </xf>
    <xf numFmtId="0" fontId="72" fillId="0" borderId="11" xfId="0" applyFont="1" applyBorder="1">
      <alignment vertical="center"/>
    </xf>
    <xf numFmtId="0" fontId="72" fillId="9" borderId="1" xfId="0" applyFont="1" applyFill="1" applyBorder="1" applyAlignment="1">
      <alignment horizontal="center" vertical="center"/>
    </xf>
    <xf numFmtId="0" fontId="72" fillId="0" borderId="1" xfId="0" applyFont="1" applyBorder="1">
      <alignment vertical="center"/>
    </xf>
    <xf numFmtId="183" fontId="72" fillId="0" borderId="56" xfId="11" applyNumberFormat="1" applyFont="1" applyFill="1" applyBorder="1">
      <alignment vertical="center"/>
    </xf>
    <xf numFmtId="183" fontId="72" fillId="0" borderId="1" xfId="11" applyNumberFormat="1" applyFont="1" applyFill="1" applyBorder="1">
      <alignment vertical="center"/>
    </xf>
    <xf numFmtId="183" fontId="72" fillId="0" borderId="11" xfId="11" applyNumberFormat="1" applyFont="1" applyFill="1" applyBorder="1">
      <alignment vertical="center"/>
    </xf>
    <xf numFmtId="183" fontId="72" fillId="0" borderId="57" xfId="11" applyNumberFormat="1" applyFont="1" applyFill="1" applyBorder="1">
      <alignment vertical="center"/>
    </xf>
    <xf numFmtId="183" fontId="96" fillId="0" borderId="15" xfId="11" applyNumberFormat="1" applyFont="1" applyFill="1" applyBorder="1">
      <alignment vertical="center"/>
    </xf>
    <xf numFmtId="0" fontId="96" fillId="0" borderId="5" xfId="25" applyFont="1" applyBorder="1">
      <alignment vertical="center"/>
    </xf>
    <xf numFmtId="183" fontId="72" fillId="0" borderId="15" xfId="11" applyNumberFormat="1" applyFont="1" applyFill="1" applyBorder="1">
      <alignment vertical="center"/>
    </xf>
    <xf numFmtId="183" fontId="115" fillId="0" borderId="1" xfId="11" applyNumberFormat="1" applyFont="1" applyFill="1" applyBorder="1">
      <alignment vertical="center"/>
    </xf>
    <xf numFmtId="183" fontId="35" fillId="8" borderId="68" xfId="16" applyNumberFormat="1" applyFont="1" applyFill="1" applyBorder="1" applyAlignment="1">
      <alignment horizontal="right" vertical="center"/>
    </xf>
    <xf numFmtId="0" fontId="29" fillId="0" borderId="2" xfId="39" applyFont="1" applyBorder="1">
      <alignment vertical="center"/>
    </xf>
    <xf numFmtId="0" fontId="17" fillId="0" borderId="2" xfId="38" applyFont="1" applyBorder="1" applyAlignment="1">
      <alignment horizontal="center" vertical="center" wrapText="1"/>
    </xf>
    <xf numFmtId="41" fontId="35" fillId="0" borderId="131" xfId="16" applyFont="1" applyFill="1" applyBorder="1" applyAlignment="1">
      <alignment horizontal="right" vertical="center"/>
    </xf>
    <xf numFmtId="41" fontId="35" fillId="0" borderId="132" xfId="16" applyFont="1" applyFill="1" applyBorder="1" applyAlignment="1">
      <alignment horizontal="right" vertical="center"/>
    </xf>
    <xf numFmtId="178" fontId="35" fillId="10" borderId="76" xfId="11" applyNumberFormat="1" applyFont="1" applyFill="1" applyBorder="1" applyAlignment="1">
      <alignment horizontal="right" vertical="center"/>
    </xf>
    <xf numFmtId="188" fontId="72" fillId="0" borderId="1" xfId="11" applyNumberFormat="1" applyFont="1" applyFill="1" applyBorder="1">
      <alignment vertical="center"/>
    </xf>
    <xf numFmtId="188" fontId="72" fillId="0" borderId="11" xfId="11" applyNumberFormat="1" applyFont="1" applyFill="1" applyBorder="1">
      <alignment vertical="center"/>
    </xf>
    <xf numFmtId="41" fontId="119" fillId="10" borderId="69" xfId="11" applyFont="1" applyFill="1" applyBorder="1" applyAlignment="1">
      <alignment horizontal="right" vertical="center" shrinkToFit="1"/>
    </xf>
    <xf numFmtId="41" fontId="119" fillId="10" borderId="1" xfId="11" applyFont="1" applyFill="1" applyBorder="1" applyAlignment="1">
      <alignment horizontal="right" vertical="center"/>
    </xf>
    <xf numFmtId="41" fontId="119" fillId="10" borderId="71" xfId="11" applyFont="1" applyFill="1" applyBorder="1" applyAlignment="1">
      <alignment horizontal="right" vertical="center"/>
    </xf>
    <xf numFmtId="41" fontId="119" fillId="10" borderId="85" xfId="11" applyFont="1" applyFill="1" applyBorder="1" applyAlignment="1">
      <alignment horizontal="right" vertical="center" shrinkToFit="1"/>
    </xf>
    <xf numFmtId="41" fontId="119" fillId="10" borderId="38" xfId="11" applyFont="1" applyFill="1" applyBorder="1" applyAlignment="1">
      <alignment horizontal="right" vertical="center" shrinkToFit="1"/>
    </xf>
    <xf numFmtId="41" fontId="119" fillId="10" borderId="101" xfId="11" applyFont="1" applyFill="1" applyBorder="1" applyAlignment="1">
      <alignment horizontal="right" vertical="center" shrinkToFit="1"/>
    </xf>
    <xf numFmtId="183" fontId="116" fillId="8" borderId="106" xfId="38" applyNumberFormat="1" applyFont="1" applyFill="1" applyBorder="1" applyAlignment="1">
      <alignment horizontal="right" vertical="center"/>
    </xf>
    <xf numFmtId="0" fontId="19" fillId="11" borderId="5" xfId="27" applyFont="1" applyFill="1" applyBorder="1">
      <alignment vertical="center"/>
    </xf>
    <xf numFmtId="183" fontId="78" fillId="8" borderId="68" xfId="16" applyNumberFormat="1" applyFont="1" applyFill="1" applyBorder="1" applyAlignment="1">
      <alignment horizontal="right" vertical="center"/>
    </xf>
    <xf numFmtId="183" fontId="78" fillId="8" borderId="72" xfId="16" applyNumberFormat="1" applyFont="1" applyFill="1" applyBorder="1" applyAlignment="1">
      <alignment horizontal="right" vertical="center"/>
    </xf>
    <xf numFmtId="183" fontId="78" fillId="8" borderId="106" xfId="16" applyNumberFormat="1" applyFont="1" applyFill="1" applyBorder="1" applyAlignment="1">
      <alignment horizontal="right" vertical="center"/>
    </xf>
    <xf numFmtId="0" fontId="17" fillId="5" borderId="1" xfId="39" applyFont="1" applyFill="1" applyBorder="1">
      <alignment vertical="center"/>
    </xf>
    <xf numFmtId="0" fontId="120" fillId="18" borderId="58" xfId="39" applyFont="1" applyFill="1" applyBorder="1" applyAlignment="1">
      <alignment horizontal="center" vertical="center"/>
    </xf>
    <xf numFmtId="41" fontId="35" fillId="0" borderId="117" xfId="16" applyFont="1" applyFill="1" applyBorder="1" applyAlignment="1">
      <alignment horizontal="right" vertical="center"/>
    </xf>
    <xf numFmtId="184" fontId="35" fillId="0" borderId="15" xfId="2" applyNumberFormat="1" applyFont="1" applyFill="1" applyBorder="1" applyAlignment="1">
      <alignment horizontal="right" vertical="center"/>
    </xf>
    <xf numFmtId="184" fontId="35" fillId="0" borderId="133" xfId="2" applyNumberFormat="1" applyFont="1" applyFill="1" applyBorder="1" applyAlignment="1">
      <alignment horizontal="right" vertical="center"/>
    </xf>
    <xf numFmtId="0" fontId="12" fillId="12" borderId="0" xfId="32" applyFont="1" applyFill="1">
      <alignment vertical="center"/>
    </xf>
    <xf numFmtId="0" fontId="0" fillId="12" borderId="0" xfId="0" applyFill="1">
      <alignment vertical="center"/>
    </xf>
    <xf numFmtId="0" fontId="124" fillId="17" borderId="0" xfId="32" applyFont="1" applyFill="1" applyAlignment="1">
      <alignment horizontal="center" vertical="center"/>
    </xf>
    <xf numFmtId="0" fontId="74" fillId="0" borderId="13" xfId="0" applyFont="1" applyBorder="1">
      <alignment vertical="center"/>
    </xf>
    <xf numFmtId="179" fontId="66" fillId="0" borderId="13" xfId="11" applyNumberFormat="1" applyFont="1" applyFill="1" applyBorder="1" applyAlignment="1">
      <alignment horizontal="right" vertical="center"/>
    </xf>
    <xf numFmtId="179" fontId="66" fillId="7" borderId="13" xfId="11" applyNumberFormat="1" applyFont="1" applyFill="1" applyBorder="1" applyAlignment="1">
      <alignment horizontal="right" vertical="center"/>
    </xf>
    <xf numFmtId="179" fontId="66" fillId="0" borderId="134" xfId="11" applyNumberFormat="1" applyFont="1" applyFill="1" applyBorder="1" applyAlignment="1">
      <alignment horizontal="right" vertical="center"/>
    </xf>
    <xf numFmtId="179" fontId="66" fillId="0" borderId="3" xfId="11" applyNumberFormat="1" applyFont="1" applyFill="1" applyBorder="1" applyAlignment="1">
      <alignment horizontal="right" vertical="center"/>
    </xf>
    <xf numFmtId="179" fontId="66" fillId="7" borderId="107" xfId="11" applyNumberFormat="1" applyFont="1" applyFill="1" applyBorder="1" applyAlignment="1">
      <alignment horizontal="right" vertical="center"/>
    </xf>
    <xf numFmtId="179" fontId="66" fillId="0" borderId="107" xfId="11" applyNumberFormat="1" applyFont="1" applyFill="1" applyBorder="1" applyAlignment="1">
      <alignment horizontal="right" vertical="center"/>
    </xf>
    <xf numFmtId="179" fontId="106" fillId="0" borderId="38" xfId="23" applyNumberFormat="1" applyFont="1" applyFill="1" applyBorder="1" applyAlignment="1">
      <alignment horizontal="right" vertical="center"/>
    </xf>
    <xf numFmtId="179" fontId="106" fillId="7" borderId="38" xfId="23" applyNumberFormat="1" applyFont="1" applyFill="1" applyBorder="1" applyAlignment="1">
      <alignment horizontal="right" vertical="center"/>
    </xf>
    <xf numFmtId="179" fontId="106" fillId="7" borderId="12" xfId="23" applyNumberFormat="1" applyFont="1" applyFill="1" applyBorder="1" applyAlignment="1">
      <alignment horizontal="right" vertical="center"/>
    </xf>
    <xf numFmtId="179" fontId="106" fillId="0" borderId="88" xfId="23" applyNumberFormat="1" applyFont="1" applyFill="1" applyBorder="1" applyAlignment="1">
      <alignment horizontal="right" vertical="center"/>
    </xf>
    <xf numFmtId="179" fontId="106" fillId="7" borderId="125" xfId="23" applyNumberFormat="1" applyFont="1" applyFill="1" applyBorder="1" applyAlignment="1">
      <alignment horizontal="right" vertical="center"/>
    </xf>
    <xf numFmtId="179" fontId="106" fillId="0" borderId="45" xfId="23" applyNumberFormat="1" applyFont="1" applyFill="1" applyBorder="1" applyAlignment="1">
      <alignment horizontal="right" vertical="center"/>
    </xf>
    <xf numFmtId="179" fontId="106" fillId="0" borderId="12" xfId="23" applyNumberFormat="1" applyFont="1" applyFill="1" applyBorder="1" applyAlignment="1">
      <alignment horizontal="right" vertical="center"/>
    </xf>
    <xf numFmtId="179" fontId="106" fillId="7" borderId="85" xfId="23" applyNumberFormat="1" applyFont="1" applyFill="1" applyBorder="1" applyAlignment="1">
      <alignment horizontal="right" vertical="center"/>
    </xf>
    <xf numFmtId="179" fontId="106" fillId="7" borderId="101" xfId="23" applyNumberFormat="1" applyFont="1" applyFill="1" applyBorder="1" applyAlignment="1">
      <alignment horizontal="right" vertical="center"/>
    </xf>
    <xf numFmtId="179" fontId="106" fillId="0" borderId="85" xfId="23" applyNumberFormat="1" applyFont="1" applyFill="1" applyBorder="1" applyAlignment="1">
      <alignment horizontal="right" vertical="center"/>
    </xf>
    <xf numFmtId="179" fontId="106" fillId="0" borderId="101" xfId="23" applyNumberFormat="1" applyFont="1" applyFill="1" applyBorder="1" applyAlignment="1">
      <alignment horizontal="right" vertical="center"/>
    </xf>
    <xf numFmtId="179" fontId="106" fillId="0" borderId="136" xfId="11" applyNumberFormat="1" applyFont="1" applyFill="1" applyBorder="1" applyAlignment="1">
      <alignment horizontal="right" vertical="center"/>
    </xf>
    <xf numFmtId="179" fontId="106" fillId="0" borderId="137" xfId="11" applyNumberFormat="1" applyFont="1" applyFill="1" applyBorder="1" applyAlignment="1">
      <alignment horizontal="right" vertical="center"/>
    </xf>
    <xf numFmtId="179" fontId="66" fillId="7" borderId="12" xfId="11" applyNumberFormat="1" applyFont="1" applyFill="1" applyBorder="1" applyAlignment="1">
      <alignment horizontal="right" vertical="center"/>
    </xf>
    <xf numFmtId="179" fontId="66" fillId="7" borderId="125" xfId="11" applyNumberFormat="1" applyFont="1" applyFill="1" applyBorder="1" applyAlignment="1">
      <alignment horizontal="right" vertical="center"/>
    </xf>
    <xf numFmtId="0" fontId="18" fillId="0" borderId="12" xfId="38" applyFont="1" applyBorder="1" applyAlignment="1">
      <alignment horizontal="left" vertical="center"/>
    </xf>
    <xf numFmtId="0" fontId="35" fillId="0" borderId="143" xfId="39" applyFont="1" applyBorder="1">
      <alignment vertical="center"/>
    </xf>
    <xf numFmtId="41" fontId="35" fillId="8" borderId="38" xfId="16" applyFont="1" applyFill="1" applyBorder="1" applyAlignment="1">
      <alignment horizontal="right" vertical="center" shrinkToFit="1"/>
    </xf>
    <xf numFmtId="41" fontId="35" fillId="8" borderId="101" xfId="16" applyFont="1" applyFill="1" applyBorder="1" applyAlignment="1">
      <alignment horizontal="right" vertical="center" shrinkToFit="1"/>
    </xf>
    <xf numFmtId="0" fontId="18" fillId="0" borderId="4" xfId="38" applyFont="1" applyBorder="1" applyAlignment="1">
      <alignment horizontal="left" vertical="center"/>
    </xf>
    <xf numFmtId="41" fontId="35" fillId="8" borderId="38" xfId="16" applyFont="1" applyFill="1" applyBorder="1" applyAlignment="1">
      <alignment horizontal="right" vertical="center"/>
    </xf>
    <xf numFmtId="41" fontId="35" fillId="8" borderId="101" xfId="16" applyFont="1" applyFill="1" applyBorder="1" applyAlignment="1">
      <alignment horizontal="right" vertical="center"/>
    </xf>
    <xf numFmtId="9" fontId="35" fillId="8" borderId="76" xfId="10" applyFont="1" applyFill="1" applyBorder="1" applyAlignment="1">
      <alignment horizontal="right" vertical="center"/>
    </xf>
    <xf numFmtId="41" fontId="35" fillId="0" borderId="144" xfId="16" applyFont="1" applyFill="1" applyBorder="1" applyAlignment="1">
      <alignment horizontal="right" vertical="center"/>
    </xf>
    <xf numFmtId="41" fontId="35" fillId="0" borderId="145" xfId="16" applyFont="1" applyFill="1" applyBorder="1" applyAlignment="1">
      <alignment horizontal="right" vertical="center"/>
    </xf>
    <xf numFmtId="0" fontId="29" fillId="0" borderId="11" xfId="39" applyFont="1" applyBorder="1">
      <alignment vertical="center"/>
    </xf>
    <xf numFmtId="41" fontId="116" fillId="8" borderId="69" xfId="16" applyFont="1" applyFill="1" applyBorder="1" applyAlignment="1">
      <alignment horizontal="center" vertical="center"/>
    </xf>
    <xf numFmtId="41" fontId="116" fillId="8" borderId="1" xfId="16" applyFont="1" applyFill="1" applyBorder="1" applyAlignment="1">
      <alignment horizontal="center" vertical="center"/>
    </xf>
    <xf numFmtId="41" fontId="116" fillId="8" borderId="71" xfId="16" applyFont="1" applyFill="1" applyBorder="1" applyAlignment="1">
      <alignment horizontal="center" vertical="center"/>
    </xf>
    <xf numFmtId="0" fontId="74" fillId="5" borderId="7" xfId="0" applyFont="1" applyFill="1" applyBorder="1">
      <alignment vertical="center"/>
    </xf>
    <xf numFmtId="0" fontId="74" fillId="5" borderId="13" xfId="0" applyFont="1" applyFill="1" applyBorder="1">
      <alignment vertical="center"/>
    </xf>
    <xf numFmtId="0" fontId="74" fillId="5" borderId="1" xfId="0" applyFont="1" applyFill="1" applyBorder="1">
      <alignment vertical="center"/>
    </xf>
    <xf numFmtId="0" fontId="74" fillId="5" borderId="8" xfId="0" applyFont="1" applyFill="1" applyBorder="1">
      <alignment vertical="center"/>
    </xf>
    <xf numFmtId="0" fontId="74" fillId="5" borderId="16" xfId="0" applyFont="1" applyFill="1" applyBorder="1">
      <alignment vertical="center"/>
    </xf>
    <xf numFmtId="41" fontId="12" fillId="3" borderId="1" xfId="23" applyFont="1" applyFill="1" applyBorder="1" applyAlignment="1">
      <alignment horizontal="center" vertical="center"/>
    </xf>
    <xf numFmtId="41" fontId="12" fillId="2" borderId="1" xfId="23" applyFont="1" applyFill="1" applyBorder="1">
      <alignment vertical="center"/>
    </xf>
    <xf numFmtId="41" fontId="10" fillId="2" borderId="1" xfId="23" applyFont="1" applyFill="1" applyBorder="1">
      <alignment vertical="center"/>
    </xf>
    <xf numFmtId="41" fontId="12" fillId="0" borderId="1" xfId="23" applyFont="1" applyBorder="1" applyAlignment="1">
      <alignment horizontal="center" vertical="center"/>
    </xf>
    <xf numFmtId="0" fontId="17" fillId="15" borderId="0" xfId="38" applyFont="1" applyFill="1" applyAlignment="1">
      <alignment horizontal="center" vertical="center" wrapText="1"/>
    </xf>
    <xf numFmtId="0" fontId="17" fillId="15" borderId="2" xfId="38" applyFont="1" applyFill="1" applyBorder="1" applyAlignment="1">
      <alignment horizontal="center" vertical="center" wrapText="1"/>
    </xf>
    <xf numFmtId="0" fontId="29" fillId="0" borderId="3" xfId="39" applyFont="1" applyBorder="1">
      <alignment vertical="center"/>
    </xf>
    <xf numFmtId="41" fontId="37" fillId="10" borderId="11" xfId="16" applyFont="1" applyFill="1" applyBorder="1" applyAlignment="1">
      <alignment horizontal="right" vertical="center" wrapText="1"/>
    </xf>
    <xf numFmtId="10" fontId="35" fillId="10" borderId="9" xfId="2" applyNumberFormat="1" applyFont="1" applyFill="1" applyBorder="1" applyAlignment="1">
      <alignment horizontal="right" vertical="center"/>
    </xf>
    <xf numFmtId="10" fontId="35" fillId="10" borderId="146" xfId="2" applyNumberFormat="1" applyFont="1" applyFill="1" applyBorder="1" applyAlignment="1">
      <alignment horizontal="right" vertical="center"/>
    </xf>
    <xf numFmtId="178" fontId="35" fillId="10" borderId="3" xfId="11" applyNumberFormat="1" applyFont="1" applyFill="1" applyBorder="1" applyAlignment="1">
      <alignment horizontal="right" vertical="center"/>
    </xf>
    <xf numFmtId="41" fontId="35" fillId="10" borderId="11" xfId="16" applyFont="1" applyFill="1" applyBorder="1" applyAlignment="1">
      <alignment horizontal="right" vertical="center"/>
    </xf>
    <xf numFmtId="0" fontId="18" fillId="15" borderId="141" xfId="38" applyFont="1" applyFill="1" applyBorder="1">
      <alignment vertical="center"/>
    </xf>
    <xf numFmtId="41" fontId="37" fillId="10" borderId="8" xfId="16" applyFont="1" applyFill="1" applyBorder="1" applyAlignment="1">
      <alignment horizontal="right" vertical="center" wrapText="1"/>
    </xf>
    <xf numFmtId="41" fontId="37" fillId="10" borderId="97" xfId="16" applyFont="1" applyFill="1" applyBorder="1" applyAlignment="1">
      <alignment horizontal="right" vertical="center" wrapText="1"/>
    </xf>
    <xf numFmtId="184" fontId="37" fillId="10" borderId="152" xfId="10" applyNumberFormat="1" applyFont="1" applyFill="1" applyBorder="1" applyAlignment="1">
      <alignment horizontal="right" vertical="center" wrapText="1"/>
    </xf>
    <xf numFmtId="184" fontId="37" fillId="10" borderId="154" xfId="10" applyNumberFormat="1" applyFont="1" applyFill="1" applyBorder="1" applyAlignment="1">
      <alignment horizontal="right" vertical="center" wrapText="1"/>
    </xf>
    <xf numFmtId="184" fontId="37" fillId="10" borderId="149" xfId="10" applyNumberFormat="1" applyFont="1" applyFill="1" applyBorder="1" applyAlignment="1">
      <alignment horizontal="right" vertical="center" wrapText="1"/>
    </xf>
    <xf numFmtId="0" fontId="19" fillId="15" borderId="126" xfId="38" applyFont="1" applyFill="1" applyBorder="1" applyAlignment="1">
      <alignment vertical="center" shrinkToFit="1"/>
    </xf>
    <xf numFmtId="0" fontId="19" fillId="15" borderId="148" xfId="38" applyFont="1" applyFill="1" applyBorder="1" applyAlignment="1">
      <alignment horizontal="left" vertical="center" shrinkToFit="1"/>
    </xf>
    <xf numFmtId="0" fontId="84" fillId="15" borderId="141" xfId="38" applyFont="1" applyFill="1" applyBorder="1" applyAlignment="1">
      <alignment horizontal="left" vertical="center"/>
    </xf>
    <xf numFmtId="0" fontId="84" fillId="0" borderId="141" xfId="38" applyFont="1" applyBorder="1" applyAlignment="1">
      <alignment horizontal="left" vertical="center"/>
    </xf>
    <xf numFmtId="0" fontId="17" fillId="15" borderId="155" xfId="38" applyFont="1" applyFill="1" applyBorder="1" applyAlignment="1">
      <alignment horizontal="center" vertical="center" wrapText="1"/>
    </xf>
    <xf numFmtId="0" fontId="18" fillId="15" borderId="22" xfId="38" applyFont="1" applyFill="1" applyBorder="1">
      <alignment vertical="center"/>
    </xf>
    <xf numFmtId="41" fontId="35" fillId="10" borderId="156" xfId="16" applyFont="1" applyFill="1" applyBorder="1" applyAlignment="1">
      <alignment horizontal="right" vertical="center"/>
    </xf>
    <xf numFmtId="41" fontId="35" fillId="0" borderId="157" xfId="16" applyFont="1" applyFill="1" applyBorder="1" applyAlignment="1">
      <alignment horizontal="right" vertical="center"/>
    </xf>
    <xf numFmtId="41" fontId="35" fillId="0" borderId="158" xfId="16" applyFont="1" applyFill="1" applyBorder="1" applyAlignment="1">
      <alignment horizontal="right" vertical="center"/>
    </xf>
    <xf numFmtId="0" fontId="1" fillId="5" borderId="5" xfId="25" applyFont="1" applyFill="1" applyBorder="1">
      <alignment vertical="center"/>
    </xf>
    <xf numFmtId="0" fontId="16" fillId="0" borderId="1" xfId="32" applyFont="1" applyBorder="1">
      <alignment vertical="center"/>
    </xf>
    <xf numFmtId="0" fontId="15" fillId="7" borderId="1" xfId="38" applyFont="1" applyFill="1" applyBorder="1" applyAlignment="1">
      <alignment horizontal="center" vertical="center" shrinkToFit="1"/>
    </xf>
    <xf numFmtId="41" fontId="17" fillId="7" borderId="1" xfId="16" applyFont="1" applyFill="1" applyBorder="1" applyAlignment="1">
      <alignment horizontal="center" vertical="center" shrinkToFit="1"/>
    </xf>
    <xf numFmtId="41" fontId="84" fillId="2" borderId="1" xfId="16" applyFont="1" applyFill="1" applyBorder="1" applyAlignment="1">
      <alignment horizontal="right" vertical="center"/>
    </xf>
    <xf numFmtId="41" fontId="84" fillId="0" borderId="15" xfId="16" applyFont="1" applyBorder="1" applyAlignment="1">
      <alignment horizontal="right" vertical="center"/>
    </xf>
    <xf numFmtId="190" fontId="18" fillId="0" borderId="1" xfId="41" applyNumberFormat="1" applyFont="1" applyBorder="1" applyAlignment="1">
      <alignment horizontal="right" vertical="center" wrapText="1"/>
    </xf>
    <xf numFmtId="179" fontId="18" fillId="6" borderId="1" xfId="16" applyNumberFormat="1" applyFont="1" applyFill="1" applyBorder="1" applyAlignment="1">
      <alignment horizontal="right" vertical="center"/>
    </xf>
    <xf numFmtId="0" fontId="29" fillId="0" borderId="159" xfId="39" applyFont="1" applyBorder="1">
      <alignment vertical="center"/>
    </xf>
    <xf numFmtId="0" fontId="17" fillId="0" borderId="7" xfId="32" applyFont="1" applyBorder="1" applyAlignment="1">
      <alignment horizontal="center" vertical="center"/>
    </xf>
    <xf numFmtId="0" fontId="17" fillId="0" borderId="13" xfId="32" applyFont="1" applyBorder="1" applyAlignment="1">
      <alignment horizontal="center" vertical="center"/>
    </xf>
    <xf numFmtId="0" fontId="17" fillId="0" borderId="8" xfId="32" applyFont="1" applyBorder="1" applyAlignment="1">
      <alignment horizontal="center" vertical="center"/>
    </xf>
    <xf numFmtId="0" fontId="17" fillId="0" borderId="7" xfId="32" applyFont="1" applyBorder="1" applyAlignment="1">
      <alignment horizontal="center" vertical="center" wrapText="1"/>
    </xf>
    <xf numFmtId="0" fontId="17" fillId="0" borderId="8" xfId="32" applyFont="1" applyBorder="1" applyAlignment="1">
      <alignment horizontal="center" vertical="center" wrapText="1"/>
    </xf>
    <xf numFmtId="0" fontId="98" fillId="11" borderId="22" xfId="32" applyFont="1" applyFill="1" applyBorder="1" applyAlignment="1">
      <alignment horizontal="center" vertical="center" wrapText="1"/>
    </xf>
    <xf numFmtId="0" fontId="98" fillId="15" borderId="22" xfId="32" applyFont="1" applyFill="1" applyBorder="1" applyAlignment="1">
      <alignment horizontal="left" vertical="center" wrapText="1"/>
    </xf>
    <xf numFmtId="0" fontId="96" fillId="0" borderId="0" xfId="25" applyFont="1" applyAlignment="1">
      <alignment horizontal="center" vertical="center"/>
    </xf>
    <xf numFmtId="0" fontId="18" fillId="0" borderId="160" xfId="38" applyFont="1" applyBorder="1" applyAlignment="1">
      <alignment horizontal="left" vertical="center"/>
    </xf>
    <xf numFmtId="0" fontId="18" fillId="0" borderId="0" xfId="38" applyFont="1">
      <alignment vertical="center"/>
    </xf>
    <xf numFmtId="41" fontId="35" fillId="0" borderId="0" xfId="16" applyFont="1" applyFill="1" applyBorder="1" applyAlignment="1">
      <alignment horizontal="right" vertical="center" shrinkToFit="1"/>
    </xf>
    <xf numFmtId="41" fontId="18" fillId="8" borderId="129" xfId="16" applyFont="1" applyFill="1" applyBorder="1" applyAlignment="1">
      <alignment horizontal="right" vertical="center"/>
    </xf>
    <xf numFmtId="41" fontId="18" fillId="8" borderId="130" xfId="16" applyFont="1" applyFill="1" applyBorder="1" applyAlignment="1">
      <alignment horizontal="right" vertical="center"/>
    </xf>
    <xf numFmtId="41" fontId="18" fillId="8" borderId="84" xfId="16" applyFont="1" applyFill="1" applyBorder="1" applyAlignment="1">
      <alignment horizontal="right" vertical="center"/>
    </xf>
    <xf numFmtId="41" fontId="18" fillId="0" borderId="161" xfId="16" applyFont="1" applyFill="1" applyBorder="1" applyAlignment="1">
      <alignment horizontal="right" vertical="center"/>
    </xf>
    <xf numFmtId="41" fontId="18" fillId="0" borderId="162" xfId="16" applyFont="1" applyFill="1" applyBorder="1" applyAlignment="1">
      <alignment horizontal="right" vertical="center"/>
    </xf>
    <xf numFmtId="41" fontId="72" fillId="0" borderId="163" xfId="16" applyFont="1" applyFill="1" applyBorder="1">
      <alignment vertical="center"/>
    </xf>
    <xf numFmtId="41" fontId="37" fillId="0" borderId="6" xfId="16" applyFont="1" applyBorder="1" applyAlignment="1">
      <alignment horizontal="center" vertical="center"/>
    </xf>
    <xf numFmtId="41" fontId="116" fillId="10" borderId="151" xfId="16" applyFont="1" applyFill="1" applyBorder="1" applyAlignment="1">
      <alignment horizontal="right" vertical="center"/>
    </xf>
    <xf numFmtId="41" fontId="116" fillId="10" borderId="153" xfId="16" applyFont="1" applyFill="1" applyBorder="1" applyAlignment="1">
      <alignment horizontal="right" vertical="center"/>
    </xf>
    <xf numFmtId="41" fontId="33" fillId="0" borderId="157" xfId="16" applyFont="1" applyFill="1" applyBorder="1" applyAlignment="1">
      <alignment horizontal="right" vertical="center"/>
    </xf>
    <xf numFmtId="41" fontId="33" fillId="0" borderId="158" xfId="16" applyFont="1" applyFill="1" applyBorder="1" applyAlignment="1">
      <alignment horizontal="right" vertical="center"/>
    </xf>
    <xf numFmtId="0" fontId="129" fillId="5" borderId="4" xfId="38" applyFont="1" applyFill="1" applyBorder="1">
      <alignment vertical="center"/>
    </xf>
    <xf numFmtId="0" fontId="129" fillId="5" borderId="5" xfId="38" applyFont="1" applyFill="1" applyBorder="1" applyAlignment="1">
      <alignment horizontal="left" vertical="center"/>
    </xf>
    <xf numFmtId="0" fontId="129" fillId="5" borderId="5" xfId="38" applyFont="1" applyFill="1" applyBorder="1">
      <alignment vertical="center"/>
    </xf>
    <xf numFmtId="0" fontId="129" fillId="5" borderId="12" xfId="38" applyFont="1" applyFill="1" applyBorder="1">
      <alignment vertical="center"/>
    </xf>
    <xf numFmtId="41" fontId="116" fillId="8" borderId="84" xfId="16" applyFont="1" applyFill="1" applyBorder="1" applyAlignment="1">
      <alignment horizontal="right" vertical="center" shrinkToFit="1"/>
    </xf>
    <xf numFmtId="41" fontId="116" fillId="8" borderId="69" xfId="16" applyFont="1" applyFill="1" applyBorder="1" applyAlignment="1">
      <alignment horizontal="right" vertical="center"/>
    </xf>
    <xf numFmtId="41" fontId="116" fillId="8" borderId="85" xfId="16" applyFont="1" applyFill="1" applyBorder="1" applyAlignment="1">
      <alignment horizontal="right" vertical="center"/>
    </xf>
    <xf numFmtId="0" fontId="129" fillId="5" borderId="126" xfId="0" applyFont="1" applyFill="1" applyBorder="1" applyAlignment="1">
      <alignment horizontal="left" vertical="center" wrapText="1" readingOrder="1"/>
    </xf>
    <xf numFmtId="41" fontId="116" fillId="5" borderId="69" xfId="16" applyFont="1" applyFill="1" applyBorder="1" applyAlignment="1">
      <alignment horizontal="right" vertical="center" shrinkToFit="1"/>
    </xf>
    <xf numFmtId="0" fontId="129" fillId="5" borderId="141" xfId="0" applyFont="1" applyFill="1" applyBorder="1" applyAlignment="1">
      <alignment horizontal="left" vertical="center" wrapText="1" readingOrder="1"/>
    </xf>
    <xf numFmtId="41" fontId="116" fillId="5" borderId="82" xfId="16" applyFont="1" applyFill="1" applyBorder="1" applyAlignment="1">
      <alignment horizontal="right" vertical="center"/>
    </xf>
    <xf numFmtId="0" fontId="129" fillId="5" borderId="140" xfId="0" applyFont="1" applyFill="1" applyBorder="1" applyAlignment="1">
      <alignment horizontal="left" vertical="center" wrapText="1" readingOrder="1"/>
    </xf>
    <xf numFmtId="41" fontId="116" fillId="5" borderId="85" xfId="16" applyFont="1" applyFill="1" applyBorder="1" applyAlignment="1">
      <alignment horizontal="right" vertical="center"/>
    </xf>
    <xf numFmtId="0" fontId="129" fillId="5" borderId="148" xfId="0" applyFont="1" applyFill="1" applyBorder="1" applyAlignment="1">
      <alignment horizontal="left" vertical="center" wrapText="1" readingOrder="1"/>
    </xf>
    <xf numFmtId="41" fontId="116" fillId="5" borderId="10" xfId="16" applyFont="1" applyFill="1" applyBorder="1" applyAlignment="1">
      <alignment horizontal="right" vertical="center"/>
    </xf>
    <xf numFmtId="41" fontId="116" fillId="5" borderId="150" xfId="16" applyFont="1" applyFill="1" applyBorder="1" applyAlignment="1">
      <alignment horizontal="right" vertical="center"/>
    </xf>
    <xf numFmtId="0" fontId="129" fillId="5" borderId="147" xfId="38" applyFont="1" applyFill="1" applyBorder="1">
      <alignment vertical="center"/>
    </xf>
    <xf numFmtId="0" fontId="129" fillId="0" borderId="5" xfId="26" applyFont="1" applyBorder="1" applyAlignment="1">
      <alignment horizontal="left" vertical="center"/>
    </xf>
    <xf numFmtId="183" fontId="116" fillId="0" borderId="1" xfId="38" applyNumberFormat="1" applyFont="1" applyBorder="1" applyAlignment="1">
      <alignment horizontal="right" vertical="center"/>
    </xf>
    <xf numFmtId="0" fontId="133" fillId="5" borderId="5" xfId="26" applyFont="1" applyFill="1" applyBorder="1" applyAlignment="1">
      <alignment horizontal="left" vertical="center"/>
    </xf>
    <xf numFmtId="183" fontId="99" fillId="5" borderId="1" xfId="16" applyNumberFormat="1" applyFont="1" applyFill="1" applyBorder="1">
      <alignment vertical="center"/>
    </xf>
    <xf numFmtId="183" fontId="129" fillId="5" borderId="1" xfId="26" applyNumberFormat="1" applyFont="1" applyFill="1" applyBorder="1">
      <alignment vertical="center"/>
    </xf>
    <xf numFmtId="0" fontId="133" fillId="5" borderId="5" xfId="26" applyFont="1" applyFill="1" applyBorder="1" applyAlignment="1">
      <alignment horizontal="center" vertical="center"/>
    </xf>
    <xf numFmtId="41" fontId="134" fillId="2" borderId="1" xfId="22" applyFont="1" applyFill="1" applyBorder="1">
      <alignment vertical="center"/>
    </xf>
    <xf numFmtId="0" fontId="132" fillId="0" borderId="1" xfId="22" applyNumberFormat="1" applyFont="1" applyBorder="1" applyAlignment="1">
      <alignment horizontal="left" vertical="center"/>
    </xf>
    <xf numFmtId="41" fontId="132" fillId="2" borderId="1" xfId="22" applyFont="1" applyFill="1" applyBorder="1">
      <alignment vertical="center"/>
    </xf>
    <xf numFmtId="0" fontId="132" fillId="3" borderId="1" xfId="22" applyNumberFormat="1" applyFont="1" applyFill="1" applyBorder="1" applyAlignment="1">
      <alignment horizontal="left" vertical="center"/>
    </xf>
    <xf numFmtId="41" fontId="132" fillId="3" borderId="1" xfId="22" applyFont="1" applyFill="1" applyBorder="1">
      <alignment vertical="center"/>
    </xf>
    <xf numFmtId="41" fontId="134" fillId="3" borderId="1" xfId="22" applyFont="1" applyFill="1" applyBorder="1" applyAlignment="1">
      <alignment horizontal="center" vertical="center"/>
    </xf>
    <xf numFmtId="0" fontId="134" fillId="0" borderId="1" xfId="22" applyNumberFormat="1" applyFont="1" applyBorder="1" applyAlignment="1">
      <alignment horizontal="center" vertical="center"/>
    </xf>
    <xf numFmtId="41" fontId="116" fillId="8" borderId="1" xfId="16" applyFont="1" applyFill="1" applyBorder="1" applyAlignment="1">
      <alignment horizontal="right" vertical="center"/>
    </xf>
    <xf numFmtId="41" fontId="116" fillId="8" borderId="71" xfId="16" applyFont="1" applyFill="1" applyBorder="1" applyAlignment="1">
      <alignment horizontal="right" vertical="center"/>
    </xf>
    <xf numFmtId="183" fontId="129" fillId="5" borderId="1" xfId="24" applyNumberFormat="1" applyFont="1" applyFill="1" applyBorder="1">
      <alignment vertical="center"/>
    </xf>
    <xf numFmtId="0" fontId="129" fillId="5" borderId="5" xfId="26" applyFont="1" applyFill="1" applyBorder="1" applyAlignment="1">
      <alignment horizontal="left" vertical="center"/>
    </xf>
    <xf numFmtId="183" fontId="116" fillId="5" borderId="1" xfId="38" applyNumberFormat="1" applyFont="1" applyFill="1" applyBorder="1" applyAlignment="1">
      <alignment horizontal="right" vertical="center"/>
    </xf>
    <xf numFmtId="183" fontId="84" fillId="15" borderId="1" xfId="16" applyNumberFormat="1" applyFont="1" applyFill="1" applyBorder="1">
      <alignment vertical="center"/>
    </xf>
    <xf numFmtId="0" fontId="106" fillId="15" borderId="5" xfId="26" applyFont="1" applyFill="1" applyBorder="1" applyAlignment="1">
      <alignment horizontal="left" vertical="center"/>
    </xf>
    <xf numFmtId="183" fontId="84" fillId="15" borderId="1" xfId="26" applyNumberFormat="1" applyFont="1" applyFill="1" applyBorder="1">
      <alignment vertical="center"/>
    </xf>
    <xf numFmtId="183" fontId="72" fillId="0" borderId="0" xfId="25" applyNumberFormat="1" applyFont="1">
      <alignment vertical="center"/>
    </xf>
    <xf numFmtId="0" fontId="135" fillId="0" borderId="0" xfId="39" applyFont="1">
      <alignment vertical="center"/>
    </xf>
    <xf numFmtId="41" fontId="132" fillId="0" borderId="0" xfId="11" applyFont="1">
      <alignment vertical="center"/>
    </xf>
    <xf numFmtId="0" fontId="132" fillId="0" borderId="0" xfId="39" applyFont="1">
      <alignment vertical="center"/>
    </xf>
    <xf numFmtId="41" fontId="132" fillId="0" borderId="0" xfId="39" applyNumberFormat="1" applyFont="1">
      <alignment vertical="center"/>
    </xf>
    <xf numFmtId="41" fontId="29" fillId="0" borderId="0" xfId="11" applyFont="1">
      <alignment vertical="center"/>
    </xf>
    <xf numFmtId="0" fontId="71" fillId="5" borderId="5" xfId="32" applyFont="1" applyFill="1" applyBorder="1" applyAlignment="1">
      <alignment horizontal="left" vertical="center"/>
    </xf>
    <xf numFmtId="183" fontId="99" fillId="5" borderId="1" xfId="32" applyNumberFormat="1" applyFont="1" applyFill="1" applyBorder="1">
      <alignment vertical="center"/>
    </xf>
    <xf numFmtId="0" fontId="99" fillId="5" borderId="5" xfId="38" applyFont="1" applyFill="1" applyBorder="1">
      <alignment vertical="center"/>
    </xf>
    <xf numFmtId="179" fontId="66" fillId="5" borderId="8" xfId="11" applyNumberFormat="1" applyFont="1" applyFill="1" applyBorder="1" applyAlignment="1">
      <alignment horizontal="right" vertical="center"/>
    </xf>
    <xf numFmtId="179" fontId="106" fillId="5" borderId="91" xfId="11" applyNumberFormat="1" applyFont="1" applyFill="1" applyBorder="1" applyAlignment="1">
      <alignment horizontal="right" vertical="center"/>
    </xf>
    <xf numFmtId="179" fontId="66" fillId="5" borderId="7" xfId="11" applyNumberFormat="1" applyFont="1" applyFill="1" applyBorder="1" applyAlignment="1">
      <alignment horizontal="right" vertical="center"/>
    </xf>
    <xf numFmtId="179" fontId="106" fillId="5" borderId="103" xfId="11" applyNumberFormat="1" applyFont="1" applyFill="1" applyBorder="1" applyAlignment="1">
      <alignment horizontal="right" vertical="center"/>
    </xf>
    <xf numFmtId="179" fontId="66" fillId="5" borderId="86" xfId="11" applyNumberFormat="1" applyFont="1" applyFill="1" applyBorder="1" applyAlignment="1">
      <alignment horizontal="right" vertical="center"/>
    </xf>
    <xf numFmtId="179" fontId="106" fillId="5" borderId="119" xfId="11" applyNumberFormat="1" applyFont="1" applyFill="1" applyBorder="1" applyAlignment="1">
      <alignment horizontal="right" vertical="center"/>
    </xf>
    <xf numFmtId="179" fontId="66" fillId="5" borderId="9" xfId="11" applyNumberFormat="1" applyFont="1" applyFill="1" applyBorder="1" applyAlignment="1">
      <alignment horizontal="right" vertical="center"/>
    </xf>
    <xf numFmtId="179" fontId="66" fillId="5" borderId="82" xfId="11" applyNumberFormat="1" applyFont="1" applyFill="1" applyBorder="1" applyAlignment="1">
      <alignment horizontal="right" vertical="center"/>
    </xf>
    <xf numFmtId="179" fontId="106" fillId="5" borderId="95" xfId="11" applyNumberFormat="1" applyFont="1" applyFill="1" applyBorder="1" applyAlignment="1">
      <alignment horizontal="right" vertical="center"/>
    </xf>
    <xf numFmtId="0" fontId="0" fillId="5" borderId="0" xfId="0" applyFill="1">
      <alignment vertical="center"/>
    </xf>
    <xf numFmtId="179" fontId="106" fillId="5" borderId="138" xfId="11" applyNumberFormat="1" applyFont="1" applyFill="1" applyBorder="1" applyAlignment="1">
      <alignment horizontal="right" vertical="center"/>
    </xf>
    <xf numFmtId="179" fontId="106" fillId="5" borderId="16" xfId="11" applyNumberFormat="1" applyFont="1" applyFill="1" applyBorder="1" applyAlignment="1">
      <alignment horizontal="right" vertical="center"/>
    </xf>
    <xf numFmtId="179" fontId="106" fillId="5" borderId="139" xfId="11" applyNumberFormat="1" applyFont="1" applyFill="1" applyBorder="1" applyAlignment="1">
      <alignment horizontal="right" vertical="center"/>
    </xf>
    <xf numFmtId="178" fontId="69" fillId="0" borderId="0" xfId="11" applyNumberFormat="1" applyFont="1" applyFill="1" applyBorder="1" applyAlignment="1">
      <alignment horizontal="right" vertical="center" wrapText="1"/>
    </xf>
    <xf numFmtId="179" fontId="66" fillId="5" borderId="1" xfId="11" applyNumberFormat="1" applyFont="1" applyFill="1" applyBorder="1" applyAlignment="1">
      <alignment horizontal="right" vertical="center"/>
    </xf>
    <xf numFmtId="179" fontId="106" fillId="5" borderId="69" xfId="11" applyNumberFormat="1" applyFont="1" applyFill="1" applyBorder="1" applyAlignment="1">
      <alignment horizontal="right" vertical="center"/>
    </xf>
    <xf numFmtId="179" fontId="106" fillId="5" borderId="90" xfId="11" applyNumberFormat="1" applyFont="1" applyFill="1" applyBorder="1" applyAlignment="1">
      <alignment horizontal="right" vertical="center"/>
    </xf>
    <xf numFmtId="179" fontId="106" fillId="5" borderId="94" xfId="11" applyNumberFormat="1" applyFont="1" applyFill="1" applyBorder="1" applyAlignment="1">
      <alignment horizontal="right" vertical="center"/>
    </xf>
    <xf numFmtId="179" fontId="106" fillId="5" borderId="1" xfId="11" applyNumberFormat="1" applyFont="1" applyFill="1" applyBorder="1" applyAlignment="1">
      <alignment horizontal="right" vertical="center"/>
    </xf>
    <xf numFmtId="179" fontId="106" fillId="5" borderId="5" xfId="11" applyNumberFormat="1" applyFont="1" applyFill="1" applyBorder="1" applyAlignment="1">
      <alignment horizontal="right" vertical="center"/>
    </xf>
    <xf numFmtId="179" fontId="106" fillId="5" borderId="80" xfId="11" applyNumberFormat="1" applyFont="1" applyFill="1" applyBorder="1" applyAlignment="1">
      <alignment horizontal="right" vertical="center"/>
    </xf>
    <xf numFmtId="179" fontId="106" fillId="5" borderId="81" xfId="11" applyNumberFormat="1" applyFont="1" applyFill="1" applyBorder="1" applyAlignment="1">
      <alignment horizontal="right" vertical="center"/>
    </xf>
    <xf numFmtId="179" fontId="106" fillId="5" borderId="11" xfId="11" applyNumberFormat="1" applyFont="1" applyFill="1" applyBorder="1" applyAlignment="1">
      <alignment horizontal="right" vertical="center"/>
    </xf>
    <xf numFmtId="179" fontId="106" fillId="5" borderId="71" xfId="11" applyNumberFormat="1" applyFont="1" applyFill="1" applyBorder="1" applyAlignment="1">
      <alignment horizontal="right" vertical="center"/>
    </xf>
    <xf numFmtId="0" fontId="132" fillId="0" borderId="1" xfId="39" applyFont="1" applyBorder="1">
      <alignment vertical="center"/>
    </xf>
    <xf numFmtId="41" fontId="29" fillId="0" borderId="1" xfId="11" applyFont="1" applyBorder="1">
      <alignment vertical="center"/>
    </xf>
    <xf numFmtId="41" fontId="132" fillId="0" borderId="1" xfId="11" applyFont="1" applyBorder="1">
      <alignment vertical="center"/>
    </xf>
    <xf numFmtId="41" fontId="132" fillId="0" borderId="1" xfId="39" applyNumberFormat="1" applyFont="1" applyBorder="1">
      <alignment vertical="center"/>
    </xf>
    <xf numFmtId="41" fontId="29" fillId="0" borderId="1" xfId="39" applyNumberFormat="1" applyFont="1" applyBorder="1">
      <alignment vertical="center"/>
    </xf>
    <xf numFmtId="0" fontId="71" fillId="5" borderId="5" xfId="26" applyFont="1" applyFill="1" applyBorder="1" applyAlignment="1">
      <alignment horizontal="left" vertical="center"/>
    </xf>
    <xf numFmtId="183" fontId="99" fillId="5" borderId="1" xfId="24" applyNumberFormat="1" applyFont="1" applyFill="1" applyBorder="1">
      <alignment vertical="center"/>
    </xf>
    <xf numFmtId="183" fontId="99" fillId="5" borderId="1" xfId="26" applyNumberFormat="1" applyFont="1" applyFill="1" applyBorder="1">
      <alignment vertical="center"/>
    </xf>
    <xf numFmtId="0" fontId="129" fillId="0" borderId="1" xfId="39" applyFont="1" applyBorder="1">
      <alignment vertical="center"/>
    </xf>
    <xf numFmtId="41" fontId="35" fillId="0" borderId="0" xfId="39" applyNumberFormat="1" applyFont="1">
      <alignment vertical="center"/>
    </xf>
    <xf numFmtId="41" fontId="35" fillId="0" borderId="0" xfId="11" applyFont="1">
      <alignment vertical="center"/>
    </xf>
    <xf numFmtId="41" fontId="35" fillId="0" borderId="0" xfId="11" applyFont="1" applyAlignment="1">
      <alignment vertical="center"/>
    </xf>
    <xf numFmtId="193" fontId="116" fillId="5" borderId="0" xfId="39" applyNumberFormat="1" applyFont="1" applyFill="1">
      <alignment vertical="center"/>
    </xf>
    <xf numFmtId="0" fontId="88" fillId="0" borderId="0" xfId="31" applyFont="1" applyAlignment="1">
      <alignment horizontal="left" vertical="center"/>
    </xf>
    <xf numFmtId="0" fontId="90" fillId="0" borderId="0" xfId="42" applyFont="1" applyBorder="1" applyAlignment="1" applyProtection="1">
      <alignment horizontal="left" vertical="center"/>
    </xf>
    <xf numFmtId="0" fontId="121" fillId="0" borderId="17" xfId="31" applyFont="1" applyBorder="1" applyAlignment="1">
      <alignment horizontal="center" vertical="center"/>
    </xf>
    <xf numFmtId="0" fontId="121" fillId="0" borderId="0" xfId="31" applyFont="1" applyAlignment="1">
      <alignment horizontal="center" vertical="center"/>
    </xf>
    <xf numFmtId="0" fontId="121" fillId="0" borderId="21" xfId="31" applyFont="1" applyBorder="1" applyAlignment="1">
      <alignment horizontal="center" vertical="center"/>
    </xf>
    <xf numFmtId="0" fontId="86" fillId="0" borderId="22" xfId="32" applyFont="1" applyBorder="1" applyAlignment="1">
      <alignment horizontal="center" vertical="center"/>
    </xf>
    <xf numFmtId="0" fontId="89" fillId="0" borderId="0" xfId="42" applyFont="1" applyBorder="1" applyAlignment="1" applyProtection="1">
      <alignment horizontal="left" vertical="center"/>
    </xf>
    <xf numFmtId="0" fontId="107" fillId="13" borderId="5" xfId="0" applyFont="1" applyFill="1" applyBorder="1" applyAlignment="1">
      <alignment horizontal="center" vertical="center" wrapText="1"/>
    </xf>
    <xf numFmtId="0" fontId="107" fillId="13" borderId="6" xfId="0" applyFont="1" applyFill="1" applyBorder="1" applyAlignment="1">
      <alignment horizontal="center" vertical="center" wrapText="1"/>
    </xf>
    <xf numFmtId="0" fontId="107" fillId="13" borderId="160" xfId="0" applyFont="1" applyFill="1" applyBorder="1" applyAlignment="1">
      <alignment horizontal="center" vertical="center" wrapText="1"/>
    </xf>
    <xf numFmtId="0" fontId="107" fillId="13" borderId="65" xfId="0" applyFont="1" applyFill="1" applyBorder="1" applyAlignment="1">
      <alignment horizontal="center" vertical="center" wrapText="1"/>
    </xf>
    <xf numFmtId="0" fontId="107" fillId="13" borderId="129" xfId="0" applyFont="1" applyFill="1" applyBorder="1" applyAlignment="1">
      <alignment horizontal="center" vertical="center" wrapText="1"/>
    </xf>
    <xf numFmtId="0" fontId="107" fillId="13" borderId="130" xfId="0" applyFont="1" applyFill="1" applyBorder="1" applyAlignment="1">
      <alignment horizontal="center" vertical="center" wrapText="1"/>
    </xf>
    <xf numFmtId="0" fontId="9" fillId="6" borderId="46" xfId="31" applyFont="1" applyFill="1" applyBorder="1" applyAlignment="1">
      <alignment horizontal="left" vertical="center" wrapText="1"/>
    </xf>
    <xf numFmtId="0" fontId="107" fillId="13" borderId="11" xfId="0" applyFont="1" applyFill="1" applyBorder="1" applyAlignment="1">
      <alignment horizontal="center" vertical="center" wrapText="1"/>
    </xf>
    <xf numFmtId="0" fontId="105" fillId="0" borderId="8" xfId="0" applyFont="1" applyBorder="1" applyAlignment="1">
      <alignment horizontal="center" vertical="center" wrapText="1"/>
    </xf>
    <xf numFmtId="0" fontId="105" fillId="0" borderId="1" xfId="0" applyFont="1" applyBorder="1" applyAlignment="1">
      <alignment horizontal="center" vertical="center" wrapText="1"/>
    </xf>
    <xf numFmtId="0" fontId="105" fillId="0" borderId="38" xfId="0" applyFont="1" applyBorder="1" applyAlignment="1">
      <alignment horizontal="center" vertical="center" wrapText="1"/>
    </xf>
    <xf numFmtId="0" fontId="107" fillId="13" borderId="164" xfId="0" applyFont="1" applyFill="1" applyBorder="1" applyAlignment="1">
      <alignment horizontal="center" vertical="center" wrapText="1"/>
    </xf>
    <xf numFmtId="0" fontId="107" fillId="13" borderId="1" xfId="0" applyFont="1" applyFill="1" applyBorder="1" applyAlignment="1">
      <alignment horizontal="center" vertical="center" wrapText="1"/>
    </xf>
    <xf numFmtId="0" fontId="107" fillId="13" borderId="165" xfId="0" applyFont="1" applyFill="1" applyBorder="1" applyAlignment="1">
      <alignment horizontal="center" vertical="center" wrapText="1"/>
    </xf>
    <xf numFmtId="0" fontId="107" fillId="8" borderId="65" xfId="0" applyFont="1" applyFill="1" applyBorder="1" applyAlignment="1">
      <alignment horizontal="center" vertical="center" wrapText="1" readingOrder="1"/>
    </xf>
    <xf numFmtId="0" fontId="107" fillId="8" borderId="129" xfId="0" applyFont="1" applyFill="1" applyBorder="1" applyAlignment="1">
      <alignment horizontal="center" vertical="center" wrapText="1" readingOrder="1"/>
    </xf>
    <xf numFmtId="0" fontId="107" fillId="8" borderId="130" xfId="0" applyFont="1" applyFill="1" applyBorder="1" applyAlignment="1">
      <alignment horizontal="center" vertical="center" wrapText="1" readingOrder="1"/>
    </xf>
    <xf numFmtId="0" fontId="10" fillId="0" borderId="8" xfId="0" applyFont="1" applyBorder="1" applyAlignment="1">
      <alignment horizontal="center" vertical="center"/>
    </xf>
    <xf numFmtId="0" fontId="10" fillId="0" borderId="1" xfId="0" applyFont="1" applyBorder="1" applyAlignment="1">
      <alignment horizontal="center" vertical="center"/>
    </xf>
    <xf numFmtId="41" fontId="10" fillId="0" borderId="8" xfId="16" applyFont="1" applyFill="1" applyBorder="1" applyAlignment="1">
      <alignment horizontal="center" vertical="center"/>
    </xf>
    <xf numFmtId="41" fontId="10" fillId="0" borderId="1" xfId="16" applyFont="1" applyFill="1" applyBorder="1" applyAlignment="1">
      <alignment horizontal="center" vertical="center"/>
    </xf>
    <xf numFmtId="0" fontId="107" fillId="8" borderId="1" xfId="0" applyFont="1" applyFill="1" applyBorder="1" applyAlignment="1">
      <alignment horizontal="center" vertical="center" wrapText="1" readingOrder="1"/>
    </xf>
    <xf numFmtId="0" fontId="10" fillId="0" borderId="40" xfId="0" applyFont="1" applyBorder="1" applyAlignment="1">
      <alignment horizontal="center" vertical="center"/>
    </xf>
    <xf numFmtId="0" fontId="10" fillId="0" borderId="38" xfId="0" applyFont="1" applyBorder="1" applyAlignment="1">
      <alignment horizontal="center" vertical="center"/>
    </xf>
    <xf numFmtId="41" fontId="10" fillId="0" borderId="40" xfId="16" applyFont="1" applyFill="1" applyBorder="1" applyAlignment="1">
      <alignment horizontal="center" vertical="center"/>
    </xf>
    <xf numFmtId="0" fontId="105" fillId="0" borderId="1" xfId="0" applyFont="1" applyBorder="1" applyAlignment="1">
      <alignment horizontal="center" vertical="center"/>
    </xf>
    <xf numFmtId="0" fontId="105" fillId="14" borderId="1" xfId="0" applyFont="1" applyFill="1" applyBorder="1" applyAlignment="1">
      <alignment horizontal="center" vertical="center" wrapText="1" readingOrder="1"/>
    </xf>
    <xf numFmtId="0" fontId="8" fillId="6" borderId="46" xfId="31" applyFont="1" applyFill="1" applyBorder="1" applyAlignment="1">
      <alignment horizontal="left" vertical="center"/>
    </xf>
    <xf numFmtId="0" fontId="127" fillId="0" borderId="1" xfId="0" applyFont="1" applyBorder="1" applyAlignment="1">
      <alignment horizontal="center" vertical="center" wrapText="1"/>
    </xf>
    <xf numFmtId="0" fontId="105" fillId="0" borderId="40" xfId="0" applyFont="1" applyBorder="1" applyAlignment="1">
      <alignment horizontal="center" vertical="center" wrapText="1"/>
    </xf>
    <xf numFmtId="41" fontId="10" fillId="0" borderId="7" xfId="16" applyFont="1" applyFill="1" applyBorder="1" applyAlignment="1">
      <alignment horizontal="center" vertical="center"/>
    </xf>
    <xf numFmtId="41" fontId="10" fillId="0" borderId="16" xfId="16" applyFont="1" applyFill="1" applyBorder="1" applyAlignment="1">
      <alignment horizontal="center" vertical="center"/>
    </xf>
    <xf numFmtId="0" fontId="10" fillId="0" borderId="41" xfId="0" applyFont="1" applyBorder="1" applyAlignment="1">
      <alignment horizontal="center" vertical="center"/>
    </xf>
    <xf numFmtId="0" fontId="10" fillId="0" borderId="13" xfId="0" applyFont="1" applyBorder="1" applyAlignment="1">
      <alignment horizontal="center" vertical="center"/>
    </xf>
    <xf numFmtId="0" fontId="10" fillId="0" borderId="16" xfId="0" applyFont="1" applyBorder="1" applyAlignment="1">
      <alignment horizontal="center" vertical="center"/>
    </xf>
    <xf numFmtId="41" fontId="10" fillId="0" borderId="41" xfId="16" applyFont="1" applyFill="1" applyBorder="1" applyAlignment="1">
      <alignment horizontal="center" vertical="center" wrapText="1"/>
    </xf>
    <xf numFmtId="41" fontId="10" fillId="0" borderId="13" xfId="16" applyFont="1" applyFill="1" applyBorder="1" applyAlignment="1">
      <alignment horizontal="center" vertical="center" wrapText="1"/>
    </xf>
    <xf numFmtId="41" fontId="10" fillId="0" borderId="16" xfId="16" applyFont="1" applyFill="1" applyBorder="1" applyAlignment="1">
      <alignment horizontal="center" vertical="center" wrapText="1"/>
    </xf>
    <xf numFmtId="41" fontId="10" fillId="0" borderId="41" xfId="16" applyFont="1" applyFill="1" applyBorder="1" applyAlignment="1">
      <alignment horizontal="center" vertical="center"/>
    </xf>
    <xf numFmtId="41" fontId="10" fillId="5" borderId="7" xfId="16" applyFont="1" applyFill="1" applyBorder="1" applyAlignment="1">
      <alignment horizontal="center" vertical="center"/>
    </xf>
    <xf numFmtId="41" fontId="10" fillId="5" borderId="13" xfId="16" applyFont="1" applyFill="1" applyBorder="1" applyAlignment="1">
      <alignment horizontal="center" vertical="center"/>
    </xf>
    <xf numFmtId="0" fontId="105" fillId="0" borderId="7" xfId="0" applyFont="1" applyBorder="1" applyAlignment="1">
      <alignment horizontal="center" vertical="center" wrapText="1"/>
    </xf>
    <xf numFmtId="0" fontId="105" fillId="0" borderId="16" xfId="0" applyFont="1" applyBorder="1" applyAlignment="1">
      <alignment horizontal="center" vertical="center" wrapText="1"/>
    </xf>
    <xf numFmtId="0" fontId="105" fillId="0" borderId="7" xfId="0" applyFont="1" applyBorder="1" applyAlignment="1">
      <alignment horizontal="center" vertical="center"/>
    </xf>
    <xf numFmtId="0" fontId="105" fillId="0" borderId="16" xfId="0" applyFont="1" applyBorder="1" applyAlignment="1">
      <alignment horizontal="center" vertical="center"/>
    </xf>
    <xf numFmtId="0" fontId="126" fillId="0" borderId="7" xfId="0" applyFont="1" applyBorder="1" applyAlignment="1">
      <alignment horizontal="center" vertical="center" readingOrder="1"/>
    </xf>
    <xf numFmtId="0" fontId="126" fillId="0" borderId="13" xfId="0" applyFont="1" applyBorder="1" applyAlignment="1">
      <alignment horizontal="center" vertical="center" readingOrder="1"/>
    </xf>
    <xf numFmtId="0" fontId="126" fillId="0" borderId="16" xfId="0" applyFont="1" applyBorder="1" applyAlignment="1">
      <alignment horizontal="center" vertical="center" readingOrder="1"/>
    </xf>
    <xf numFmtId="0" fontId="105" fillId="0" borderId="41" xfId="0" applyFont="1" applyBorder="1" applyAlignment="1">
      <alignment horizontal="center" vertical="center" wrapText="1"/>
    </xf>
    <xf numFmtId="0" fontId="105" fillId="0" borderId="13" xfId="0" applyFont="1" applyBorder="1" applyAlignment="1">
      <alignment horizontal="center" vertical="center" wrapText="1"/>
    </xf>
    <xf numFmtId="0" fontId="126" fillId="0" borderId="8" xfId="0" applyFont="1" applyBorder="1" applyAlignment="1">
      <alignment horizontal="center" vertical="center" readingOrder="1"/>
    </xf>
    <xf numFmtId="0" fontId="10" fillId="0" borderId="1" xfId="0" applyFont="1" applyBorder="1" applyAlignment="1">
      <alignment horizontal="center" vertical="center" wrapText="1"/>
    </xf>
    <xf numFmtId="0" fontId="10" fillId="0" borderId="7" xfId="0" applyFont="1" applyBorder="1" applyAlignment="1">
      <alignment horizontal="center" vertical="center" wrapText="1"/>
    </xf>
    <xf numFmtId="0" fontId="74" fillId="0" borderId="1" xfId="0" applyFont="1" applyBorder="1" applyAlignment="1">
      <alignment horizontal="center" vertical="center"/>
    </xf>
    <xf numFmtId="0" fontId="33" fillId="6" borderId="46" xfId="32" applyFont="1" applyFill="1" applyBorder="1" applyAlignment="1">
      <alignment horizontal="left" vertical="center" wrapText="1"/>
    </xf>
    <xf numFmtId="0" fontId="33" fillId="6" borderId="46" xfId="32" applyFont="1" applyFill="1" applyBorder="1" applyAlignment="1">
      <alignment horizontal="left" vertical="center"/>
    </xf>
    <xf numFmtId="0" fontId="33" fillId="12" borderId="0" xfId="32" applyFont="1" applyFill="1" applyAlignment="1">
      <alignment horizontal="left" vertical="center"/>
    </xf>
    <xf numFmtId="0" fontId="18" fillId="3" borderId="1" xfId="32" applyFont="1" applyFill="1" applyBorder="1" applyAlignment="1">
      <alignment horizontal="center" vertical="center"/>
    </xf>
    <xf numFmtId="0" fontId="18" fillId="3" borderId="5" xfId="32" applyFont="1" applyFill="1" applyBorder="1" applyAlignment="1">
      <alignment horizontal="center" vertical="center"/>
    </xf>
    <xf numFmtId="0" fontId="18" fillId="0" borderId="5" xfId="32" applyFont="1" applyBorder="1" applyAlignment="1">
      <alignment horizontal="center" vertical="center" wrapText="1"/>
    </xf>
    <xf numFmtId="0" fontId="18" fillId="0" borderId="5" xfId="32" applyFont="1" applyBorder="1" applyAlignment="1">
      <alignment horizontal="center" vertical="center"/>
    </xf>
    <xf numFmtId="0" fontId="18" fillId="0" borderId="26" xfId="32" applyFont="1" applyBorder="1" applyAlignment="1">
      <alignment horizontal="center" vertical="center"/>
    </xf>
    <xf numFmtId="0" fontId="18" fillId="0" borderId="44" xfId="32" applyFont="1" applyBorder="1" applyAlignment="1">
      <alignment horizontal="center" vertical="center"/>
    </xf>
    <xf numFmtId="0" fontId="18" fillId="0" borderId="12" xfId="32" applyFont="1" applyBorder="1" applyAlignment="1">
      <alignment horizontal="center" vertical="center"/>
    </xf>
    <xf numFmtId="0" fontId="18" fillId="0" borderId="44" xfId="32" applyFont="1" applyBorder="1" applyAlignment="1">
      <alignment horizontal="center" vertical="center" wrapText="1"/>
    </xf>
    <xf numFmtId="41" fontId="18" fillId="0" borderId="13" xfId="21" applyFont="1" applyBorder="1" applyAlignment="1">
      <alignment horizontal="center" vertical="center" wrapText="1"/>
    </xf>
    <xf numFmtId="41" fontId="18" fillId="0" borderId="13" xfId="21" applyFont="1" applyBorder="1" applyAlignment="1">
      <alignment horizontal="center" vertical="center"/>
    </xf>
    <xf numFmtId="41" fontId="18" fillId="0" borderId="8" xfId="21" applyFont="1" applyBorder="1" applyAlignment="1">
      <alignment horizontal="center" vertical="center"/>
    </xf>
    <xf numFmtId="0" fontId="19" fillId="3" borderId="7" xfId="32" applyFont="1" applyFill="1" applyBorder="1" applyAlignment="1">
      <alignment horizontal="center" vertical="center"/>
    </xf>
    <xf numFmtId="0" fontId="19" fillId="3" borderId="8" xfId="32" applyFont="1" applyFill="1" applyBorder="1" applyAlignment="1">
      <alignment horizontal="center" vertical="center"/>
    </xf>
    <xf numFmtId="0" fontId="33" fillId="12" borderId="42" xfId="32" applyFont="1" applyFill="1" applyBorder="1" applyAlignment="1">
      <alignment horizontal="left" vertical="center"/>
    </xf>
    <xf numFmtId="0" fontId="8" fillId="3" borderId="7" xfId="32" applyFont="1" applyFill="1" applyBorder="1" applyAlignment="1">
      <alignment horizontal="center" vertical="center"/>
    </xf>
    <xf numFmtId="0" fontId="8" fillId="3" borderId="8" xfId="32" applyFont="1" applyFill="1" applyBorder="1" applyAlignment="1">
      <alignment horizontal="center" vertical="center"/>
    </xf>
    <xf numFmtId="0" fontId="8" fillId="3" borderId="13" xfId="32" applyFont="1" applyFill="1" applyBorder="1" applyAlignment="1">
      <alignment horizontal="center" vertical="center"/>
    </xf>
    <xf numFmtId="0" fontId="16" fillId="0" borderId="3" xfId="32" applyFont="1" applyBorder="1" applyAlignment="1">
      <alignment horizontal="center" vertical="center"/>
    </xf>
    <xf numFmtId="41" fontId="10" fillId="3" borderId="5" xfId="23" applyFont="1" applyFill="1" applyBorder="1" applyAlignment="1">
      <alignment horizontal="center" vertical="center"/>
    </xf>
    <xf numFmtId="41" fontId="10" fillId="3" borderId="11" xfId="23" applyFont="1" applyFill="1" applyBorder="1" applyAlignment="1">
      <alignment horizontal="center" vertical="center"/>
    </xf>
    <xf numFmtId="0" fontId="15" fillId="0" borderId="0" xfId="30" applyFont="1" applyAlignment="1">
      <alignment horizontal="left" vertical="center"/>
    </xf>
    <xf numFmtId="41" fontId="10" fillId="3" borderId="5" xfId="22" applyFont="1" applyFill="1" applyBorder="1" applyAlignment="1">
      <alignment horizontal="center" vertical="center"/>
    </xf>
    <xf numFmtId="41" fontId="10" fillId="3" borderId="11" xfId="22" applyFont="1" applyFill="1" applyBorder="1" applyAlignment="1">
      <alignment horizontal="center" vertical="center"/>
    </xf>
    <xf numFmtId="41" fontId="12" fillId="3" borderId="5" xfId="22" applyFont="1" applyFill="1" applyBorder="1" applyAlignment="1">
      <alignment horizontal="center" vertical="center"/>
    </xf>
    <xf numFmtId="41" fontId="12" fillId="3" borderId="11" xfId="22" applyFont="1" applyFill="1" applyBorder="1" applyAlignment="1">
      <alignment horizontal="center" vertical="center"/>
    </xf>
    <xf numFmtId="0" fontId="15" fillId="0" borderId="0" xfId="30" applyFont="1" applyAlignment="1">
      <alignment horizontal="left" vertical="center" wrapText="1"/>
    </xf>
    <xf numFmtId="41" fontId="12" fillId="3" borderId="5" xfId="23" applyFont="1" applyFill="1" applyBorder="1" applyAlignment="1">
      <alignment horizontal="center" vertical="center"/>
    </xf>
    <xf numFmtId="41" fontId="12" fillId="3" borderId="11" xfId="23" applyFont="1" applyFill="1" applyBorder="1" applyAlignment="1">
      <alignment horizontal="center" vertical="center"/>
    </xf>
    <xf numFmtId="0" fontId="8" fillId="6" borderId="27" xfId="31" applyFont="1" applyFill="1" applyBorder="1" applyAlignment="1">
      <alignment horizontal="left" vertical="center"/>
    </xf>
    <xf numFmtId="0" fontId="14" fillId="6" borderId="28" xfId="31" applyFont="1" applyFill="1" applyBorder="1" applyAlignment="1">
      <alignment horizontal="left" vertical="center"/>
    </xf>
    <xf numFmtId="0" fontId="14" fillId="6" borderId="46" xfId="31" applyFont="1" applyFill="1" applyBorder="1" applyAlignment="1">
      <alignment horizontal="left" vertical="center"/>
    </xf>
    <xf numFmtId="0" fontId="117" fillId="17" borderId="0" xfId="32" applyFont="1" applyFill="1" applyAlignment="1">
      <alignment horizontal="center" vertical="center"/>
    </xf>
    <xf numFmtId="0" fontId="20" fillId="0" borderId="22" xfId="32" applyFont="1" applyBorder="1" applyAlignment="1">
      <alignment horizontal="center" vertical="center" wrapText="1"/>
    </xf>
    <xf numFmtId="0" fontId="122" fillId="0" borderId="0" xfId="25" applyFont="1" applyAlignment="1">
      <alignment horizontal="left" vertical="center"/>
    </xf>
    <xf numFmtId="0" fontId="123" fillId="0" borderId="7" xfId="25" applyFont="1" applyBorder="1" applyAlignment="1">
      <alignment horizontal="center" vertical="center"/>
    </xf>
    <xf numFmtId="0" fontId="123" fillId="0" borderId="13" xfId="25" applyFont="1" applyBorder="1" applyAlignment="1">
      <alignment horizontal="center" vertical="center"/>
    </xf>
    <xf numFmtId="0" fontId="123" fillId="0" borderId="16" xfId="25" applyFont="1" applyBorder="1" applyAlignment="1">
      <alignment horizontal="center" vertical="center"/>
    </xf>
    <xf numFmtId="0" fontId="77" fillId="0" borderId="41" xfId="25" applyFont="1" applyBorder="1" applyAlignment="1">
      <alignment horizontal="center" vertical="center"/>
    </xf>
    <xf numFmtId="0" fontId="77" fillId="0" borderId="16" xfId="25" applyFont="1" applyBorder="1" applyAlignment="1">
      <alignment horizontal="center" vertical="center"/>
    </xf>
    <xf numFmtId="0" fontId="16" fillId="0" borderId="14" xfId="39" applyFont="1" applyBorder="1" applyAlignment="1">
      <alignment horizontal="left" vertical="center" wrapText="1"/>
    </xf>
    <xf numFmtId="0" fontId="16" fillId="0" borderId="0" xfId="39" applyFont="1" applyAlignment="1">
      <alignment horizontal="left" vertical="center" wrapText="1"/>
    </xf>
    <xf numFmtId="0" fontId="35" fillId="0" borderId="41" xfId="32" applyFont="1" applyBorder="1" applyAlignment="1">
      <alignment horizontal="center" vertical="center"/>
    </xf>
    <xf numFmtId="0" fontId="35" fillId="0" borderId="8" xfId="32" applyFont="1" applyBorder="1" applyAlignment="1">
      <alignment horizontal="center" vertical="center"/>
    </xf>
    <xf numFmtId="0" fontId="17" fillId="7" borderId="142" xfId="38" applyFont="1" applyFill="1" applyBorder="1" applyAlignment="1">
      <alignment horizontal="center" vertical="center" wrapText="1"/>
    </xf>
    <xf numFmtId="0" fontId="17" fillId="7" borderId="107" xfId="38" applyFont="1" applyFill="1" applyBorder="1" applyAlignment="1">
      <alignment horizontal="center" vertical="center" wrapText="1"/>
    </xf>
    <xf numFmtId="0" fontId="17" fillId="7" borderId="138" xfId="38" applyFont="1" applyFill="1" applyBorder="1" applyAlignment="1">
      <alignment horizontal="center" vertical="center" wrapText="1"/>
    </xf>
    <xf numFmtId="0" fontId="35" fillId="0" borderId="16" xfId="32" applyFont="1" applyBorder="1" applyAlignment="1">
      <alignment horizontal="center" vertical="center"/>
    </xf>
    <xf numFmtId="0" fontId="118" fillId="0" borderId="22" xfId="32" applyFont="1" applyBorder="1" applyAlignment="1">
      <alignment horizontal="center" vertical="center" wrapText="1"/>
    </xf>
    <xf numFmtId="0" fontId="20" fillId="0" borderId="22" xfId="32" applyFont="1" applyBorder="1" applyAlignment="1">
      <alignment horizontal="center" vertical="center"/>
    </xf>
    <xf numFmtId="0" fontId="115" fillId="0" borderId="7" xfId="25" applyFont="1" applyBorder="1" applyAlignment="1">
      <alignment horizontal="left" vertical="center" wrapText="1"/>
    </xf>
    <xf numFmtId="0" fontId="115" fillId="0" borderId="8" xfId="25" applyFont="1" applyBorder="1" applyAlignment="1">
      <alignment horizontal="left" vertical="center"/>
    </xf>
    <xf numFmtId="10" fontId="18" fillId="0" borderId="7" xfId="2" applyNumberFormat="1" applyFont="1" applyBorder="1" applyAlignment="1">
      <alignment horizontal="right" vertical="center"/>
    </xf>
    <xf numFmtId="10" fontId="18" fillId="0" borderId="8" xfId="2" applyNumberFormat="1" applyFont="1" applyBorder="1" applyAlignment="1">
      <alignment horizontal="right" vertical="center"/>
    </xf>
    <xf numFmtId="0" fontId="17" fillId="2" borderId="7" xfId="38" applyFont="1" applyFill="1" applyBorder="1" applyAlignment="1">
      <alignment horizontal="center" vertical="center"/>
    </xf>
    <xf numFmtId="0" fontId="17" fillId="2" borderId="13" xfId="38" applyFont="1" applyFill="1" applyBorder="1" applyAlignment="1">
      <alignment horizontal="center" vertical="center"/>
    </xf>
    <xf numFmtId="0" fontId="17" fillId="2" borderId="8" xfId="38" applyFont="1" applyFill="1" applyBorder="1" applyAlignment="1">
      <alignment horizontal="center" vertical="center"/>
    </xf>
    <xf numFmtId="0" fontId="18" fillId="0" borderId="5" xfId="38" applyFont="1" applyBorder="1" applyAlignment="1">
      <alignment horizontal="left" vertical="center"/>
    </xf>
    <xf numFmtId="0" fontId="18" fillId="0" borderId="160" xfId="38" applyFont="1" applyBorder="1" applyAlignment="1">
      <alignment horizontal="left" vertical="center"/>
    </xf>
    <xf numFmtId="0" fontId="128" fillId="0" borderId="7" xfId="25" applyFont="1" applyBorder="1" applyAlignment="1">
      <alignment horizontal="center" vertical="center"/>
    </xf>
    <xf numFmtId="0" fontId="66" fillId="0" borderId="13" xfId="25" applyBorder="1" applyAlignment="1">
      <alignment horizontal="center" vertical="center"/>
    </xf>
    <xf numFmtId="0" fontId="66" fillId="0" borderId="8" xfId="25" applyBorder="1" applyAlignment="1">
      <alignment horizontal="center" vertical="center"/>
    </xf>
    <xf numFmtId="0" fontId="66" fillId="0" borderId="0" xfId="25" applyAlignment="1">
      <alignment horizontal="left" vertical="center" wrapText="1"/>
    </xf>
    <xf numFmtId="0" fontId="85" fillId="0" borderId="22" xfId="25" applyFont="1" applyBorder="1" applyAlignment="1">
      <alignment horizontal="center" vertical="center"/>
    </xf>
    <xf numFmtId="0" fontId="24" fillId="0" borderId="22" xfId="42" applyFont="1" applyFill="1" applyBorder="1" applyAlignment="1" applyProtection="1">
      <alignment horizontal="center" vertical="center"/>
    </xf>
    <xf numFmtId="0" fontId="18" fillId="7" borderId="0" xfId="32" applyFont="1" applyFill="1" applyAlignment="1">
      <alignment horizontal="left" vertical="center" wrapText="1"/>
    </xf>
    <xf numFmtId="41" fontId="17" fillId="7" borderId="5" xfId="16" applyFont="1" applyFill="1" applyBorder="1" applyAlignment="1">
      <alignment horizontal="center" vertical="center"/>
    </xf>
    <xf numFmtId="41" fontId="17" fillId="7" borderId="11" xfId="16" applyFont="1" applyFill="1" applyBorder="1" applyAlignment="1">
      <alignment horizontal="center" vertical="center"/>
    </xf>
    <xf numFmtId="0" fontId="18" fillId="0" borderId="41" xfId="32" applyFont="1" applyBorder="1" applyAlignment="1">
      <alignment horizontal="left" vertical="center" wrapText="1"/>
    </xf>
    <xf numFmtId="0" fontId="18" fillId="0" borderId="16" xfId="32" applyFont="1" applyBorder="1" applyAlignment="1">
      <alignment horizontal="left" vertical="center"/>
    </xf>
    <xf numFmtId="10" fontId="18" fillId="0" borderId="41" xfId="16" applyNumberFormat="1" applyFont="1" applyBorder="1" applyAlignment="1">
      <alignment horizontal="right" vertical="center"/>
    </xf>
    <xf numFmtId="10" fontId="18" fillId="0" borderId="16" xfId="16" applyNumberFormat="1" applyFont="1" applyBorder="1" applyAlignment="1">
      <alignment horizontal="right" vertical="center"/>
    </xf>
    <xf numFmtId="10" fontId="18" fillId="0" borderId="41" xfId="2" applyNumberFormat="1" applyFont="1" applyBorder="1" applyAlignment="1">
      <alignment horizontal="right" vertical="center"/>
    </xf>
    <xf numFmtId="10" fontId="18" fillId="0" borderId="16" xfId="2" applyNumberFormat="1" applyFont="1" applyBorder="1" applyAlignment="1">
      <alignment horizontal="right" vertical="center"/>
    </xf>
    <xf numFmtId="0" fontId="33" fillId="0" borderId="59" xfId="42" applyFont="1" applyFill="1" applyBorder="1" applyAlignment="1" applyProtection="1">
      <alignment horizontal="center" vertical="center"/>
    </xf>
    <xf numFmtId="0" fontId="77" fillId="0" borderId="7" xfId="25" applyFont="1" applyBorder="1" applyAlignment="1">
      <alignment horizontal="center" vertical="center"/>
    </xf>
    <xf numFmtId="0" fontId="77" fillId="0" borderId="13" xfId="25" applyFont="1" applyBorder="1" applyAlignment="1">
      <alignment horizontal="center" vertical="center"/>
    </xf>
    <xf numFmtId="0" fontId="115" fillId="0" borderId="41" xfId="25" applyFont="1" applyBorder="1" applyAlignment="1">
      <alignment horizontal="left" vertical="center" wrapText="1"/>
    </xf>
    <xf numFmtId="0" fontId="115" fillId="0" borderId="16" xfId="25" applyFont="1" applyBorder="1" applyAlignment="1">
      <alignment horizontal="left" vertical="center"/>
    </xf>
    <xf numFmtId="0" fontId="123" fillId="0" borderId="41" xfId="25" applyFont="1" applyBorder="1" applyAlignment="1">
      <alignment horizontal="center" vertical="center"/>
    </xf>
    <xf numFmtId="0" fontId="123" fillId="0" borderId="8" xfId="25" applyFont="1" applyBorder="1" applyAlignment="1">
      <alignment horizontal="center" vertical="center"/>
    </xf>
    <xf numFmtId="0" fontId="17" fillId="7" borderId="63" xfId="38" applyFont="1" applyFill="1" applyBorder="1" applyAlignment="1">
      <alignment horizontal="center" vertical="center" wrapText="1"/>
    </xf>
    <xf numFmtId="0" fontId="17" fillId="7" borderId="3" xfId="38" applyFont="1" applyFill="1" applyBorder="1" applyAlignment="1">
      <alignment horizontal="center" vertical="center" wrapText="1"/>
    </xf>
    <xf numFmtId="0" fontId="17" fillId="7" borderId="135" xfId="38" applyFont="1" applyFill="1" applyBorder="1" applyAlignment="1">
      <alignment horizontal="center" vertical="center" wrapText="1"/>
    </xf>
    <xf numFmtId="0" fontId="17" fillId="7" borderId="41" xfId="38" applyFont="1" applyFill="1" applyBorder="1" applyAlignment="1">
      <alignment horizontal="center" vertical="center" wrapText="1"/>
    </xf>
    <xf numFmtId="0" fontId="17" fillId="7" borderId="13" xfId="38" applyFont="1" applyFill="1" applyBorder="1" applyAlignment="1">
      <alignment horizontal="center" vertical="center" wrapText="1"/>
    </xf>
    <xf numFmtId="0" fontId="17" fillId="7" borderId="8" xfId="38" applyFont="1" applyFill="1" applyBorder="1" applyAlignment="1">
      <alignment horizontal="center" vertical="center" wrapText="1"/>
    </xf>
    <xf numFmtId="0" fontId="17" fillId="7" borderId="82" xfId="32" applyFont="1" applyFill="1" applyBorder="1" applyAlignment="1">
      <alignment horizontal="center" vertical="center" wrapText="1"/>
    </xf>
    <xf numFmtId="0" fontId="17" fillId="7" borderId="138" xfId="32" applyFont="1" applyFill="1" applyBorder="1" applyAlignment="1">
      <alignment horizontal="center" vertical="center" wrapText="1"/>
    </xf>
    <xf numFmtId="0" fontId="24" fillId="19" borderId="0" xfId="32" applyFont="1" applyFill="1" applyAlignment="1">
      <alignment horizontal="center" vertical="center"/>
    </xf>
    <xf numFmtId="0" fontId="98" fillId="11" borderId="22" xfId="32" applyFont="1" applyFill="1" applyBorder="1" applyAlignment="1">
      <alignment horizontal="center" vertical="center" wrapText="1"/>
    </xf>
    <xf numFmtId="0" fontId="98" fillId="11" borderId="42" xfId="32" applyFont="1" applyFill="1" applyBorder="1" applyAlignment="1">
      <alignment horizontal="center" vertical="center" wrapText="1"/>
    </xf>
    <xf numFmtId="0" fontId="68" fillId="5" borderId="0" xfId="25" applyFont="1" applyFill="1" applyAlignment="1">
      <alignment horizontal="center" vertical="center" wrapText="1"/>
    </xf>
    <xf numFmtId="0" fontId="125" fillId="0" borderId="22" xfId="42" applyFont="1" applyFill="1" applyBorder="1" applyAlignment="1" applyProtection="1">
      <alignment horizontal="center" vertical="center"/>
    </xf>
    <xf numFmtId="0" fontId="104" fillId="7" borderId="0" xfId="32" applyFont="1" applyFill="1" applyAlignment="1">
      <alignment horizontal="left" vertical="center" wrapText="1"/>
    </xf>
    <xf numFmtId="0" fontId="68" fillId="7" borderId="5" xfId="25" applyFont="1" applyFill="1" applyBorder="1" applyAlignment="1">
      <alignment horizontal="center" vertical="center"/>
    </xf>
    <xf numFmtId="0" fontId="68" fillId="7" borderId="11" xfId="25" applyFont="1" applyFill="1" applyBorder="1" applyAlignment="1">
      <alignment horizontal="center" vertical="center"/>
    </xf>
    <xf numFmtId="0" fontId="68" fillId="6" borderId="5" xfId="25" applyFont="1" applyFill="1" applyBorder="1" applyAlignment="1">
      <alignment horizontal="center" vertical="center"/>
    </xf>
    <xf numFmtId="0" fontId="68" fillId="6" borderId="6" xfId="25" applyFont="1" applyFill="1" applyBorder="1" applyAlignment="1">
      <alignment horizontal="center" vertical="center"/>
    </xf>
    <xf numFmtId="0" fontId="68" fillId="6" borderId="11" xfId="25" applyFont="1" applyFill="1" applyBorder="1" applyAlignment="1">
      <alignment horizontal="center" vertical="center"/>
    </xf>
    <xf numFmtId="0" fontId="115" fillId="0" borderId="7" xfId="37" applyFont="1" applyBorder="1" applyAlignment="1">
      <alignment horizontal="center" vertical="center"/>
    </xf>
    <xf numFmtId="0" fontId="115" fillId="0" borderId="13" xfId="37" applyFont="1" applyBorder="1" applyAlignment="1">
      <alignment horizontal="center" vertical="center"/>
    </xf>
    <xf numFmtId="0" fontId="115" fillId="0" borderId="8" xfId="37" applyFont="1" applyBorder="1" applyAlignment="1">
      <alignment horizontal="center" vertical="center"/>
    </xf>
    <xf numFmtId="183" fontId="66" fillId="0" borderId="5" xfId="25" applyNumberFormat="1" applyBorder="1" applyAlignment="1">
      <alignment horizontal="center" vertical="center"/>
    </xf>
    <xf numFmtId="183" fontId="66" fillId="0" borderId="6" xfId="25" applyNumberFormat="1" applyBorder="1" applyAlignment="1">
      <alignment horizontal="center" vertical="center"/>
    </xf>
    <xf numFmtId="183" fontId="66" fillId="0" borderId="11" xfId="25" applyNumberFormat="1" applyBorder="1" applyAlignment="1">
      <alignment horizontal="center" vertical="center"/>
    </xf>
    <xf numFmtId="183" fontId="86" fillId="0" borderId="64" xfId="32" applyNumberFormat="1" applyFont="1" applyBorder="1" applyAlignment="1">
      <alignment horizontal="center" vertical="center"/>
    </xf>
    <xf numFmtId="183" fontId="86" fillId="0" borderId="2" xfId="32" applyNumberFormat="1" applyFont="1" applyBorder="1" applyAlignment="1">
      <alignment horizontal="center" vertical="center"/>
    </xf>
    <xf numFmtId="183" fontId="86" fillId="0" borderId="4" xfId="32" applyNumberFormat="1" applyFont="1" applyBorder="1" applyAlignment="1">
      <alignment horizontal="center" vertical="center"/>
    </xf>
    <xf numFmtId="0" fontId="115" fillId="0" borderId="7" xfId="32" applyFont="1" applyBorder="1" applyAlignment="1">
      <alignment horizontal="center" vertical="center"/>
    </xf>
    <xf numFmtId="0" fontId="115" fillId="0" borderId="13" xfId="32" applyFont="1" applyBorder="1" applyAlignment="1">
      <alignment horizontal="center" vertical="center"/>
    </xf>
    <xf numFmtId="0" fontId="115" fillId="0" borderId="8" xfId="32" applyFont="1" applyBorder="1" applyAlignment="1">
      <alignment horizontal="center" vertical="center"/>
    </xf>
    <xf numFmtId="0" fontId="68" fillId="7" borderId="6" xfId="25" applyFont="1" applyFill="1" applyBorder="1" applyAlignment="1">
      <alignment horizontal="center" vertical="center"/>
    </xf>
    <xf numFmtId="0" fontId="115" fillId="0" borderId="9" xfId="37" applyFont="1" applyBorder="1" applyAlignment="1">
      <alignment horizontal="left" vertical="center"/>
    </xf>
    <xf numFmtId="0" fontId="115" fillId="0" borderId="10" xfId="37" applyFont="1" applyBorder="1" applyAlignment="1">
      <alignment horizontal="left" vertical="center"/>
    </xf>
    <xf numFmtId="0" fontId="115" fillId="0" borderId="7" xfId="32" applyFont="1" applyBorder="1" applyAlignment="1">
      <alignment horizontal="center" vertical="center" wrapText="1"/>
    </xf>
    <xf numFmtId="0" fontId="115" fillId="0" borderId="8" xfId="32" applyFont="1" applyBorder="1" applyAlignment="1">
      <alignment horizontal="center" vertical="center" wrapText="1"/>
    </xf>
    <xf numFmtId="9" fontId="86" fillId="0" borderId="26" xfId="2" applyFont="1" applyFill="1" applyBorder="1" applyAlignment="1">
      <alignment horizontal="center" vertical="center"/>
    </xf>
    <xf numFmtId="9" fontId="86" fillId="0" borderId="4" xfId="2" applyFont="1" applyFill="1" applyBorder="1" applyAlignment="1">
      <alignment horizontal="center" vertical="center"/>
    </xf>
    <xf numFmtId="0" fontId="115" fillId="0" borderId="63" xfId="37" applyFont="1" applyBorder="1" applyAlignment="1">
      <alignment horizontal="left" vertical="center"/>
    </xf>
    <xf numFmtId="0" fontId="115" fillId="0" borderId="3" xfId="37" applyFont="1" applyBorder="1" applyAlignment="1">
      <alignment horizontal="left" vertical="center"/>
    </xf>
    <xf numFmtId="0" fontId="115" fillId="0" borderId="41" xfId="32" applyFont="1" applyBorder="1" applyAlignment="1">
      <alignment horizontal="center" vertical="center" wrapText="1"/>
    </xf>
    <xf numFmtId="0" fontId="115" fillId="0" borderId="13" xfId="32" applyFont="1" applyBorder="1" applyAlignment="1">
      <alignment horizontal="center" vertical="center" wrapText="1"/>
    </xf>
    <xf numFmtId="0" fontId="115" fillId="0" borderId="9" xfId="32" applyFont="1" applyBorder="1" applyAlignment="1">
      <alignment horizontal="left" vertical="center"/>
    </xf>
    <xf numFmtId="0" fontId="115" fillId="0" borderId="60" xfId="32" applyFont="1" applyBorder="1" applyAlignment="1">
      <alignment horizontal="left" vertical="center"/>
    </xf>
    <xf numFmtId="0" fontId="115" fillId="0" borderId="61" xfId="32" applyFont="1" applyBorder="1" applyAlignment="1">
      <alignment horizontal="center" vertical="center" wrapText="1"/>
    </xf>
    <xf numFmtId="9" fontId="86" fillId="0" borderId="62" xfId="2" applyFont="1" applyFill="1" applyBorder="1" applyAlignment="1">
      <alignment horizontal="center" vertical="center"/>
    </xf>
    <xf numFmtId="0" fontId="115" fillId="0" borderId="10" xfId="32" applyFont="1" applyBorder="1" applyAlignment="1">
      <alignment horizontal="left" vertical="center"/>
    </xf>
    <xf numFmtId="183" fontId="86" fillId="0" borderId="26" xfId="32" applyNumberFormat="1" applyFont="1" applyBorder="1" applyAlignment="1">
      <alignment horizontal="center" vertical="center"/>
    </xf>
    <xf numFmtId="0" fontId="35" fillId="0" borderId="42" xfId="32" applyFont="1" applyBorder="1" applyAlignment="1">
      <alignment horizontal="center" vertical="center"/>
    </xf>
    <xf numFmtId="0" fontId="20" fillId="0" borderId="35" xfId="42" applyFont="1" applyFill="1" applyBorder="1" applyAlignment="1" applyProtection="1">
      <alignment horizontal="center" vertical="center"/>
    </xf>
  </cellXfs>
  <cellStyles count="43">
    <cellStyle name="백분율 16" xfId="1" xr:uid="{00000000-0005-0000-0000-000003000000}"/>
    <cellStyle name="백분율 16 2" xfId="2" xr:uid="{00000000-0005-0000-0000-000004000000}"/>
    <cellStyle name="백분율 2" xfId="3" xr:uid="{00000000-0005-0000-0000-000005000000}"/>
    <cellStyle name="백분율 2 2" xfId="4" xr:uid="{00000000-0005-0000-0000-000006000000}"/>
    <cellStyle name="백분율 2 4" xfId="5" xr:uid="{00000000-0005-0000-0000-000007000000}"/>
    <cellStyle name="백분율 3" xfId="6" xr:uid="{00000000-0005-0000-0000-000008000000}"/>
    <cellStyle name="백분율 3 2" xfId="7" xr:uid="{00000000-0005-0000-0000-000009000000}"/>
    <cellStyle name="백분율 3 2 2" xfId="8" xr:uid="{00000000-0005-0000-0000-00000A000000}"/>
    <cellStyle name="백분율 3 2 2 2 2" xfId="9" xr:uid="{00000000-0005-0000-0000-00000B000000}"/>
    <cellStyle name="백분율 3 2 2 2 2 2" xfId="10" xr:uid="{00000000-0005-0000-0000-00000C000000}"/>
    <cellStyle name="쉼표 [0]" xfId="11" builtinId="6"/>
    <cellStyle name="쉼표 [0] 10" xfId="12" xr:uid="{00000000-0005-0000-0000-00000D000000}"/>
    <cellStyle name="쉼표 [0] 11 2 2" xfId="13" xr:uid="{00000000-0005-0000-0000-00000E000000}"/>
    <cellStyle name="쉼표 [0] 12 2" xfId="14" xr:uid="{00000000-0005-0000-0000-00000F000000}"/>
    <cellStyle name="쉼표 [0] 12 2 2" xfId="15" xr:uid="{00000000-0005-0000-0000-000010000000}"/>
    <cellStyle name="쉼표 [0] 12 2 2 2" xfId="16" xr:uid="{00000000-0005-0000-0000-000011000000}"/>
    <cellStyle name="쉼표 [0] 12 5" xfId="17" xr:uid="{00000000-0005-0000-0000-000012000000}"/>
    <cellStyle name="쉼표 [0] 18" xfId="18" xr:uid="{00000000-0005-0000-0000-000013000000}"/>
    <cellStyle name="쉼표 [0] 18 2" xfId="19" xr:uid="{00000000-0005-0000-0000-000014000000}"/>
    <cellStyle name="쉼표 [0] 2" xfId="20" xr:uid="{00000000-0005-0000-0000-000015000000}"/>
    <cellStyle name="쉼표 [0] 2 2" xfId="21" xr:uid="{00000000-0005-0000-0000-000016000000}"/>
    <cellStyle name="쉼표 [0] 2 2 2 2" xfId="22" xr:uid="{00000000-0005-0000-0000-000017000000}"/>
    <cellStyle name="쉼표 [0] 2 2 2 2 2" xfId="23" xr:uid="{00000000-0005-0000-0000-000018000000}"/>
    <cellStyle name="쉼표 [0] 7 2" xfId="24" xr:uid="{00000000-0005-0000-0000-000019000000}"/>
    <cellStyle name="표준" xfId="0" builtinId="0"/>
    <cellStyle name="표준 10" xfId="25" xr:uid="{00000000-0005-0000-0000-00001A000000}"/>
    <cellStyle name="표준 12 2" xfId="26" xr:uid="{00000000-0005-0000-0000-00001B000000}"/>
    <cellStyle name="표준 12 3" xfId="27" xr:uid="{00000000-0005-0000-0000-00001C000000}"/>
    <cellStyle name="표준 16" xfId="28" xr:uid="{00000000-0005-0000-0000-00001D000000}"/>
    <cellStyle name="표준 16 3" xfId="29" xr:uid="{00000000-0005-0000-0000-00001E000000}"/>
    <cellStyle name="표준 17" xfId="30" xr:uid="{00000000-0005-0000-0000-00001F000000}"/>
    <cellStyle name="표준 2" xfId="31" xr:uid="{00000000-0005-0000-0000-000020000000}"/>
    <cellStyle name="표준 2 2" xfId="32" xr:uid="{00000000-0005-0000-0000-000021000000}"/>
    <cellStyle name="표준 2 3" xfId="33" xr:uid="{00000000-0005-0000-0000-000022000000}"/>
    <cellStyle name="표준 2 3 2" xfId="34" xr:uid="{00000000-0005-0000-0000-000023000000}"/>
    <cellStyle name="표준 2 4" xfId="35" xr:uid="{00000000-0005-0000-0000-000024000000}"/>
    <cellStyle name="표준 2 7" xfId="36" xr:uid="{00000000-0005-0000-0000-000025000000}"/>
    <cellStyle name="표준 22" xfId="37" xr:uid="{00000000-0005-0000-0000-000026000000}"/>
    <cellStyle name="표준_CH10-추정재무제표분석도구(1015)" xfId="38" xr:uid="{00000000-0005-0000-0000-000027000000}"/>
    <cellStyle name="표준_CH10-추정재무제표분석도구(1015) 2" xfId="39" xr:uid="{00000000-0005-0000-0000-000028000000}"/>
    <cellStyle name="표준_마케팅_수익성_분석" xfId="40" xr:uid="{00000000-0005-0000-0000-000029000000}"/>
    <cellStyle name="표준_자사성과_DB" xfId="41" xr:uid="{00000000-0005-0000-0000-00002A000000}"/>
    <cellStyle name="하이퍼링크" xfId="42"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charts/_rels/chart4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맑은 고딕"/>
                <a:ea typeface="맑은 고딕"/>
                <a:cs typeface="맑은 고딕"/>
              </a:defRPr>
            </a:pPr>
            <a:r>
              <a:rPr lang="en-US" sz="1400" b="1" i="0" u="none" strike="noStrike" baseline="0">
                <a:solidFill>
                  <a:srgbClr val="000000"/>
                </a:solidFill>
                <a:latin typeface="맑은 고딕"/>
                <a:ea typeface="맑은 고딕"/>
              </a:rPr>
              <a:t>국가별 실질 GDP변화</a:t>
            </a:r>
          </a:p>
        </c:rich>
      </c:tx>
      <c:overlay val="0"/>
    </c:title>
    <c:autoTitleDeleted val="0"/>
    <c:plotArea>
      <c:layout/>
      <c:lineChart>
        <c:grouping val="standard"/>
        <c:varyColors val="0"/>
        <c:ser>
          <c:idx val="0"/>
          <c:order val="0"/>
          <c:tx>
            <c:strRef>
              <c:f>'3. 기초 분석 자료'!$B$38</c:f>
              <c:strCache>
                <c:ptCount val="1"/>
                <c:pt idx="0">
                  <c:v>한국</c:v>
                </c:pt>
              </c:strCache>
            </c:strRef>
          </c:tx>
          <c:cat>
            <c:multiLvlStrRef>
              <c:f>'3. 기초 분석 자료'!$C$36:$V$37</c:f>
              <c:multiLvlStrCache>
                <c:ptCount val="20"/>
                <c:lvl>
                  <c:pt idx="0">
                    <c:v>1Q</c:v>
                  </c:pt>
                  <c:pt idx="1">
                    <c:v>2Q</c:v>
                  </c:pt>
                  <c:pt idx="2">
                    <c:v>3Q</c:v>
                  </c:pt>
                  <c:pt idx="3">
                    <c:v>4Q</c:v>
                  </c:pt>
                  <c:pt idx="4">
                    <c:v>1Q</c:v>
                  </c:pt>
                  <c:pt idx="5">
                    <c:v>2Q</c:v>
                  </c:pt>
                  <c:pt idx="6">
                    <c:v>3Q</c:v>
                  </c:pt>
                  <c:pt idx="7">
                    <c:v>4Q</c:v>
                  </c:pt>
                  <c:pt idx="8">
                    <c:v>1Q</c:v>
                  </c:pt>
                  <c:pt idx="9">
                    <c:v>2Q</c:v>
                  </c:pt>
                  <c:pt idx="10">
                    <c:v>3Q</c:v>
                  </c:pt>
                  <c:pt idx="11">
                    <c:v>4Q</c:v>
                  </c:pt>
                  <c:pt idx="12">
                    <c:v>1Q</c:v>
                  </c:pt>
                  <c:pt idx="13">
                    <c:v>2Q</c:v>
                  </c:pt>
                  <c:pt idx="14">
                    <c:v>3Q</c:v>
                  </c:pt>
                  <c:pt idx="15">
                    <c:v>4Q</c:v>
                  </c:pt>
                  <c:pt idx="16">
                    <c:v>1Q</c:v>
                  </c:pt>
                  <c:pt idx="17">
                    <c:v>2Q</c:v>
                  </c:pt>
                  <c:pt idx="18">
                    <c:v>3Q</c:v>
                  </c:pt>
                  <c:pt idx="19">
                    <c:v>4Q</c:v>
                  </c:pt>
                </c:lvl>
                <c:lvl>
                  <c:pt idx="0">
                    <c:v>1차년도</c:v>
                  </c:pt>
                  <c:pt idx="4">
                    <c:v>2차년도</c:v>
                  </c:pt>
                  <c:pt idx="8">
                    <c:v>3차년도</c:v>
                  </c:pt>
                  <c:pt idx="12">
                    <c:v>4차년도</c:v>
                  </c:pt>
                  <c:pt idx="16">
                    <c:v>5차년도</c:v>
                  </c:pt>
                </c:lvl>
              </c:multiLvlStrCache>
            </c:multiLvlStrRef>
          </c:cat>
          <c:val>
            <c:numRef>
              <c:f>'3. 기초 분석 자료'!$C$38:$V$38</c:f>
              <c:numCache>
                <c:formatCode>#,##0.00_ </c:formatCode>
                <c:ptCount val="20"/>
                <c:pt idx="0">
                  <c:v>88.672675507503769</c:v>
                </c:pt>
                <c:pt idx="1">
                  <c:v>89.155316469878997</c:v>
                </c:pt>
                <c:pt idx="2">
                  <c:v>88.91026610108355</c:v>
                </c:pt>
                <c:pt idx="3">
                  <c:v>89.525241002106654</c:v>
                </c:pt>
                <c:pt idx="4">
                  <c:v>91.198832284330294</c:v>
                </c:pt>
                <c:pt idx="5">
                  <c:v>96.499413399858895</c:v>
                </c:pt>
                <c:pt idx="6">
                  <c:v>99.917648709510956</c:v>
                </c:pt>
                <c:pt idx="7">
                  <c:v>102.05692573895008</c:v>
                </c:pt>
                <c:pt idx="8">
                  <c:v>103.70162838249377</c:v>
                </c:pt>
                <c:pt idx="9">
                  <c:v>105.04171651859393</c:v>
                </c:pt>
                <c:pt idx="10">
                  <c:v>103.454328261732</c:v>
                </c:pt>
                <c:pt idx="11">
                  <c:v>100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0-A5C9-4526-BC8C-1F015CB0FEF2}"/>
            </c:ext>
          </c:extLst>
        </c:ser>
        <c:ser>
          <c:idx val="1"/>
          <c:order val="1"/>
          <c:tx>
            <c:strRef>
              <c:f>'3. 기초 분석 자료'!$B$39</c:f>
              <c:strCache>
                <c:ptCount val="1"/>
                <c:pt idx="0">
                  <c:v>U국가</c:v>
                </c:pt>
              </c:strCache>
            </c:strRef>
          </c:tx>
          <c:cat>
            <c:multiLvlStrRef>
              <c:f>'3. 기초 분석 자료'!$C$36:$V$37</c:f>
              <c:multiLvlStrCache>
                <c:ptCount val="20"/>
                <c:lvl>
                  <c:pt idx="0">
                    <c:v>1Q</c:v>
                  </c:pt>
                  <c:pt idx="1">
                    <c:v>2Q</c:v>
                  </c:pt>
                  <c:pt idx="2">
                    <c:v>3Q</c:v>
                  </c:pt>
                  <c:pt idx="3">
                    <c:v>4Q</c:v>
                  </c:pt>
                  <c:pt idx="4">
                    <c:v>1Q</c:v>
                  </c:pt>
                  <c:pt idx="5">
                    <c:v>2Q</c:v>
                  </c:pt>
                  <c:pt idx="6">
                    <c:v>3Q</c:v>
                  </c:pt>
                  <c:pt idx="7">
                    <c:v>4Q</c:v>
                  </c:pt>
                  <c:pt idx="8">
                    <c:v>1Q</c:v>
                  </c:pt>
                  <c:pt idx="9">
                    <c:v>2Q</c:v>
                  </c:pt>
                  <c:pt idx="10">
                    <c:v>3Q</c:v>
                  </c:pt>
                  <c:pt idx="11">
                    <c:v>4Q</c:v>
                  </c:pt>
                  <c:pt idx="12">
                    <c:v>1Q</c:v>
                  </c:pt>
                  <c:pt idx="13">
                    <c:v>2Q</c:v>
                  </c:pt>
                  <c:pt idx="14">
                    <c:v>3Q</c:v>
                  </c:pt>
                  <c:pt idx="15">
                    <c:v>4Q</c:v>
                  </c:pt>
                  <c:pt idx="16">
                    <c:v>1Q</c:v>
                  </c:pt>
                  <c:pt idx="17">
                    <c:v>2Q</c:v>
                  </c:pt>
                  <c:pt idx="18">
                    <c:v>3Q</c:v>
                  </c:pt>
                  <c:pt idx="19">
                    <c:v>4Q</c:v>
                  </c:pt>
                </c:lvl>
                <c:lvl>
                  <c:pt idx="0">
                    <c:v>1차년도</c:v>
                  </c:pt>
                  <c:pt idx="4">
                    <c:v>2차년도</c:v>
                  </c:pt>
                  <c:pt idx="8">
                    <c:v>3차년도</c:v>
                  </c:pt>
                  <c:pt idx="12">
                    <c:v>4차년도</c:v>
                  </c:pt>
                  <c:pt idx="16">
                    <c:v>5차년도</c:v>
                  </c:pt>
                </c:lvl>
              </c:multiLvlStrCache>
            </c:multiLvlStrRef>
          </c:cat>
          <c:val>
            <c:numRef>
              <c:f>'3. 기초 분석 자료'!$C$39:$V$39</c:f>
              <c:numCache>
                <c:formatCode>#,##0.00_ </c:formatCode>
                <c:ptCount val="20"/>
                <c:pt idx="0">
                  <c:v>89.344150690720568</c:v>
                </c:pt>
                <c:pt idx="1">
                  <c:v>93.833407702695908</c:v>
                </c:pt>
                <c:pt idx="2">
                  <c:v>96.447938367848167</c:v>
                </c:pt>
                <c:pt idx="3">
                  <c:v>98.434206978534107</c:v>
                </c:pt>
                <c:pt idx="4">
                  <c:v>100.57402294509015</c:v>
                </c:pt>
                <c:pt idx="5">
                  <c:v>103.54890773053327</c:v>
                </c:pt>
                <c:pt idx="6">
                  <c:v>105.19742686420128</c:v>
                </c:pt>
                <c:pt idx="7">
                  <c:v>104.18727732147035</c:v>
                </c:pt>
                <c:pt idx="8">
                  <c:v>103.86804741004315</c:v>
                </c:pt>
                <c:pt idx="9">
                  <c:v>104.15265817142053</c:v>
                </c:pt>
                <c:pt idx="10">
                  <c:v>102.21242240817328</c:v>
                </c:pt>
                <c:pt idx="11">
                  <c:v>100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1-A5C9-4526-BC8C-1F015CB0FEF2}"/>
            </c:ext>
          </c:extLst>
        </c:ser>
        <c:ser>
          <c:idx val="2"/>
          <c:order val="2"/>
          <c:tx>
            <c:strRef>
              <c:f>'3. 기초 분석 자료'!$B$40</c:f>
              <c:strCache>
                <c:ptCount val="1"/>
                <c:pt idx="0">
                  <c:v>C국가</c:v>
                </c:pt>
              </c:strCache>
            </c:strRef>
          </c:tx>
          <c:cat>
            <c:multiLvlStrRef>
              <c:f>'3. 기초 분석 자료'!$C$36:$V$37</c:f>
              <c:multiLvlStrCache>
                <c:ptCount val="20"/>
                <c:lvl>
                  <c:pt idx="0">
                    <c:v>1Q</c:v>
                  </c:pt>
                  <c:pt idx="1">
                    <c:v>2Q</c:v>
                  </c:pt>
                  <c:pt idx="2">
                    <c:v>3Q</c:v>
                  </c:pt>
                  <c:pt idx="3">
                    <c:v>4Q</c:v>
                  </c:pt>
                  <c:pt idx="4">
                    <c:v>1Q</c:v>
                  </c:pt>
                  <c:pt idx="5">
                    <c:v>2Q</c:v>
                  </c:pt>
                  <c:pt idx="6">
                    <c:v>3Q</c:v>
                  </c:pt>
                  <c:pt idx="7">
                    <c:v>4Q</c:v>
                  </c:pt>
                  <c:pt idx="8">
                    <c:v>1Q</c:v>
                  </c:pt>
                  <c:pt idx="9">
                    <c:v>2Q</c:v>
                  </c:pt>
                  <c:pt idx="10">
                    <c:v>3Q</c:v>
                  </c:pt>
                  <c:pt idx="11">
                    <c:v>4Q</c:v>
                  </c:pt>
                  <c:pt idx="12">
                    <c:v>1Q</c:v>
                  </c:pt>
                  <c:pt idx="13">
                    <c:v>2Q</c:v>
                  </c:pt>
                  <c:pt idx="14">
                    <c:v>3Q</c:v>
                  </c:pt>
                  <c:pt idx="15">
                    <c:v>4Q</c:v>
                  </c:pt>
                  <c:pt idx="16">
                    <c:v>1Q</c:v>
                  </c:pt>
                  <c:pt idx="17">
                    <c:v>2Q</c:v>
                  </c:pt>
                  <c:pt idx="18">
                    <c:v>3Q</c:v>
                  </c:pt>
                  <c:pt idx="19">
                    <c:v>4Q</c:v>
                  </c:pt>
                </c:lvl>
                <c:lvl>
                  <c:pt idx="0">
                    <c:v>1차년도</c:v>
                  </c:pt>
                  <c:pt idx="4">
                    <c:v>2차년도</c:v>
                  </c:pt>
                  <c:pt idx="8">
                    <c:v>3차년도</c:v>
                  </c:pt>
                  <c:pt idx="12">
                    <c:v>4차년도</c:v>
                  </c:pt>
                  <c:pt idx="16">
                    <c:v>5차년도</c:v>
                  </c:pt>
                </c:lvl>
              </c:multiLvlStrCache>
            </c:multiLvlStrRef>
          </c:cat>
          <c:val>
            <c:numRef>
              <c:f>'3. 기초 분석 자료'!$C$40:$V$40</c:f>
              <c:numCache>
                <c:formatCode>#,##0.00_ </c:formatCode>
                <c:ptCount val="20"/>
                <c:pt idx="0">
                  <c:v>82.612313860287912</c:v>
                </c:pt>
                <c:pt idx="1">
                  <c:v>82.572931673092597</c:v>
                </c:pt>
                <c:pt idx="2">
                  <c:v>82.760083779583923</c:v>
                </c:pt>
                <c:pt idx="3">
                  <c:v>81.361394316122954</c:v>
                </c:pt>
                <c:pt idx="4">
                  <c:v>82.219089547104346</c:v>
                </c:pt>
                <c:pt idx="5">
                  <c:v>86.109986910755495</c:v>
                </c:pt>
                <c:pt idx="6">
                  <c:v>88.185343773765098</c:v>
                </c:pt>
                <c:pt idx="7">
                  <c:v>88.67893851478506</c:v>
                </c:pt>
                <c:pt idx="8">
                  <c:v>92.097320115192204</c:v>
                </c:pt>
                <c:pt idx="9">
                  <c:v>96.48398014058796</c:v>
                </c:pt>
                <c:pt idx="10">
                  <c:v>99.220696732016776</c:v>
                </c:pt>
                <c:pt idx="11">
                  <c:v>100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2-A5C9-4526-BC8C-1F015CB0FEF2}"/>
            </c:ext>
          </c:extLst>
        </c:ser>
        <c:dLbls>
          <c:showLegendKey val="0"/>
          <c:showVal val="0"/>
          <c:showCatName val="0"/>
          <c:showSerName val="0"/>
          <c:showPercent val="0"/>
          <c:showBubbleSize val="0"/>
        </c:dLbls>
        <c:marker val="1"/>
        <c:smooth val="0"/>
        <c:axId val="2138828624"/>
        <c:axId val="1"/>
      </c:lineChart>
      <c:catAx>
        <c:axId val="2138828624"/>
        <c:scaling>
          <c:orientation val="minMax"/>
        </c:scaling>
        <c:delete val="0"/>
        <c:axPos val="b"/>
        <c:numFmt formatCode="General" sourceLinked="1"/>
        <c:majorTickMark val="out"/>
        <c:minorTickMark val="none"/>
        <c:tickLblPos val="nextTo"/>
        <c:crossAx val="1"/>
        <c:crosses val="autoZero"/>
        <c:auto val="1"/>
        <c:lblAlgn val="ctr"/>
        <c:lblOffset val="100"/>
        <c:noMultiLvlLbl val="0"/>
      </c:catAx>
      <c:valAx>
        <c:axId val="1"/>
        <c:scaling>
          <c:orientation val="minMax"/>
          <c:max val="115"/>
          <c:min val="80"/>
        </c:scaling>
        <c:delete val="0"/>
        <c:axPos val="l"/>
        <c:majorGridlines/>
        <c:numFmt formatCode="#,##0.00_ " sourceLinked="1"/>
        <c:majorTickMark val="out"/>
        <c:minorTickMark val="none"/>
        <c:tickLblPos val="nextTo"/>
        <c:crossAx val="2138828624"/>
        <c:crosses val="autoZero"/>
        <c:crossBetween val="between"/>
        <c:majorUnit val="5"/>
        <c:minorUnit val="2"/>
      </c:valAx>
    </c:plotArea>
    <c:legend>
      <c:legendPos val="r"/>
      <c:layout>
        <c:manualLayout>
          <c:xMode val="edge"/>
          <c:yMode val="edge"/>
          <c:x val="0.37190210385510231"/>
          <c:y val="0.91170881409409232"/>
          <c:w val="0.26244596626564076"/>
          <c:h val="6.8378161057056921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맑은 고딕"/>
                <a:ea typeface="맑은 고딕"/>
                <a:cs typeface="맑은 고딕"/>
              </a:defRPr>
            </a:pPr>
            <a:r>
              <a:rPr lang="en-US" sz="1400" b="1" i="0" u="none" strike="noStrike" baseline="0">
                <a:solidFill>
                  <a:srgbClr val="000000"/>
                </a:solidFill>
                <a:latin typeface="맑은 고딕"/>
                <a:ea typeface="맑은 고딕"/>
              </a:rPr>
              <a:t>한국 GDP와 판매량 변화</a:t>
            </a:r>
          </a:p>
        </c:rich>
      </c:tx>
      <c:overlay val="0"/>
    </c:title>
    <c:autoTitleDeleted val="0"/>
    <c:plotArea>
      <c:layout/>
      <c:barChart>
        <c:barDir val="col"/>
        <c:grouping val="clustered"/>
        <c:varyColors val="0"/>
        <c:ser>
          <c:idx val="1"/>
          <c:order val="1"/>
          <c:tx>
            <c:v>판매량</c:v>
          </c:tx>
          <c:spPr>
            <a:solidFill>
              <a:schemeClr val="tx2">
                <a:lumMod val="60000"/>
                <a:lumOff val="40000"/>
              </a:schemeClr>
            </a:solidFill>
          </c:spPr>
          <c:invertIfNegative val="0"/>
          <c:val>
            <c:numRef>
              <c:f>'3. 기초 분석 자료'!$C$47:$V$47</c:f>
              <c:numCache>
                <c:formatCode>_(* #,##0_);_(* \(#,##0\);_(* "-"_);_(@_)</c:formatCode>
                <c:ptCount val="20"/>
                <c:pt idx="0">
                  <c:v>38739</c:v>
                </c:pt>
                <c:pt idx="1">
                  <c:v>49455</c:v>
                </c:pt>
                <c:pt idx="2">
                  <c:v>46095</c:v>
                </c:pt>
                <c:pt idx="3">
                  <c:v>53923</c:v>
                </c:pt>
                <c:pt idx="4">
                  <c:v>38959</c:v>
                </c:pt>
                <c:pt idx="5">
                  <c:v>59451</c:v>
                </c:pt>
                <c:pt idx="6">
                  <c:v>53746</c:v>
                </c:pt>
                <c:pt idx="7">
                  <c:v>73267</c:v>
                </c:pt>
                <c:pt idx="8">
                  <c:v>65552</c:v>
                </c:pt>
                <c:pt idx="9">
                  <c:v>80232</c:v>
                </c:pt>
                <c:pt idx="10">
                  <c:v>69981</c:v>
                </c:pt>
                <c:pt idx="11">
                  <c:v>66680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F68E-4358-BD14-B09DD7AA6EDE}"/>
            </c:ext>
          </c:extLst>
        </c:ser>
        <c:dLbls>
          <c:showLegendKey val="0"/>
          <c:showVal val="0"/>
          <c:showCatName val="0"/>
          <c:showSerName val="0"/>
          <c:showPercent val="0"/>
          <c:showBubbleSize val="0"/>
        </c:dLbls>
        <c:gapWidth val="150"/>
        <c:axId val="3"/>
        <c:axId val="4"/>
      </c:barChart>
      <c:lineChart>
        <c:grouping val="standard"/>
        <c:varyColors val="0"/>
        <c:ser>
          <c:idx val="0"/>
          <c:order val="0"/>
          <c:tx>
            <c:v>한국GDP</c:v>
          </c:tx>
          <c:cat>
            <c:multiLvlStrRef>
              <c:f>'3. 기초 분석 자료'!$C$36:$V$37</c:f>
              <c:multiLvlStrCache>
                <c:ptCount val="20"/>
                <c:lvl>
                  <c:pt idx="0">
                    <c:v>1Q</c:v>
                  </c:pt>
                  <c:pt idx="1">
                    <c:v>2Q</c:v>
                  </c:pt>
                  <c:pt idx="2">
                    <c:v>3Q</c:v>
                  </c:pt>
                  <c:pt idx="3">
                    <c:v>4Q</c:v>
                  </c:pt>
                  <c:pt idx="4">
                    <c:v>1Q</c:v>
                  </c:pt>
                  <c:pt idx="5">
                    <c:v>2Q</c:v>
                  </c:pt>
                  <c:pt idx="6">
                    <c:v>3Q</c:v>
                  </c:pt>
                  <c:pt idx="7">
                    <c:v>4Q</c:v>
                  </c:pt>
                  <c:pt idx="8">
                    <c:v>1Q</c:v>
                  </c:pt>
                  <c:pt idx="9">
                    <c:v>2Q</c:v>
                  </c:pt>
                  <c:pt idx="10">
                    <c:v>3Q</c:v>
                  </c:pt>
                  <c:pt idx="11">
                    <c:v>4Q</c:v>
                  </c:pt>
                  <c:pt idx="12">
                    <c:v>1Q</c:v>
                  </c:pt>
                  <c:pt idx="13">
                    <c:v>2Q</c:v>
                  </c:pt>
                  <c:pt idx="14">
                    <c:v>3Q</c:v>
                  </c:pt>
                  <c:pt idx="15">
                    <c:v>4Q</c:v>
                  </c:pt>
                  <c:pt idx="16">
                    <c:v>1Q</c:v>
                  </c:pt>
                  <c:pt idx="17">
                    <c:v>2Q</c:v>
                  </c:pt>
                  <c:pt idx="18">
                    <c:v>3Q</c:v>
                  </c:pt>
                  <c:pt idx="19">
                    <c:v>4Q</c:v>
                  </c:pt>
                </c:lvl>
                <c:lvl>
                  <c:pt idx="0">
                    <c:v>1차년도</c:v>
                  </c:pt>
                  <c:pt idx="4">
                    <c:v>2차년도</c:v>
                  </c:pt>
                  <c:pt idx="8">
                    <c:v>3차년도</c:v>
                  </c:pt>
                  <c:pt idx="12">
                    <c:v>4차년도</c:v>
                  </c:pt>
                  <c:pt idx="16">
                    <c:v>5차년도</c:v>
                  </c:pt>
                </c:lvl>
              </c:multiLvlStrCache>
            </c:multiLvlStrRef>
          </c:cat>
          <c:val>
            <c:numRef>
              <c:f>'3. 기초 분석 자료'!$C$38:$V$38</c:f>
              <c:numCache>
                <c:formatCode>#,##0.00_ </c:formatCode>
                <c:ptCount val="20"/>
                <c:pt idx="0">
                  <c:v>88.672675507503769</c:v>
                </c:pt>
                <c:pt idx="1">
                  <c:v>89.155316469878997</c:v>
                </c:pt>
                <c:pt idx="2">
                  <c:v>88.91026610108355</c:v>
                </c:pt>
                <c:pt idx="3">
                  <c:v>89.525241002106654</c:v>
                </c:pt>
                <c:pt idx="4">
                  <c:v>91.198832284330294</c:v>
                </c:pt>
                <c:pt idx="5">
                  <c:v>96.499413399858895</c:v>
                </c:pt>
                <c:pt idx="6">
                  <c:v>99.917648709510956</c:v>
                </c:pt>
                <c:pt idx="7">
                  <c:v>102.05692573895008</c:v>
                </c:pt>
                <c:pt idx="8">
                  <c:v>103.70162838249377</c:v>
                </c:pt>
                <c:pt idx="9">
                  <c:v>105.04171651859393</c:v>
                </c:pt>
                <c:pt idx="10">
                  <c:v>103.454328261732</c:v>
                </c:pt>
                <c:pt idx="11">
                  <c:v>100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1-F68E-4358-BD14-B09DD7AA6EDE}"/>
            </c:ext>
          </c:extLst>
        </c:ser>
        <c:dLbls>
          <c:showLegendKey val="0"/>
          <c:showVal val="0"/>
          <c:showCatName val="0"/>
          <c:showSerName val="0"/>
          <c:showPercent val="0"/>
          <c:showBubbleSize val="0"/>
        </c:dLbls>
        <c:marker val="1"/>
        <c:smooth val="0"/>
        <c:axId val="2145425664"/>
        <c:axId val="1"/>
      </c:lineChart>
      <c:catAx>
        <c:axId val="2145425664"/>
        <c:scaling>
          <c:orientation val="minMax"/>
        </c:scaling>
        <c:delete val="0"/>
        <c:axPos val="b"/>
        <c:numFmt formatCode="General" sourceLinked="1"/>
        <c:majorTickMark val="out"/>
        <c:minorTickMark val="none"/>
        <c:tickLblPos val="nextTo"/>
        <c:crossAx val="1"/>
        <c:crosses val="autoZero"/>
        <c:auto val="1"/>
        <c:lblAlgn val="ctr"/>
        <c:lblOffset val="100"/>
        <c:noMultiLvlLbl val="0"/>
      </c:catAx>
      <c:valAx>
        <c:axId val="1"/>
        <c:scaling>
          <c:orientation val="minMax"/>
          <c:max val="120"/>
          <c:min val="80"/>
        </c:scaling>
        <c:delete val="0"/>
        <c:axPos val="l"/>
        <c:majorGridlines/>
        <c:title>
          <c:tx>
            <c:rich>
              <a:bodyPr rot="0" vert="wordArtVertRtl" anchor="t" anchorCtr="0"/>
              <a:lstStyle/>
              <a:p>
                <a:pPr>
                  <a:defRPr/>
                </a:pPr>
                <a:r>
                  <a:rPr lang="en-US" altLang="ko-KR"/>
                  <a:t>GDP</a:t>
                </a:r>
                <a:endParaRPr lang="ko-KR" altLang="en-US"/>
              </a:p>
            </c:rich>
          </c:tx>
          <c:overlay val="0"/>
          <c:spPr>
            <a:solidFill>
              <a:schemeClr val="accent1">
                <a:lumMod val="20000"/>
                <a:lumOff val="80000"/>
              </a:schemeClr>
            </a:solidFill>
          </c:spPr>
        </c:title>
        <c:numFmt formatCode="#,##0.00_ " sourceLinked="1"/>
        <c:majorTickMark val="out"/>
        <c:minorTickMark val="none"/>
        <c:tickLblPos val="nextTo"/>
        <c:crossAx val="2145425664"/>
        <c:crosses val="autoZero"/>
        <c:crossBetween val="between"/>
        <c:majorUnit val="5"/>
      </c:valAx>
      <c:catAx>
        <c:axId val="3"/>
        <c:scaling>
          <c:orientation val="minMax"/>
        </c:scaling>
        <c:delete val="1"/>
        <c:axPos val="b"/>
        <c:majorTickMark val="out"/>
        <c:minorTickMark val="none"/>
        <c:tickLblPos val="nextTo"/>
        <c:crossAx val="4"/>
        <c:crosses val="autoZero"/>
        <c:auto val="1"/>
        <c:lblAlgn val="ctr"/>
        <c:lblOffset val="100"/>
        <c:noMultiLvlLbl val="0"/>
      </c:catAx>
      <c:valAx>
        <c:axId val="4"/>
        <c:scaling>
          <c:orientation val="minMax"/>
          <c:max val="120000"/>
          <c:min val="30000"/>
        </c:scaling>
        <c:delete val="0"/>
        <c:axPos val="r"/>
        <c:title>
          <c:tx>
            <c:rich>
              <a:bodyPr rot="0" vert="wordArtVertRtl"/>
              <a:lstStyle/>
              <a:p>
                <a:pPr>
                  <a:defRPr/>
                </a:pPr>
                <a:r>
                  <a:rPr lang="ko-KR" altLang="en-US"/>
                  <a:t>판매량</a:t>
                </a:r>
              </a:p>
            </c:rich>
          </c:tx>
          <c:overlay val="0"/>
          <c:spPr>
            <a:solidFill>
              <a:schemeClr val="accent1">
                <a:lumMod val="20000"/>
                <a:lumOff val="80000"/>
              </a:schemeClr>
            </a:solidFill>
          </c:spPr>
        </c:title>
        <c:numFmt formatCode="_(* #,##0_);_(* \(#,##0\);_(* &quot;-&quot;_);_(@_)" sourceLinked="1"/>
        <c:majorTickMark val="out"/>
        <c:minorTickMark val="none"/>
        <c:tickLblPos val="nextTo"/>
        <c:crossAx val="3"/>
        <c:crosses val="max"/>
        <c:crossBetween val="between"/>
        <c:majorUnit val="10000"/>
        <c:minorUnit val="2000"/>
      </c:valAx>
    </c:plotArea>
    <c:legend>
      <c:legendPos val="r"/>
      <c:layout>
        <c:manualLayout>
          <c:xMode val="edge"/>
          <c:yMode val="edge"/>
          <c:x val="0.38059946985828486"/>
          <c:y val="0.91014127915921517"/>
          <c:w val="0.23627819437510972"/>
          <c:h val="6.7417872530312228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a:lstStyle/>
          <a:p>
            <a:pPr>
              <a:defRPr sz="1000" b="0" i="0" u="none" strike="noStrike" baseline="0">
                <a:solidFill>
                  <a:srgbClr val="000000"/>
                </a:solidFill>
                <a:latin typeface="맑은 고딕"/>
                <a:ea typeface="맑은 고딕"/>
                <a:cs typeface="맑은 고딕"/>
              </a:defRPr>
            </a:pPr>
            <a:r>
              <a:rPr lang="en-US" sz="1400" b="1" i="0" u="none" strike="noStrike" baseline="0">
                <a:solidFill>
                  <a:srgbClr val="000000"/>
                </a:solidFill>
                <a:latin typeface="맑은 고딕"/>
                <a:ea typeface="맑은 고딕"/>
              </a:rPr>
              <a:t>미국 GDP와 판매량 변화</a:t>
            </a:r>
          </a:p>
        </c:rich>
      </c:tx>
      <c:overlay val="0"/>
    </c:title>
    <c:autoTitleDeleted val="0"/>
    <c:plotArea>
      <c:layout/>
      <c:barChart>
        <c:barDir val="col"/>
        <c:grouping val="clustered"/>
        <c:varyColors val="0"/>
        <c:ser>
          <c:idx val="1"/>
          <c:order val="1"/>
          <c:tx>
            <c:v>판매량</c:v>
          </c:tx>
          <c:spPr>
            <a:solidFill>
              <a:srgbClr val="FFC000"/>
            </a:solidFill>
            <a:ln>
              <a:noFill/>
            </a:ln>
          </c:spPr>
          <c:invertIfNegative val="0"/>
          <c:val>
            <c:numRef>
              <c:f>'3. 기초 분석 자료'!$C$48:$V$48</c:f>
              <c:numCache>
                <c:formatCode>_(* #,##0_);_(* \(#,##0\);_(* "-"_);_(@_)</c:formatCode>
                <c:ptCount val="20"/>
                <c:pt idx="0">
                  <c:v>23963</c:v>
                </c:pt>
                <c:pt idx="1">
                  <c:v>32381</c:v>
                </c:pt>
                <c:pt idx="2">
                  <c:v>34739</c:v>
                </c:pt>
                <c:pt idx="3">
                  <c:v>39025</c:v>
                </c:pt>
                <c:pt idx="4">
                  <c:v>34074</c:v>
                </c:pt>
                <c:pt idx="5">
                  <c:v>39074</c:v>
                </c:pt>
                <c:pt idx="6">
                  <c:v>39354</c:v>
                </c:pt>
                <c:pt idx="7">
                  <c:v>40033</c:v>
                </c:pt>
                <c:pt idx="8">
                  <c:v>33564</c:v>
                </c:pt>
                <c:pt idx="9">
                  <c:v>36277</c:v>
                </c:pt>
                <c:pt idx="10">
                  <c:v>33702</c:v>
                </c:pt>
                <c:pt idx="11">
                  <c:v>32680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F75E-4CBB-8955-FA8E7244B64D}"/>
            </c:ext>
          </c:extLst>
        </c:ser>
        <c:dLbls>
          <c:showLegendKey val="0"/>
          <c:showVal val="0"/>
          <c:showCatName val="0"/>
          <c:showSerName val="0"/>
          <c:showPercent val="0"/>
          <c:showBubbleSize val="0"/>
        </c:dLbls>
        <c:gapWidth val="150"/>
        <c:axId val="3"/>
        <c:axId val="4"/>
      </c:barChart>
      <c:lineChart>
        <c:grouping val="standard"/>
        <c:varyColors val="0"/>
        <c:ser>
          <c:idx val="0"/>
          <c:order val="0"/>
          <c:tx>
            <c:v>미국GDP</c:v>
          </c:tx>
          <c:spPr>
            <a:ln>
              <a:solidFill>
                <a:srgbClr val="FF0000"/>
              </a:solidFill>
            </a:ln>
          </c:spPr>
          <c:marker>
            <c:spPr>
              <a:solidFill>
                <a:srgbClr val="FF0000"/>
              </a:solidFill>
              <a:ln>
                <a:solidFill>
                  <a:srgbClr val="FF0000"/>
                </a:solidFill>
              </a:ln>
            </c:spPr>
          </c:marker>
          <c:cat>
            <c:multiLvlStrRef>
              <c:f>'3. 기초 분석 자료'!$C$36:$V$37</c:f>
              <c:multiLvlStrCache>
                <c:ptCount val="20"/>
                <c:lvl>
                  <c:pt idx="0">
                    <c:v>1Q</c:v>
                  </c:pt>
                  <c:pt idx="1">
                    <c:v>2Q</c:v>
                  </c:pt>
                  <c:pt idx="2">
                    <c:v>3Q</c:v>
                  </c:pt>
                  <c:pt idx="3">
                    <c:v>4Q</c:v>
                  </c:pt>
                  <c:pt idx="4">
                    <c:v>1Q</c:v>
                  </c:pt>
                  <c:pt idx="5">
                    <c:v>2Q</c:v>
                  </c:pt>
                  <c:pt idx="6">
                    <c:v>3Q</c:v>
                  </c:pt>
                  <c:pt idx="7">
                    <c:v>4Q</c:v>
                  </c:pt>
                  <c:pt idx="8">
                    <c:v>1Q</c:v>
                  </c:pt>
                  <c:pt idx="9">
                    <c:v>2Q</c:v>
                  </c:pt>
                  <c:pt idx="10">
                    <c:v>3Q</c:v>
                  </c:pt>
                  <c:pt idx="11">
                    <c:v>4Q</c:v>
                  </c:pt>
                  <c:pt idx="12">
                    <c:v>1Q</c:v>
                  </c:pt>
                  <c:pt idx="13">
                    <c:v>2Q</c:v>
                  </c:pt>
                  <c:pt idx="14">
                    <c:v>3Q</c:v>
                  </c:pt>
                  <c:pt idx="15">
                    <c:v>4Q</c:v>
                  </c:pt>
                  <c:pt idx="16">
                    <c:v>1Q</c:v>
                  </c:pt>
                  <c:pt idx="17">
                    <c:v>2Q</c:v>
                  </c:pt>
                  <c:pt idx="18">
                    <c:v>3Q</c:v>
                  </c:pt>
                  <c:pt idx="19">
                    <c:v>4Q</c:v>
                  </c:pt>
                </c:lvl>
                <c:lvl>
                  <c:pt idx="0">
                    <c:v>1차년도</c:v>
                  </c:pt>
                  <c:pt idx="4">
                    <c:v>2차년도</c:v>
                  </c:pt>
                  <c:pt idx="8">
                    <c:v>3차년도</c:v>
                  </c:pt>
                  <c:pt idx="12">
                    <c:v>4차년도</c:v>
                  </c:pt>
                  <c:pt idx="16">
                    <c:v>5차년도</c:v>
                  </c:pt>
                </c:lvl>
              </c:multiLvlStrCache>
            </c:multiLvlStrRef>
          </c:cat>
          <c:val>
            <c:numRef>
              <c:f>'3. 기초 분석 자료'!$C$39:$V$39</c:f>
              <c:numCache>
                <c:formatCode>#,##0.00_ </c:formatCode>
                <c:ptCount val="20"/>
                <c:pt idx="0">
                  <c:v>89.344150690720568</c:v>
                </c:pt>
                <c:pt idx="1">
                  <c:v>93.833407702695908</c:v>
                </c:pt>
                <c:pt idx="2">
                  <c:v>96.447938367848167</c:v>
                </c:pt>
                <c:pt idx="3">
                  <c:v>98.434206978534107</c:v>
                </c:pt>
                <c:pt idx="4">
                  <c:v>100.57402294509015</c:v>
                </c:pt>
                <c:pt idx="5">
                  <c:v>103.54890773053327</c:v>
                </c:pt>
                <c:pt idx="6">
                  <c:v>105.19742686420128</c:v>
                </c:pt>
                <c:pt idx="7">
                  <c:v>104.18727732147035</c:v>
                </c:pt>
                <c:pt idx="8">
                  <c:v>103.86804741004315</c:v>
                </c:pt>
                <c:pt idx="9">
                  <c:v>104.15265817142053</c:v>
                </c:pt>
                <c:pt idx="10">
                  <c:v>102.21242240817328</c:v>
                </c:pt>
                <c:pt idx="11">
                  <c:v>100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1-F75E-4CBB-8955-FA8E7244B64D}"/>
            </c:ext>
          </c:extLst>
        </c:ser>
        <c:dLbls>
          <c:showLegendKey val="0"/>
          <c:showVal val="0"/>
          <c:showCatName val="0"/>
          <c:showSerName val="0"/>
          <c:showPercent val="0"/>
          <c:showBubbleSize val="0"/>
        </c:dLbls>
        <c:marker val="1"/>
        <c:smooth val="0"/>
        <c:axId val="2145416064"/>
        <c:axId val="1"/>
      </c:lineChart>
      <c:catAx>
        <c:axId val="2145416064"/>
        <c:scaling>
          <c:orientation val="minMax"/>
        </c:scaling>
        <c:delete val="0"/>
        <c:axPos val="b"/>
        <c:numFmt formatCode="General" sourceLinked="1"/>
        <c:majorTickMark val="out"/>
        <c:minorTickMark val="none"/>
        <c:tickLblPos val="nextTo"/>
        <c:crossAx val="1"/>
        <c:crosses val="autoZero"/>
        <c:auto val="1"/>
        <c:lblAlgn val="ctr"/>
        <c:lblOffset val="100"/>
        <c:noMultiLvlLbl val="0"/>
      </c:catAx>
      <c:valAx>
        <c:axId val="1"/>
        <c:scaling>
          <c:orientation val="minMax"/>
          <c:max val="120"/>
          <c:min val="80"/>
        </c:scaling>
        <c:delete val="0"/>
        <c:axPos val="l"/>
        <c:majorGridlines/>
        <c:title>
          <c:tx>
            <c:rich>
              <a:bodyPr rot="0" vert="wordArtVertRtl"/>
              <a:lstStyle/>
              <a:p>
                <a:pPr>
                  <a:defRPr/>
                </a:pPr>
                <a:r>
                  <a:rPr lang="en-US"/>
                  <a:t>GDP</a:t>
                </a:r>
                <a:endParaRPr lang="ko-KR"/>
              </a:p>
            </c:rich>
          </c:tx>
          <c:overlay val="0"/>
          <c:spPr>
            <a:solidFill>
              <a:schemeClr val="accent1">
                <a:lumMod val="20000"/>
                <a:lumOff val="80000"/>
              </a:schemeClr>
            </a:solidFill>
          </c:spPr>
        </c:title>
        <c:numFmt formatCode="#,##0.00_ " sourceLinked="1"/>
        <c:majorTickMark val="out"/>
        <c:minorTickMark val="none"/>
        <c:tickLblPos val="nextTo"/>
        <c:crossAx val="2145416064"/>
        <c:crosses val="autoZero"/>
        <c:crossBetween val="between"/>
        <c:majorUnit val="5"/>
        <c:minorUnit val="2"/>
      </c:valAx>
      <c:catAx>
        <c:axId val="3"/>
        <c:scaling>
          <c:orientation val="minMax"/>
        </c:scaling>
        <c:delete val="1"/>
        <c:axPos val="b"/>
        <c:majorTickMark val="out"/>
        <c:minorTickMark val="none"/>
        <c:tickLblPos val="nextTo"/>
        <c:crossAx val="4"/>
        <c:crosses val="autoZero"/>
        <c:auto val="1"/>
        <c:lblAlgn val="ctr"/>
        <c:lblOffset val="100"/>
        <c:noMultiLvlLbl val="0"/>
      </c:catAx>
      <c:valAx>
        <c:axId val="4"/>
        <c:scaling>
          <c:orientation val="minMax"/>
          <c:max val="60000"/>
          <c:min val="10000"/>
        </c:scaling>
        <c:delete val="0"/>
        <c:axPos val="r"/>
        <c:title>
          <c:tx>
            <c:rich>
              <a:bodyPr rot="0" vert="wordArtVertRtl"/>
              <a:lstStyle/>
              <a:p>
                <a:pPr>
                  <a:defRPr/>
                </a:pPr>
                <a:r>
                  <a:rPr lang="ko-KR"/>
                  <a:t>판매량</a:t>
                </a:r>
              </a:p>
            </c:rich>
          </c:tx>
          <c:overlay val="0"/>
          <c:spPr>
            <a:solidFill>
              <a:schemeClr val="accent1">
                <a:lumMod val="20000"/>
                <a:lumOff val="80000"/>
              </a:schemeClr>
            </a:solidFill>
          </c:spPr>
        </c:title>
        <c:numFmt formatCode="_(* #,##0_);_(* \(#,##0\);_(* &quot;-&quot;_);_(@_)" sourceLinked="1"/>
        <c:majorTickMark val="out"/>
        <c:minorTickMark val="none"/>
        <c:tickLblPos val="nextTo"/>
        <c:crossAx val="3"/>
        <c:crosses val="max"/>
        <c:crossBetween val="between"/>
        <c:majorUnit val="5000"/>
      </c:valAx>
    </c:plotArea>
    <c:legend>
      <c:legendPos val="r"/>
      <c:layout>
        <c:manualLayout>
          <c:xMode val="edge"/>
          <c:yMode val="edge"/>
          <c:x val="0.38521596744525138"/>
          <c:y val="0.91014127915921517"/>
          <c:w val="0.23597666879924339"/>
          <c:h val="6.7417872530312228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맑은 고딕"/>
                <a:ea typeface="맑은 고딕"/>
                <a:cs typeface="맑은 고딕"/>
              </a:defRPr>
            </a:pPr>
            <a:r>
              <a:rPr lang="en-US" sz="1400" b="1" i="0" u="none" strike="noStrike" baseline="0">
                <a:solidFill>
                  <a:srgbClr val="000000"/>
                </a:solidFill>
                <a:latin typeface="맑은 고딕"/>
                <a:ea typeface="맑은 고딕"/>
              </a:rPr>
              <a:t>중국 GDP와 판매량 변화</a:t>
            </a:r>
          </a:p>
        </c:rich>
      </c:tx>
      <c:overlay val="0"/>
    </c:title>
    <c:autoTitleDeleted val="0"/>
    <c:plotArea>
      <c:layout/>
      <c:barChart>
        <c:barDir val="col"/>
        <c:grouping val="clustered"/>
        <c:varyColors val="0"/>
        <c:ser>
          <c:idx val="1"/>
          <c:order val="1"/>
          <c:tx>
            <c:v>판매량</c:v>
          </c:tx>
          <c:spPr>
            <a:solidFill>
              <a:schemeClr val="accent6">
                <a:lumMod val="50000"/>
              </a:schemeClr>
            </a:solidFill>
            <a:ln>
              <a:noFill/>
            </a:ln>
          </c:spPr>
          <c:invertIfNegative val="0"/>
          <c:val>
            <c:numRef>
              <c:f>'3. 기초 분석 자료'!$C$49:$R$49</c:f>
              <c:numCache>
                <c:formatCode>_(* #,##0_);_(* \(#,##0\);_(* "-"_);_(@_)</c:formatCode>
                <c:ptCount val="16"/>
                <c:pt idx="0">
                  <c:v>5497</c:v>
                </c:pt>
                <c:pt idx="1">
                  <c:v>13894</c:v>
                </c:pt>
                <c:pt idx="2">
                  <c:v>10568</c:v>
                </c:pt>
                <c:pt idx="3">
                  <c:v>13227</c:v>
                </c:pt>
                <c:pt idx="4">
                  <c:v>4700</c:v>
                </c:pt>
                <c:pt idx="5">
                  <c:v>15478</c:v>
                </c:pt>
                <c:pt idx="6">
                  <c:v>15275</c:v>
                </c:pt>
                <c:pt idx="7">
                  <c:v>21414</c:v>
                </c:pt>
                <c:pt idx="8">
                  <c:v>17504</c:v>
                </c:pt>
                <c:pt idx="9">
                  <c:v>28354</c:v>
                </c:pt>
                <c:pt idx="10">
                  <c:v>28320</c:v>
                </c:pt>
                <c:pt idx="11">
                  <c:v>30500</c:v>
                </c:pt>
                <c:pt idx="12">
                  <c:v>0</c:v>
                </c:pt>
                <c:pt idx="13">
                  <c:v>0</c:v>
                </c:pt>
                <c:pt idx="14">
                  <c:v>0</c:v>
                </c:pt>
                <c:pt idx="15">
                  <c:v>0</c:v>
                </c:pt>
              </c:numCache>
            </c:numRef>
          </c:val>
          <c:extLst>
            <c:ext xmlns:c16="http://schemas.microsoft.com/office/drawing/2014/chart" uri="{C3380CC4-5D6E-409C-BE32-E72D297353CC}">
              <c16:uniqueId val="{00000000-A60D-4680-A311-CE2EC40289CF}"/>
            </c:ext>
          </c:extLst>
        </c:ser>
        <c:dLbls>
          <c:showLegendKey val="0"/>
          <c:showVal val="0"/>
          <c:showCatName val="0"/>
          <c:showSerName val="0"/>
          <c:showPercent val="0"/>
          <c:showBubbleSize val="0"/>
        </c:dLbls>
        <c:gapWidth val="150"/>
        <c:axId val="3"/>
        <c:axId val="4"/>
      </c:barChart>
      <c:lineChart>
        <c:grouping val="standard"/>
        <c:varyColors val="0"/>
        <c:ser>
          <c:idx val="0"/>
          <c:order val="0"/>
          <c:tx>
            <c:v>중국GDP</c:v>
          </c:tx>
          <c:spPr>
            <a:ln>
              <a:solidFill>
                <a:srgbClr val="FFC000"/>
              </a:solidFill>
            </a:ln>
          </c:spPr>
          <c:marker>
            <c:spPr>
              <a:solidFill>
                <a:srgbClr val="FFC000"/>
              </a:solidFill>
              <a:ln>
                <a:solidFill>
                  <a:srgbClr val="FFC000"/>
                </a:solidFill>
              </a:ln>
            </c:spPr>
          </c:marker>
          <c:cat>
            <c:multiLvlStrRef>
              <c:f>'3. 기초 분석 자료'!$C$36:$R$37</c:f>
              <c:multiLvlStrCache>
                <c:ptCount val="16"/>
                <c:lvl>
                  <c:pt idx="0">
                    <c:v>1Q</c:v>
                  </c:pt>
                  <c:pt idx="1">
                    <c:v>2Q</c:v>
                  </c:pt>
                  <c:pt idx="2">
                    <c:v>3Q</c:v>
                  </c:pt>
                  <c:pt idx="3">
                    <c:v>4Q</c:v>
                  </c:pt>
                  <c:pt idx="4">
                    <c:v>1Q</c:v>
                  </c:pt>
                  <c:pt idx="5">
                    <c:v>2Q</c:v>
                  </c:pt>
                  <c:pt idx="6">
                    <c:v>3Q</c:v>
                  </c:pt>
                  <c:pt idx="7">
                    <c:v>4Q</c:v>
                  </c:pt>
                  <c:pt idx="8">
                    <c:v>1Q</c:v>
                  </c:pt>
                  <c:pt idx="9">
                    <c:v>2Q</c:v>
                  </c:pt>
                  <c:pt idx="10">
                    <c:v>3Q</c:v>
                  </c:pt>
                  <c:pt idx="11">
                    <c:v>4Q</c:v>
                  </c:pt>
                  <c:pt idx="12">
                    <c:v>1Q</c:v>
                  </c:pt>
                  <c:pt idx="13">
                    <c:v>2Q</c:v>
                  </c:pt>
                  <c:pt idx="14">
                    <c:v>3Q</c:v>
                  </c:pt>
                  <c:pt idx="15">
                    <c:v>4Q</c:v>
                  </c:pt>
                </c:lvl>
                <c:lvl>
                  <c:pt idx="0">
                    <c:v>1차년도</c:v>
                  </c:pt>
                  <c:pt idx="4">
                    <c:v>2차년도</c:v>
                  </c:pt>
                  <c:pt idx="8">
                    <c:v>3차년도</c:v>
                  </c:pt>
                  <c:pt idx="12">
                    <c:v>4차년도</c:v>
                  </c:pt>
                </c:lvl>
              </c:multiLvlStrCache>
            </c:multiLvlStrRef>
          </c:cat>
          <c:val>
            <c:numRef>
              <c:f>'3. 기초 분석 자료'!$C$40:$R$40</c:f>
              <c:numCache>
                <c:formatCode>#,##0.00_ </c:formatCode>
                <c:ptCount val="16"/>
                <c:pt idx="0">
                  <c:v>82.612313860287912</c:v>
                </c:pt>
                <c:pt idx="1">
                  <c:v>82.572931673092597</c:v>
                </c:pt>
                <c:pt idx="2">
                  <c:v>82.760083779583923</c:v>
                </c:pt>
                <c:pt idx="3">
                  <c:v>81.361394316122954</c:v>
                </c:pt>
                <c:pt idx="4">
                  <c:v>82.219089547104346</c:v>
                </c:pt>
                <c:pt idx="5">
                  <c:v>86.109986910755495</c:v>
                </c:pt>
                <c:pt idx="6">
                  <c:v>88.185343773765098</c:v>
                </c:pt>
                <c:pt idx="7">
                  <c:v>88.67893851478506</c:v>
                </c:pt>
                <c:pt idx="8">
                  <c:v>92.097320115192204</c:v>
                </c:pt>
                <c:pt idx="9">
                  <c:v>96.48398014058796</c:v>
                </c:pt>
                <c:pt idx="10">
                  <c:v>99.220696732016776</c:v>
                </c:pt>
                <c:pt idx="11">
                  <c:v>100</c:v>
                </c:pt>
                <c:pt idx="12">
                  <c:v>0</c:v>
                </c:pt>
                <c:pt idx="13">
                  <c:v>0</c:v>
                </c:pt>
                <c:pt idx="14">
                  <c:v>0</c:v>
                </c:pt>
                <c:pt idx="15">
                  <c:v>0</c:v>
                </c:pt>
              </c:numCache>
            </c:numRef>
          </c:val>
          <c:smooth val="0"/>
          <c:extLst>
            <c:ext xmlns:c16="http://schemas.microsoft.com/office/drawing/2014/chart" uri="{C3380CC4-5D6E-409C-BE32-E72D297353CC}">
              <c16:uniqueId val="{00000001-A60D-4680-A311-CE2EC40289CF}"/>
            </c:ext>
          </c:extLst>
        </c:ser>
        <c:dLbls>
          <c:showLegendKey val="0"/>
          <c:showVal val="0"/>
          <c:showCatName val="0"/>
          <c:showSerName val="0"/>
          <c:showPercent val="0"/>
          <c:showBubbleSize val="0"/>
        </c:dLbls>
        <c:marker val="1"/>
        <c:smooth val="0"/>
        <c:axId val="2145420064"/>
        <c:axId val="1"/>
      </c:lineChart>
      <c:catAx>
        <c:axId val="2145420064"/>
        <c:scaling>
          <c:orientation val="minMax"/>
        </c:scaling>
        <c:delete val="0"/>
        <c:axPos val="b"/>
        <c:numFmt formatCode="General" sourceLinked="1"/>
        <c:majorTickMark val="out"/>
        <c:minorTickMark val="none"/>
        <c:tickLblPos val="nextTo"/>
        <c:crossAx val="1"/>
        <c:crosses val="autoZero"/>
        <c:auto val="1"/>
        <c:lblAlgn val="ctr"/>
        <c:lblOffset val="100"/>
        <c:noMultiLvlLbl val="0"/>
      </c:catAx>
      <c:valAx>
        <c:axId val="1"/>
        <c:scaling>
          <c:orientation val="minMax"/>
          <c:max val="120"/>
          <c:min val="80"/>
        </c:scaling>
        <c:delete val="0"/>
        <c:axPos val="l"/>
        <c:majorGridlines/>
        <c:title>
          <c:tx>
            <c:rich>
              <a:bodyPr rot="0" vert="wordArtVertRtl" anchor="t" anchorCtr="0"/>
              <a:lstStyle/>
              <a:p>
                <a:pPr>
                  <a:defRPr/>
                </a:pPr>
                <a:r>
                  <a:rPr lang="en-US" altLang="ko-KR"/>
                  <a:t>GDP</a:t>
                </a:r>
                <a:endParaRPr lang="ko-KR" altLang="en-US"/>
              </a:p>
            </c:rich>
          </c:tx>
          <c:overlay val="0"/>
          <c:spPr>
            <a:solidFill>
              <a:schemeClr val="accent1">
                <a:lumMod val="20000"/>
                <a:lumOff val="80000"/>
              </a:schemeClr>
            </a:solidFill>
          </c:spPr>
        </c:title>
        <c:numFmt formatCode="#,##0.00_ " sourceLinked="1"/>
        <c:majorTickMark val="out"/>
        <c:minorTickMark val="none"/>
        <c:tickLblPos val="nextTo"/>
        <c:crossAx val="2145420064"/>
        <c:crosses val="autoZero"/>
        <c:crossBetween val="between"/>
        <c:majorUnit val="5"/>
      </c:valAx>
      <c:catAx>
        <c:axId val="3"/>
        <c:scaling>
          <c:orientation val="minMax"/>
        </c:scaling>
        <c:delete val="1"/>
        <c:axPos val="b"/>
        <c:majorTickMark val="out"/>
        <c:minorTickMark val="none"/>
        <c:tickLblPos val="nextTo"/>
        <c:crossAx val="4"/>
        <c:crosses val="autoZero"/>
        <c:auto val="1"/>
        <c:lblAlgn val="ctr"/>
        <c:lblOffset val="100"/>
        <c:noMultiLvlLbl val="0"/>
      </c:catAx>
      <c:valAx>
        <c:axId val="4"/>
        <c:scaling>
          <c:orientation val="minMax"/>
          <c:max val="80000"/>
          <c:min val="0"/>
        </c:scaling>
        <c:delete val="0"/>
        <c:axPos val="r"/>
        <c:title>
          <c:tx>
            <c:rich>
              <a:bodyPr rot="0" vert="wordArtVertRtl"/>
              <a:lstStyle/>
              <a:p>
                <a:pPr>
                  <a:defRPr/>
                </a:pPr>
                <a:r>
                  <a:rPr lang="ko-KR" altLang="en-US"/>
                  <a:t>판매량</a:t>
                </a:r>
              </a:p>
            </c:rich>
          </c:tx>
          <c:overlay val="0"/>
          <c:spPr>
            <a:solidFill>
              <a:schemeClr val="accent1">
                <a:lumMod val="20000"/>
                <a:lumOff val="80000"/>
              </a:schemeClr>
            </a:solidFill>
          </c:spPr>
        </c:title>
        <c:numFmt formatCode="_(* #,##0_);_(* \(#,##0\);_(* &quot;-&quot;_);_(@_)" sourceLinked="1"/>
        <c:majorTickMark val="out"/>
        <c:minorTickMark val="none"/>
        <c:tickLblPos val="nextTo"/>
        <c:crossAx val="3"/>
        <c:crosses val="max"/>
        <c:crossBetween val="between"/>
        <c:majorUnit val="10000"/>
      </c:valAx>
    </c:plotArea>
    <c:legend>
      <c:legendPos val="r"/>
      <c:layout>
        <c:manualLayout>
          <c:xMode val="edge"/>
          <c:yMode val="edge"/>
          <c:x val="0.38628889472631484"/>
          <c:y val="0.91014127915921517"/>
          <c:w val="0.23507712343542184"/>
          <c:h val="6.7417872530312228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맑은 고딕"/>
                <a:ea typeface="맑은 고딕"/>
                <a:cs typeface="맑은 고딕"/>
              </a:defRPr>
            </a:pPr>
            <a:r>
              <a:rPr lang="en-US" sz="1400" b="1" i="0" u="none" strike="noStrike" baseline="0">
                <a:solidFill>
                  <a:srgbClr val="000000"/>
                </a:solidFill>
                <a:latin typeface="맑은 고딕"/>
                <a:ea typeface="맑은 고딕"/>
              </a:rPr>
              <a:t>계절 변화와 영업본부별 판매량</a:t>
            </a:r>
          </a:p>
        </c:rich>
      </c:tx>
      <c:overlay val="0"/>
    </c:title>
    <c:autoTitleDeleted val="0"/>
    <c:plotArea>
      <c:layout/>
      <c:barChart>
        <c:barDir val="col"/>
        <c:grouping val="clustered"/>
        <c:varyColors val="0"/>
        <c:ser>
          <c:idx val="0"/>
          <c:order val="0"/>
          <c:tx>
            <c:strRef>
              <c:f>'3. 기초 분석 자료'!$B$84</c:f>
              <c:strCache>
                <c:ptCount val="1"/>
                <c:pt idx="0">
                  <c:v> 한국 판매량 </c:v>
                </c:pt>
              </c:strCache>
            </c:strRef>
          </c:tx>
          <c:invertIfNegative val="0"/>
          <c:cat>
            <c:multiLvlStrRef>
              <c:f>'3. 기초 분석 자료'!$C$82:$V$83</c:f>
              <c:multiLvlStrCache>
                <c:ptCount val="20"/>
                <c:lvl>
                  <c:pt idx="0">
                    <c:v>1Q</c:v>
                  </c:pt>
                  <c:pt idx="1">
                    <c:v>2Q</c:v>
                  </c:pt>
                  <c:pt idx="2">
                    <c:v>3Q</c:v>
                  </c:pt>
                  <c:pt idx="3">
                    <c:v>4Q</c:v>
                  </c:pt>
                  <c:pt idx="4">
                    <c:v>1Q</c:v>
                  </c:pt>
                  <c:pt idx="5">
                    <c:v>2Q</c:v>
                  </c:pt>
                  <c:pt idx="6">
                    <c:v>3Q</c:v>
                  </c:pt>
                  <c:pt idx="7">
                    <c:v>4Q</c:v>
                  </c:pt>
                  <c:pt idx="8">
                    <c:v>1Q</c:v>
                  </c:pt>
                  <c:pt idx="9">
                    <c:v>2Q</c:v>
                  </c:pt>
                  <c:pt idx="10">
                    <c:v>3Q</c:v>
                  </c:pt>
                  <c:pt idx="11">
                    <c:v>4Q</c:v>
                  </c:pt>
                  <c:pt idx="12">
                    <c:v>1Q</c:v>
                  </c:pt>
                  <c:pt idx="13">
                    <c:v>2Q</c:v>
                  </c:pt>
                  <c:pt idx="14">
                    <c:v>3Q</c:v>
                  </c:pt>
                  <c:pt idx="15">
                    <c:v>4Q</c:v>
                  </c:pt>
                  <c:pt idx="16">
                    <c:v>1Q</c:v>
                  </c:pt>
                  <c:pt idx="17">
                    <c:v>2Q</c:v>
                  </c:pt>
                  <c:pt idx="18">
                    <c:v>3Q</c:v>
                  </c:pt>
                  <c:pt idx="19">
                    <c:v>4Q</c:v>
                  </c:pt>
                </c:lvl>
                <c:lvl>
                  <c:pt idx="0">
                    <c:v>1차년도</c:v>
                  </c:pt>
                  <c:pt idx="4">
                    <c:v>2차년도</c:v>
                  </c:pt>
                  <c:pt idx="8">
                    <c:v>3차년도</c:v>
                  </c:pt>
                  <c:pt idx="12">
                    <c:v>4차년도</c:v>
                  </c:pt>
                  <c:pt idx="16">
                    <c:v>5차년도</c:v>
                  </c:pt>
                </c:lvl>
              </c:multiLvlStrCache>
            </c:multiLvlStrRef>
          </c:cat>
          <c:val>
            <c:numRef>
              <c:f>'3. 기초 분석 자료'!$C$84:$V$84</c:f>
              <c:numCache>
                <c:formatCode>_(* #,##0_);_(* \(#,##0\);_(* "-"_);_(@_)</c:formatCode>
                <c:ptCount val="20"/>
                <c:pt idx="0">
                  <c:v>38739</c:v>
                </c:pt>
                <c:pt idx="1">
                  <c:v>49455</c:v>
                </c:pt>
                <c:pt idx="2">
                  <c:v>46095</c:v>
                </c:pt>
                <c:pt idx="3">
                  <c:v>53923</c:v>
                </c:pt>
                <c:pt idx="4">
                  <c:v>38959</c:v>
                </c:pt>
                <c:pt idx="5">
                  <c:v>59451</c:v>
                </c:pt>
                <c:pt idx="6">
                  <c:v>53746</c:v>
                </c:pt>
                <c:pt idx="7">
                  <c:v>73267</c:v>
                </c:pt>
                <c:pt idx="8">
                  <c:v>65552</c:v>
                </c:pt>
                <c:pt idx="9">
                  <c:v>80232</c:v>
                </c:pt>
                <c:pt idx="10">
                  <c:v>69981</c:v>
                </c:pt>
                <c:pt idx="11">
                  <c:v>66680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297D-4F0F-9730-13755EACA2D2}"/>
            </c:ext>
          </c:extLst>
        </c:ser>
        <c:ser>
          <c:idx val="1"/>
          <c:order val="1"/>
          <c:tx>
            <c:strRef>
              <c:f>'3. 기초 분석 자료'!$B$85</c:f>
              <c:strCache>
                <c:ptCount val="1"/>
                <c:pt idx="0">
                  <c:v> U국가 판매량 </c:v>
                </c:pt>
              </c:strCache>
            </c:strRef>
          </c:tx>
          <c:spPr>
            <a:solidFill>
              <a:srgbClr val="FFC000"/>
            </a:solidFill>
          </c:spPr>
          <c:invertIfNegative val="0"/>
          <c:cat>
            <c:multiLvlStrRef>
              <c:f>'3. 기초 분석 자료'!$C$82:$V$83</c:f>
              <c:multiLvlStrCache>
                <c:ptCount val="20"/>
                <c:lvl>
                  <c:pt idx="0">
                    <c:v>1Q</c:v>
                  </c:pt>
                  <c:pt idx="1">
                    <c:v>2Q</c:v>
                  </c:pt>
                  <c:pt idx="2">
                    <c:v>3Q</c:v>
                  </c:pt>
                  <c:pt idx="3">
                    <c:v>4Q</c:v>
                  </c:pt>
                  <c:pt idx="4">
                    <c:v>1Q</c:v>
                  </c:pt>
                  <c:pt idx="5">
                    <c:v>2Q</c:v>
                  </c:pt>
                  <c:pt idx="6">
                    <c:v>3Q</c:v>
                  </c:pt>
                  <c:pt idx="7">
                    <c:v>4Q</c:v>
                  </c:pt>
                  <c:pt idx="8">
                    <c:v>1Q</c:v>
                  </c:pt>
                  <c:pt idx="9">
                    <c:v>2Q</c:v>
                  </c:pt>
                  <c:pt idx="10">
                    <c:v>3Q</c:v>
                  </c:pt>
                  <c:pt idx="11">
                    <c:v>4Q</c:v>
                  </c:pt>
                  <c:pt idx="12">
                    <c:v>1Q</c:v>
                  </c:pt>
                  <c:pt idx="13">
                    <c:v>2Q</c:v>
                  </c:pt>
                  <c:pt idx="14">
                    <c:v>3Q</c:v>
                  </c:pt>
                  <c:pt idx="15">
                    <c:v>4Q</c:v>
                  </c:pt>
                  <c:pt idx="16">
                    <c:v>1Q</c:v>
                  </c:pt>
                  <c:pt idx="17">
                    <c:v>2Q</c:v>
                  </c:pt>
                  <c:pt idx="18">
                    <c:v>3Q</c:v>
                  </c:pt>
                  <c:pt idx="19">
                    <c:v>4Q</c:v>
                  </c:pt>
                </c:lvl>
                <c:lvl>
                  <c:pt idx="0">
                    <c:v>1차년도</c:v>
                  </c:pt>
                  <c:pt idx="4">
                    <c:v>2차년도</c:v>
                  </c:pt>
                  <c:pt idx="8">
                    <c:v>3차년도</c:v>
                  </c:pt>
                  <c:pt idx="12">
                    <c:v>4차년도</c:v>
                  </c:pt>
                  <c:pt idx="16">
                    <c:v>5차년도</c:v>
                  </c:pt>
                </c:lvl>
              </c:multiLvlStrCache>
            </c:multiLvlStrRef>
          </c:cat>
          <c:val>
            <c:numRef>
              <c:f>'3. 기초 분석 자료'!$C$85:$V$85</c:f>
              <c:numCache>
                <c:formatCode>_(* #,##0_);_(* \(#,##0\);_(* "-"_);_(@_)</c:formatCode>
                <c:ptCount val="20"/>
                <c:pt idx="0">
                  <c:v>23963</c:v>
                </c:pt>
                <c:pt idx="1">
                  <c:v>32381</c:v>
                </c:pt>
                <c:pt idx="2">
                  <c:v>34739</c:v>
                </c:pt>
                <c:pt idx="3">
                  <c:v>39025</c:v>
                </c:pt>
                <c:pt idx="4">
                  <c:v>34074</c:v>
                </c:pt>
                <c:pt idx="5">
                  <c:v>39074</c:v>
                </c:pt>
                <c:pt idx="6">
                  <c:v>39354</c:v>
                </c:pt>
                <c:pt idx="7">
                  <c:v>40033</c:v>
                </c:pt>
                <c:pt idx="8">
                  <c:v>33564</c:v>
                </c:pt>
                <c:pt idx="9">
                  <c:v>36277</c:v>
                </c:pt>
                <c:pt idx="10">
                  <c:v>33702</c:v>
                </c:pt>
                <c:pt idx="11">
                  <c:v>32680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297D-4F0F-9730-13755EACA2D2}"/>
            </c:ext>
          </c:extLst>
        </c:ser>
        <c:ser>
          <c:idx val="2"/>
          <c:order val="2"/>
          <c:tx>
            <c:strRef>
              <c:f>'3. 기초 분석 자료'!$B$86</c:f>
              <c:strCache>
                <c:ptCount val="1"/>
                <c:pt idx="0">
                  <c:v> C국가 판매량 </c:v>
                </c:pt>
              </c:strCache>
            </c:strRef>
          </c:tx>
          <c:spPr>
            <a:solidFill>
              <a:schemeClr val="accent6">
                <a:lumMod val="50000"/>
              </a:schemeClr>
            </a:solidFill>
          </c:spPr>
          <c:invertIfNegative val="0"/>
          <c:cat>
            <c:multiLvlStrRef>
              <c:f>'3. 기초 분석 자료'!$C$82:$V$83</c:f>
              <c:multiLvlStrCache>
                <c:ptCount val="20"/>
                <c:lvl>
                  <c:pt idx="0">
                    <c:v>1Q</c:v>
                  </c:pt>
                  <c:pt idx="1">
                    <c:v>2Q</c:v>
                  </c:pt>
                  <c:pt idx="2">
                    <c:v>3Q</c:v>
                  </c:pt>
                  <c:pt idx="3">
                    <c:v>4Q</c:v>
                  </c:pt>
                  <c:pt idx="4">
                    <c:v>1Q</c:v>
                  </c:pt>
                  <c:pt idx="5">
                    <c:v>2Q</c:v>
                  </c:pt>
                  <c:pt idx="6">
                    <c:v>3Q</c:v>
                  </c:pt>
                  <c:pt idx="7">
                    <c:v>4Q</c:v>
                  </c:pt>
                  <c:pt idx="8">
                    <c:v>1Q</c:v>
                  </c:pt>
                  <c:pt idx="9">
                    <c:v>2Q</c:v>
                  </c:pt>
                  <c:pt idx="10">
                    <c:v>3Q</c:v>
                  </c:pt>
                  <c:pt idx="11">
                    <c:v>4Q</c:v>
                  </c:pt>
                  <c:pt idx="12">
                    <c:v>1Q</c:v>
                  </c:pt>
                  <c:pt idx="13">
                    <c:v>2Q</c:v>
                  </c:pt>
                  <c:pt idx="14">
                    <c:v>3Q</c:v>
                  </c:pt>
                  <c:pt idx="15">
                    <c:v>4Q</c:v>
                  </c:pt>
                  <c:pt idx="16">
                    <c:v>1Q</c:v>
                  </c:pt>
                  <c:pt idx="17">
                    <c:v>2Q</c:v>
                  </c:pt>
                  <c:pt idx="18">
                    <c:v>3Q</c:v>
                  </c:pt>
                  <c:pt idx="19">
                    <c:v>4Q</c:v>
                  </c:pt>
                </c:lvl>
                <c:lvl>
                  <c:pt idx="0">
                    <c:v>1차년도</c:v>
                  </c:pt>
                  <c:pt idx="4">
                    <c:v>2차년도</c:v>
                  </c:pt>
                  <c:pt idx="8">
                    <c:v>3차년도</c:v>
                  </c:pt>
                  <c:pt idx="12">
                    <c:v>4차년도</c:v>
                  </c:pt>
                  <c:pt idx="16">
                    <c:v>5차년도</c:v>
                  </c:pt>
                </c:lvl>
              </c:multiLvlStrCache>
            </c:multiLvlStrRef>
          </c:cat>
          <c:val>
            <c:numRef>
              <c:f>'3. 기초 분석 자료'!$C$86:$V$86</c:f>
              <c:numCache>
                <c:formatCode>_(* #,##0_);_(* \(#,##0\);_(* "-"_);_(@_)</c:formatCode>
                <c:ptCount val="20"/>
                <c:pt idx="0">
                  <c:v>5497</c:v>
                </c:pt>
                <c:pt idx="1">
                  <c:v>13894</c:v>
                </c:pt>
                <c:pt idx="2">
                  <c:v>10568</c:v>
                </c:pt>
                <c:pt idx="3">
                  <c:v>13227</c:v>
                </c:pt>
                <c:pt idx="4">
                  <c:v>4700</c:v>
                </c:pt>
                <c:pt idx="5">
                  <c:v>15478</c:v>
                </c:pt>
                <c:pt idx="6">
                  <c:v>15275</c:v>
                </c:pt>
                <c:pt idx="7">
                  <c:v>21414</c:v>
                </c:pt>
                <c:pt idx="8">
                  <c:v>17504</c:v>
                </c:pt>
                <c:pt idx="9">
                  <c:v>28354</c:v>
                </c:pt>
                <c:pt idx="10">
                  <c:v>28320</c:v>
                </c:pt>
                <c:pt idx="11">
                  <c:v>30500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297D-4F0F-9730-13755EACA2D2}"/>
            </c:ext>
          </c:extLst>
        </c:ser>
        <c:dLbls>
          <c:showLegendKey val="0"/>
          <c:showVal val="0"/>
          <c:showCatName val="0"/>
          <c:showSerName val="0"/>
          <c:showPercent val="0"/>
          <c:showBubbleSize val="0"/>
        </c:dLbls>
        <c:gapWidth val="150"/>
        <c:overlap val="-39"/>
        <c:axId val="2138829024"/>
        <c:axId val="1"/>
      </c:barChart>
      <c:lineChart>
        <c:grouping val="stacked"/>
        <c:varyColors val="0"/>
        <c:ser>
          <c:idx val="3"/>
          <c:order val="3"/>
          <c:tx>
            <c:strRef>
              <c:f>'3. 기초 분석 자료'!$B$87</c:f>
              <c:strCache>
                <c:ptCount val="1"/>
                <c:pt idx="0">
                  <c:v> 총 판매량 </c:v>
                </c:pt>
              </c:strCache>
            </c:strRef>
          </c:tx>
          <c:marker>
            <c:symbol val="diamond"/>
            <c:size val="12"/>
          </c:marker>
          <c:dLbls>
            <c:spPr>
              <a:solidFill>
                <a:schemeClr val="bg1"/>
              </a:solidFill>
            </c:spPr>
            <c:txPr>
              <a:bodyPr/>
              <a:lstStyle/>
              <a:p>
                <a:pPr>
                  <a:defRPr b="1"/>
                </a:pPr>
                <a:endParaRPr lang="ko-K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'3. 기초 분석 자료'!$C$82:$V$83</c:f>
              <c:multiLvlStrCache>
                <c:ptCount val="20"/>
                <c:lvl>
                  <c:pt idx="0">
                    <c:v>1Q</c:v>
                  </c:pt>
                  <c:pt idx="1">
                    <c:v>2Q</c:v>
                  </c:pt>
                  <c:pt idx="2">
                    <c:v>3Q</c:v>
                  </c:pt>
                  <c:pt idx="3">
                    <c:v>4Q</c:v>
                  </c:pt>
                  <c:pt idx="4">
                    <c:v>1Q</c:v>
                  </c:pt>
                  <c:pt idx="5">
                    <c:v>2Q</c:v>
                  </c:pt>
                  <c:pt idx="6">
                    <c:v>3Q</c:v>
                  </c:pt>
                  <c:pt idx="7">
                    <c:v>4Q</c:v>
                  </c:pt>
                  <c:pt idx="8">
                    <c:v>1Q</c:v>
                  </c:pt>
                  <c:pt idx="9">
                    <c:v>2Q</c:v>
                  </c:pt>
                  <c:pt idx="10">
                    <c:v>3Q</c:v>
                  </c:pt>
                  <c:pt idx="11">
                    <c:v>4Q</c:v>
                  </c:pt>
                  <c:pt idx="12">
                    <c:v>1Q</c:v>
                  </c:pt>
                  <c:pt idx="13">
                    <c:v>2Q</c:v>
                  </c:pt>
                  <c:pt idx="14">
                    <c:v>3Q</c:v>
                  </c:pt>
                  <c:pt idx="15">
                    <c:v>4Q</c:v>
                  </c:pt>
                  <c:pt idx="16">
                    <c:v>1Q</c:v>
                  </c:pt>
                  <c:pt idx="17">
                    <c:v>2Q</c:v>
                  </c:pt>
                  <c:pt idx="18">
                    <c:v>3Q</c:v>
                  </c:pt>
                  <c:pt idx="19">
                    <c:v>4Q</c:v>
                  </c:pt>
                </c:lvl>
                <c:lvl>
                  <c:pt idx="0">
                    <c:v>1차년도</c:v>
                  </c:pt>
                  <c:pt idx="4">
                    <c:v>2차년도</c:v>
                  </c:pt>
                  <c:pt idx="8">
                    <c:v>3차년도</c:v>
                  </c:pt>
                  <c:pt idx="12">
                    <c:v>4차년도</c:v>
                  </c:pt>
                  <c:pt idx="16">
                    <c:v>5차년도</c:v>
                  </c:pt>
                </c:lvl>
              </c:multiLvlStrCache>
            </c:multiLvlStrRef>
          </c:cat>
          <c:val>
            <c:numRef>
              <c:f>'3. 기초 분석 자료'!$C$87:$V$87</c:f>
              <c:numCache>
                <c:formatCode>_(* #,##0_);_(* \(#,##0\);_(* "-"_);_(@_)</c:formatCode>
                <c:ptCount val="20"/>
                <c:pt idx="0">
                  <c:v>68199</c:v>
                </c:pt>
                <c:pt idx="1">
                  <c:v>95730</c:v>
                </c:pt>
                <c:pt idx="2">
                  <c:v>91402</c:v>
                </c:pt>
                <c:pt idx="3">
                  <c:v>106175</c:v>
                </c:pt>
                <c:pt idx="4">
                  <c:v>77733</c:v>
                </c:pt>
                <c:pt idx="5">
                  <c:v>114003</c:v>
                </c:pt>
                <c:pt idx="6">
                  <c:v>108375</c:v>
                </c:pt>
                <c:pt idx="7">
                  <c:v>134714</c:v>
                </c:pt>
                <c:pt idx="8">
                  <c:v>116620</c:v>
                </c:pt>
                <c:pt idx="9">
                  <c:v>144863</c:v>
                </c:pt>
                <c:pt idx="10">
                  <c:v>132003</c:v>
                </c:pt>
                <c:pt idx="11">
                  <c:v>129860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3-297D-4F0F-9730-13755EACA2D2}"/>
            </c:ext>
          </c:extLst>
        </c:ser>
        <c:dLbls>
          <c:showLegendKey val="0"/>
          <c:showVal val="0"/>
          <c:showCatName val="0"/>
          <c:showSerName val="0"/>
          <c:showPercent val="0"/>
          <c:showBubbleSize val="0"/>
        </c:dLbls>
        <c:marker val="1"/>
        <c:smooth val="0"/>
        <c:axId val="2138829024"/>
        <c:axId val="1"/>
      </c:lineChart>
      <c:catAx>
        <c:axId val="2138829024"/>
        <c:scaling>
          <c:orientation val="minMax"/>
        </c:scaling>
        <c:delete val="0"/>
        <c:axPos val="b"/>
        <c:numFmt formatCode="General" sourceLinked="1"/>
        <c:majorTickMark val="out"/>
        <c:minorTickMark val="none"/>
        <c:tickLblPos val="nextTo"/>
        <c:crossAx val="1"/>
        <c:crosses val="autoZero"/>
        <c:auto val="1"/>
        <c:lblAlgn val="ctr"/>
        <c:lblOffset val="100"/>
        <c:noMultiLvlLbl val="0"/>
      </c:catAx>
      <c:valAx>
        <c:axId val="1"/>
        <c:scaling>
          <c:orientation val="minMax"/>
        </c:scaling>
        <c:delete val="0"/>
        <c:axPos val="l"/>
        <c:majorGridlines/>
        <c:numFmt formatCode="_(* #,##0_);_(* \(#,##0\);_(* &quot;-&quot;_);_(@_)" sourceLinked="1"/>
        <c:majorTickMark val="out"/>
        <c:minorTickMark val="none"/>
        <c:tickLblPos val="nextTo"/>
        <c:crossAx val="2138829024"/>
        <c:crosses val="autoZero"/>
        <c:crossBetween val="between"/>
      </c:valAx>
    </c:plotArea>
    <c:legend>
      <c:legendPos val="r"/>
      <c:layout>
        <c:manualLayout>
          <c:xMode val="edge"/>
          <c:yMode val="edge"/>
          <c:x val="0.3980663072390544"/>
          <c:y val="0.93009899813374552"/>
          <c:w val="0.19966769077240559"/>
          <c:h val="5.594580439902228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맑은 고딕"/>
                <a:ea typeface="맑은 고딕"/>
                <a:cs typeface="맑은 고딕"/>
              </a:defRPr>
            </a:pPr>
            <a:r>
              <a:rPr lang="en-US" sz="1600" b="1" i="0" u="none" strike="noStrike" baseline="0">
                <a:solidFill>
                  <a:srgbClr val="000000"/>
                </a:solidFill>
                <a:latin typeface="맑은 고딕"/>
                <a:ea typeface="맑은 고딕"/>
              </a:rPr>
              <a:t>연구개발비와 제품모델 번호</a:t>
            </a:r>
          </a:p>
        </c:rich>
      </c:tx>
      <c:overlay val="0"/>
    </c:title>
    <c:autoTitleDeleted val="0"/>
    <c:plotArea>
      <c:layout/>
      <c:barChart>
        <c:barDir val="col"/>
        <c:grouping val="clustered"/>
        <c:varyColors val="0"/>
        <c:ser>
          <c:idx val="1"/>
          <c:order val="1"/>
          <c:tx>
            <c:strRef>
              <c:f>'3. 기초 분석 자료'!$B$108</c:f>
              <c:strCache>
                <c:ptCount val="1"/>
                <c:pt idx="0">
                  <c:v>1. 선행기술R&amp;D투자비</c:v>
                </c:pt>
              </c:strCache>
            </c:strRef>
          </c:tx>
          <c:spPr>
            <a:solidFill>
              <a:schemeClr val="accent5">
                <a:lumMod val="75000"/>
              </a:schemeClr>
            </a:solidFill>
          </c:spPr>
          <c:invertIfNegative val="0"/>
          <c:cat>
            <c:multiLvlStrRef>
              <c:f>'3. 기초 분석 자료'!$C$106:$V$107</c:f>
              <c:multiLvlStrCache>
                <c:ptCount val="20"/>
                <c:lvl>
                  <c:pt idx="0">
                    <c:v>1Q</c:v>
                  </c:pt>
                  <c:pt idx="1">
                    <c:v>2Q</c:v>
                  </c:pt>
                  <c:pt idx="2">
                    <c:v>3Q</c:v>
                  </c:pt>
                  <c:pt idx="3">
                    <c:v>4Q</c:v>
                  </c:pt>
                  <c:pt idx="4">
                    <c:v>1Q</c:v>
                  </c:pt>
                  <c:pt idx="5">
                    <c:v>2Q</c:v>
                  </c:pt>
                  <c:pt idx="6">
                    <c:v>3Q</c:v>
                  </c:pt>
                  <c:pt idx="7">
                    <c:v>4Q</c:v>
                  </c:pt>
                  <c:pt idx="8">
                    <c:v>1Q</c:v>
                  </c:pt>
                  <c:pt idx="9">
                    <c:v>2Q</c:v>
                  </c:pt>
                  <c:pt idx="10">
                    <c:v>3Q</c:v>
                  </c:pt>
                  <c:pt idx="11">
                    <c:v>4Q</c:v>
                  </c:pt>
                  <c:pt idx="12">
                    <c:v>1Q</c:v>
                  </c:pt>
                  <c:pt idx="13">
                    <c:v>2Q</c:v>
                  </c:pt>
                  <c:pt idx="14">
                    <c:v>3Q</c:v>
                  </c:pt>
                  <c:pt idx="15">
                    <c:v>4Q</c:v>
                  </c:pt>
                  <c:pt idx="16">
                    <c:v>1Q</c:v>
                  </c:pt>
                  <c:pt idx="17">
                    <c:v>2Q</c:v>
                  </c:pt>
                  <c:pt idx="18">
                    <c:v>3Q</c:v>
                  </c:pt>
                  <c:pt idx="19">
                    <c:v>4Q</c:v>
                  </c:pt>
                </c:lvl>
                <c:lvl>
                  <c:pt idx="0">
                    <c:v>1차년도</c:v>
                  </c:pt>
                  <c:pt idx="4">
                    <c:v>2차년도</c:v>
                  </c:pt>
                  <c:pt idx="8">
                    <c:v>3차년도</c:v>
                  </c:pt>
                  <c:pt idx="12">
                    <c:v>4차년도</c:v>
                  </c:pt>
                  <c:pt idx="16">
                    <c:v>5차년도</c:v>
                  </c:pt>
                </c:lvl>
              </c:multiLvlStrCache>
            </c:multiLvlStrRef>
          </c:cat>
          <c:val>
            <c:numRef>
              <c:f>'3. 기초 분석 자료'!$C$108:$V$108</c:f>
              <c:numCache>
                <c:formatCode>_(* #,##0_);_(* \(#,##0\);_(* "-"_);_(@_)</c:formatCode>
                <c:ptCount val="20"/>
                <c:pt idx="0">
                  <c:v>1120000000</c:v>
                </c:pt>
                <c:pt idx="1">
                  <c:v>1400000000.0000002</c:v>
                </c:pt>
                <c:pt idx="2">
                  <c:v>1120000000</c:v>
                </c:pt>
                <c:pt idx="3">
                  <c:v>1400000000.0000002</c:v>
                </c:pt>
                <c:pt idx="4">
                  <c:v>1120000000</c:v>
                </c:pt>
                <c:pt idx="5">
                  <c:v>1400000000.0000002</c:v>
                </c:pt>
                <c:pt idx="6">
                  <c:v>1120000000</c:v>
                </c:pt>
                <c:pt idx="7">
                  <c:v>1400000000.0000002</c:v>
                </c:pt>
                <c:pt idx="8">
                  <c:v>1120000000</c:v>
                </c:pt>
                <c:pt idx="9">
                  <c:v>1400000000.0000002</c:v>
                </c:pt>
                <c:pt idx="10">
                  <c:v>1120000000</c:v>
                </c:pt>
                <c:pt idx="11">
                  <c:v>1400000000.0000002</c:v>
                </c:pt>
                <c:pt idx="12">
                  <c:v>1120000000</c:v>
                </c:pt>
                <c:pt idx="13">
                  <c:v>1400000000.0000002</c:v>
                </c:pt>
                <c:pt idx="14">
                  <c:v>1120000000</c:v>
                </c:pt>
                <c:pt idx="15">
                  <c:v>1400000000.0000002</c:v>
                </c:pt>
                <c:pt idx="16">
                  <c:v>1120000000</c:v>
                </c:pt>
                <c:pt idx="17">
                  <c:v>1400000000.0000002</c:v>
                </c:pt>
                <c:pt idx="18">
                  <c:v>1120000000</c:v>
                </c:pt>
                <c:pt idx="19">
                  <c:v>1400000000.0000002</c:v>
                </c:pt>
              </c:numCache>
            </c:numRef>
          </c:val>
          <c:extLst>
            <c:ext xmlns:c16="http://schemas.microsoft.com/office/drawing/2014/chart" uri="{C3380CC4-5D6E-409C-BE32-E72D297353CC}">
              <c16:uniqueId val="{00000000-7775-48D9-8B55-EAB869939E56}"/>
            </c:ext>
          </c:extLst>
        </c:ser>
        <c:dLbls>
          <c:showLegendKey val="0"/>
          <c:showVal val="0"/>
          <c:showCatName val="0"/>
          <c:showSerName val="0"/>
          <c:showPercent val="0"/>
          <c:showBubbleSize val="0"/>
        </c:dLbls>
        <c:gapWidth val="150"/>
        <c:axId val="2138824624"/>
        <c:axId val="1"/>
      </c:barChart>
      <c:lineChart>
        <c:grouping val="standard"/>
        <c:varyColors val="0"/>
        <c:ser>
          <c:idx val="0"/>
          <c:order val="0"/>
          <c:tx>
            <c:v>판매 모델번호</c:v>
          </c:tx>
          <c:spPr>
            <a:ln>
              <a:solidFill>
                <a:srgbClr val="FF0000"/>
              </a:solidFill>
            </a:ln>
          </c:spPr>
          <c:marker>
            <c:symbol val="diamond"/>
            <c:size val="7"/>
            <c:spPr>
              <a:solidFill>
                <a:srgbClr val="FF0000"/>
              </a:solidFill>
            </c:spPr>
          </c:marker>
          <c:dLbls>
            <c:dLbl>
              <c:idx val="1"/>
              <c:delete val="1"/>
              <c:extLst>
                <c:ext xmlns:c15="http://schemas.microsoft.com/office/drawing/2012/chart" uri="{CE6537A1-D6FC-4f65-9D91-7224C49458BB}"/>
                <c:ext xmlns:c16="http://schemas.microsoft.com/office/drawing/2014/chart" uri="{C3380CC4-5D6E-409C-BE32-E72D297353CC}">
                  <c16:uniqueId val="{00000001-7775-48D9-8B55-EAB869939E56}"/>
                </c:ext>
              </c:extLst>
            </c:dLbl>
            <c:dLbl>
              <c:idx val="2"/>
              <c:delete val="1"/>
              <c:extLst>
                <c:ext xmlns:c15="http://schemas.microsoft.com/office/drawing/2012/chart" uri="{CE6537A1-D6FC-4f65-9D91-7224C49458BB}"/>
                <c:ext xmlns:c16="http://schemas.microsoft.com/office/drawing/2014/chart" uri="{C3380CC4-5D6E-409C-BE32-E72D297353CC}">
                  <c16:uniqueId val="{00000002-7775-48D9-8B55-EAB869939E56}"/>
                </c:ext>
              </c:extLst>
            </c:dLbl>
            <c:dLbl>
              <c:idx val="3"/>
              <c:delete val="1"/>
              <c:extLst>
                <c:ext xmlns:c15="http://schemas.microsoft.com/office/drawing/2012/chart" uri="{CE6537A1-D6FC-4f65-9D91-7224C49458BB}"/>
                <c:ext xmlns:c16="http://schemas.microsoft.com/office/drawing/2014/chart" uri="{C3380CC4-5D6E-409C-BE32-E72D297353CC}">
                  <c16:uniqueId val="{00000003-7775-48D9-8B55-EAB869939E56}"/>
                </c:ext>
              </c:extLst>
            </c:dLbl>
            <c:dLbl>
              <c:idx val="5"/>
              <c:delete val="1"/>
              <c:extLst>
                <c:ext xmlns:c15="http://schemas.microsoft.com/office/drawing/2012/chart" uri="{CE6537A1-D6FC-4f65-9D91-7224C49458BB}"/>
                <c:ext xmlns:c16="http://schemas.microsoft.com/office/drawing/2014/chart" uri="{C3380CC4-5D6E-409C-BE32-E72D297353CC}">
                  <c16:uniqueId val="{00000004-7775-48D9-8B55-EAB869939E56}"/>
                </c:ext>
              </c:extLst>
            </c:dLbl>
            <c:dLbl>
              <c:idx val="6"/>
              <c:delete val="1"/>
              <c:extLst>
                <c:ext xmlns:c15="http://schemas.microsoft.com/office/drawing/2012/chart" uri="{CE6537A1-D6FC-4f65-9D91-7224C49458BB}"/>
                <c:ext xmlns:c16="http://schemas.microsoft.com/office/drawing/2014/chart" uri="{C3380CC4-5D6E-409C-BE32-E72D297353CC}">
                  <c16:uniqueId val="{00000005-7775-48D9-8B55-EAB869939E56}"/>
                </c:ext>
              </c:extLst>
            </c:dLbl>
            <c:dLbl>
              <c:idx val="7"/>
              <c:delete val="1"/>
              <c:extLst>
                <c:ext xmlns:c15="http://schemas.microsoft.com/office/drawing/2012/chart" uri="{CE6537A1-D6FC-4f65-9D91-7224C49458BB}"/>
                <c:ext xmlns:c16="http://schemas.microsoft.com/office/drawing/2014/chart" uri="{C3380CC4-5D6E-409C-BE32-E72D297353CC}">
                  <c16:uniqueId val="{00000006-7775-48D9-8B55-EAB869939E56}"/>
                </c:ext>
              </c:extLst>
            </c:dLbl>
            <c:dLbl>
              <c:idx val="9"/>
              <c:delete val="1"/>
              <c:extLst>
                <c:ext xmlns:c15="http://schemas.microsoft.com/office/drawing/2012/chart" uri="{CE6537A1-D6FC-4f65-9D91-7224C49458BB}"/>
                <c:ext xmlns:c16="http://schemas.microsoft.com/office/drawing/2014/chart" uri="{C3380CC4-5D6E-409C-BE32-E72D297353CC}">
                  <c16:uniqueId val="{00000007-7775-48D9-8B55-EAB869939E56}"/>
                </c:ext>
              </c:extLst>
            </c:dLbl>
            <c:dLbl>
              <c:idx val="10"/>
              <c:delete val="1"/>
              <c:extLst>
                <c:ext xmlns:c15="http://schemas.microsoft.com/office/drawing/2012/chart" uri="{CE6537A1-D6FC-4f65-9D91-7224C49458BB}"/>
                <c:ext xmlns:c16="http://schemas.microsoft.com/office/drawing/2014/chart" uri="{C3380CC4-5D6E-409C-BE32-E72D297353CC}">
                  <c16:uniqueId val="{00000008-7775-48D9-8B55-EAB869939E56}"/>
                </c:ext>
              </c:extLst>
            </c:dLbl>
            <c:spPr>
              <a:solidFill>
                <a:schemeClr val="bg1"/>
              </a:solidFill>
            </c:spPr>
            <c:txPr>
              <a:bodyPr/>
              <a:lstStyle/>
              <a:p>
                <a:pPr>
                  <a:defRPr sz="1050" b="1"/>
                </a:pPr>
                <a:endParaRPr lang="ko-K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'3. 기초 분석 자료'!$C$106:$V$107</c:f>
              <c:multiLvlStrCache>
                <c:ptCount val="20"/>
                <c:lvl>
                  <c:pt idx="0">
                    <c:v>1Q</c:v>
                  </c:pt>
                  <c:pt idx="1">
                    <c:v>2Q</c:v>
                  </c:pt>
                  <c:pt idx="2">
                    <c:v>3Q</c:v>
                  </c:pt>
                  <c:pt idx="3">
                    <c:v>4Q</c:v>
                  </c:pt>
                  <c:pt idx="4">
                    <c:v>1Q</c:v>
                  </c:pt>
                  <c:pt idx="5">
                    <c:v>2Q</c:v>
                  </c:pt>
                  <c:pt idx="6">
                    <c:v>3Q</c:v>
                  </c:pt>
                  <c:pt idx="7">
                    <c:v>4Q</c:v>
                  </c:pt>
                  <c:pt idx="8">
                    <c:v>1Q</c:v>
                  </c:pt>
                  <c:pt idx="9">
                    <c:v>2Q</c:v>
                  </c:pt>
                  <c:pt idx="10">
                    <c:v>3Q</c:v>
                  </c:pt>
                  <c:pt idx="11">
                    <c:v>4Q</c:v>
                  </c:pt>
                  <c:pt idx="12">
                    <c:v>1Q</c:v>
                  </c:pt>
                  <c:pt idx="13">
                    <c:v>2Q</c:v>
                  </c:pt>
                  <c:pt idx="14">
                    <c:v>3Q</c:v>
                  </c:pt>
                  <c:pt idx="15">
                    <c:v>4Q</c:v>
                  </c:pt>
                  <c:pt idx="16">
                    <c:v>1Q</c:v>
                  </c:pt>
                  <c:pt idx="17">
                    <c:v>2Q</c:v>
                  </c:pt>
                  <c:pt idx="18">
                    <c:v>3Q</c:v>
                  </c:pt>
                  <c:pt idx="19">
                    <c:v>4Q</c:v>
                  </c:pt>
                </c:lvl>
                <c:lvl>
                  <c:pt idx="0">
                    <c:v>1차년도</c:v>
                  </c:pt>
                  <c:pt idx="4">
                    <c:v>2차년도</c:v>
                  </c:pt>
                  <c:pt idx="8">
                    <c:v>3차년도</c:v>
                  </c:pt>
                  <c:pt idx="12">
                    <c:v>4차년도</c:v>
                  </c:pt>
                  <c:pt idx="16">
                    <c:v>5차년도</c:v>
                  </c:pt>
                </c:lvl>
              </c:multiLvlStrCache>
            </c:multiLvlStrRef>
          </c:cat>
          <c:val>
            <c:numRef>
              <c:f>'3. 기초 분석 자료'!$C$109:$V$109</c:f>
              <c:numCache>
                <c:formatCode>_(* #,##0_);_(* \(#,##0\);_(* "-"_);_(@_)</c:formatCode>
                <c:ptCount val="20"/>
                <c:pt idx="0">
                  <c:v>1</c:v>
                </c:pt>
                <c:pt idx="1">
                  <c:v>1</c:v>
                </c:pt>
                <c:pt idx="2">
                  <c:v>1</c:v>
                </c:pt>
                <c:pt idx="3">
                  <c:v>1</c:v>
                </c:pt>
                <c:pt idx="4">
                  <c:v>2</c:v>
                </c:pt>
                <c:pt idx="5">
                  <c:v>2</c:v>
                </c:pt>
                <c:pt idx="6">
                  <c:v>2</c:v>
                </c:pt>
                <c:pt idx="7">
                  <c:v>2</c:v>
                </c:pt>
                <c:pt idx="8">
                  <c:v>3</c:v>
                </c:pt>
                <c:pt idx="9">
                  <c:v>3</c:v>
                </c:pt>
                <c:pt idx="10">
                  <c:v>4</c:v>
                </c:pt>
                <c:pt idx="11">
                  <c:v>4</c:v>
                </c:pt>
                <c:pt idx="12" formatCode="#,##0_ ">
                  <c:v>0</c:v>
                </c:pt>
                <c:pt idx="13" formatCode="#,##0_ ">
                  <c:v>0</c:v>
                </c:pt>
                <c:pt idx="14" formatCode="#,##0_ ">
                  <c:v>0</c:v>
                </c:pt>
                <c:pt idx="15" formatCode="#,##0_ ">
                  <c:v>0</c:v>
                </c:pt>
                <c:pt idx="16">
                  <c:v>0</c:v>
                </c:pt>
                <c:pt idx="17">
                  <c:v>0</c:v>
                </c:pt>
                <c:pt idx="18">
                  <c:v>0</c:v>
                </c:pt>
                <c:pt idx="19">
                  <c:v>0</c:v>
                </c:pt>
              </c:numCache>
            </c:numRef>
          </c:val>
          <c:smooth val="0"/>
          <c:extLst>
            <c:ext xmlns:c16="http://schemas.microsoft.com/office/drawing/2014/chart" uri="{C3380CC4-5D6E-409C-BE32-E72D297353CC}">
              <c16:uniqueId val="{00000009-7775-48D9-8B55-EAB869939E56}"/>
            </c:ext>
          </c:extLst>
        </c:ser>
        <c:dLbls>
          <c:showLegendKey val="0"/>
          <c:showVal val="0"/>
          <c:showCatName val="0"/>
          <c:showSerName val="0"/>
          <c:showPercent val="0"/>
          <c:showBubbleSize val="0"/>
        </c:dLbls>
        <c:marker val="1"/>
        <c:smooth val="0"/>
        <c:axId val="3"/>
        <c:axId val="4"/>
      </c:lineChart>
      <c:catAx>
        <c:axId val="2138824624"/>
        <c:scaling>
          <c:orientation val="minMax"/>
        </c:scaling>
        <c:delete val="0"/>
        <c:axPos val="b"/>
        <c:numFmt formatCode="General" sourceLinked="1"/>
        <c:majorTickMark val="out"/>
        <c:minorTickMark val="none"/>
        <c:tickLblPos val="nextTo"/>
        <c:crossAx val="1"/>
        <c:crosses val="autoZero"/>
        <c:auto val="1"/>
        <c:lblAlgn val="ctr"/>
        <c:lblOffset val="100"/>
        <c:noMultiLvlLbl val="0"/>
      </c:catAx>
      <c:valAx>
        <c:axId val="1"/>
        <c:scaling>
          <c:orientation val="minMax"/>
        </c:scaling>
        <c:delete val="0"/>
        <c:axPos val="l"/>
        <c:majorGridlines/>
        <c:title>
          <c:tx>
            <c:rich>
              <a:bodyPr rot="0" vert="wordArtVertRtl"/>
              <a:lstStyle/>
              <a:p>
                <a:pPr>
                  <a:defRPr/>
                </a:pPr>
                <a:r>
                  <a:rPr lang="ko-KR" altLang="en-US"/>
                  <a:t>연구개발비</a:t>
                </a:r>
              </a:p>
            </c:rich>
          </c:tx>
          <c:overlay val="0"/>
          <c:spPr>
            <a:solidFill>
              <a:schemeClr val="accent5">
                <a:lumMod val="20000"/>
                <a:lumOff val="80000"/>
              </a:schemeClr>
            </a:solidFill>
          </c:spPr>
        </c:title>
        <c:numFmt formatCode="_(* #,##0_);_(* \(#,##0\);_(* &quot;-&quot;_);_(@_)" sourceLinked="1"/>
        <c:majorTickMark val="out"/>
        <c:minorTickMark val="none"/>
        <c:tickLblPos val="nextTo"/>
        <c:crossAx val="2138824624"/>
        <c:crosses val="autoZero"/>
        <c:crossBetween val="between"/>
      </c:valAx>
      <c:catAx>
        <c:axId val="3"/>
        <c:scaling>
          <c:orientation val="minMax"/>
        </c:scaling>
        <c:delete val="1"/>
        <c:axPos val="b"/>
        <c:numFmt formatCode="General" sourceLinked="1"/>
        <c:majorTickMark val="out"/>
        <c:minorTickMark val="none"/>
        <c:tickLblPos val="nextTo"/>
        <c:crossAx val="4"/>
        <c:crosses val="autoZero"/>
        <c:auto val="1"/>
        <c:lblAlgn val="ctr"/>
        <c:lblOffset val="100"/>
        <c:noMultiLvlLbl val="0"/>
      </c:catAx>
      <c:valAx>
        <c:axId val="4"/>
        <c:scaling>
          <c:orientation val="minMax"/>
        </c:scaling>
        <c:delete val="0"/>
        <c:axPos val="r"/>
        <c:title>
          <c:tx>
            <c:rich>
              <a:bodyPr rot="0" vert="wordArtVert"/>
              <a:lstStyle/>
              <a:p>
                <a:pPr algn="ctr">
                  <a:defRPr sz="1000" b="0" i="0" u="none" strike="noStrike" baseline="0">
                    <a:solidFill>
                      <a:srgbClr val="000000"/>
                    </a:solidFill>
                    <a:latin typeface="맑은 고딕"/>
                    <a:ea typeface="맑은 고딕"/>
                    <a:cs typeface="맑은 고딕"/>
                  </a:defRPr>
                </a:pPr>
                <a:r>
                  <a:rPr lang="en-US" sz="1000" b="1" i="0" u="none" strike="noStrike" baseline="0">
                    <a:solidFill>
                      <a:srgbClr val="000000"/>
                    </a:solidFill>
                    <a:latin typeface="맑은 고딕"/>
                    <a:ea typeface="맑은 고딕"/>
                  </a:rPr>
                  <a:t>신제품 모델</a:t>
                </a:r>
              </a:p>
            </c:rich>
          </c:tx>
          <c:overlay val="0"/>
          <c:spPr>
            <a:solidFill>
              <a:schemeClr val="accent5">
                <a:lumMod val="20000"/>
                <a:lumOff val="80000"/>
              </a:schemeClr>
            </a:solidFill>
          </c:spPr>
        </c:title>
        <c:numFmt formatCode="_(* #,##0_);_(* \(#,##0\);_(* &quot;-&quot;_);_(@_)" sourceLinked="1"/>
        <c:majorTickMark val="out"/>
        <c:minorTickMark val="none"/>
        <c:tickLblPos val="nextTo"/>
        <c:crossAx val="3"/>
        <c:crosses val="max"/>
        <c:crossBetween val="between"/>
        <c:majorUnit val="1"/>
      </c:valAx>
    </c:plotArea>
    <c:legend>
      <c:legendPos val="r"/>
      <c:layout>
        <c:manualLayout>
          <c:xMode val="edge"/>
          <c:yMode val="edge"/>
          <c:x val="0.39412997817540207"/>
          <c:y val="0.91446685769848546"/>
          <c:w val="0.21513278126418534"/>
          <c:h val="6.4173112820946343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맑은 고딕"/>
                <a:ea typeface="맑은 고딕"/>
                <a:cs typeface="맑은 고딕"/>
              </a:defRPr>
            </a:pPr>
            <a:r>
              <a:rPr lang="en-US" sz="1600" b="1" i="0" u="none" strike="noStrike" baseline="0">
                <a:solidFill>
                  <a:srgbClr val="000000"/>
                </a:solidFill>
                <a:latin typeface="맑은 고딕"/>
                <a:ea typeface="맑은 고딕"/>
              </a:rPr>
              <a:t>판매 모델 변화와 영업본부별 판매량</a:t>
            </a:r>
          </a:p>
        </c:rich>
      </c:tx>
      <c:overlay val="0"/>
    </c:title>
    <c:autoTitleDeleted val="0"/>
    <c:plotArea>
      <c:layout/>
      <c:barChart>
        <c:barDir val="col"/>
        <c:grouping val="clustered"/>
        <c:varyColors val="0"/>
        <c:ser>
          <c:idx val="0"/>
          <c:order val="0"/>
          <c:tx>
            <c:strRef>
              <c:f>'3. 기초 분석 자료'!$B$110</c:f>
              <c:strCache>
                <c:ptCount val="1"/>
                <c:pt idx="0">
                  <c:v> 한국 판매량 </c:v>
                </c:pt>
              </c:strCache>
            </c:strRef>
          </c:tx>
          <c:invertIfNegative val="0"/>
          <c:cat>
            <c:multiLvlStrRef>
              <c:f>'3. 기초 분석 자료'!$C$106:$V$107</c:f>
              <c:multiLvlStrCache>
                <c:ptCount val="20"/>
                <c:lvl>
                  <c:pt idx="0">
                    <c:v>1Q</c:v>
                  </c:pt>
                  <c:pt idx="1">
                    <c:v>2Q</c:v>
                  </c:pt>
                  <c:pt idx="2">
                    <c:v>3Q</c:v>
                  </c:pt>
                  <c:pt idx="3">
                    <c:v>4Q</c:v>
                  </c:pt>
                  <c:pt idx="4">
                    <c:v>1Q</c:v>
                  </c:pt>
                  <c:pt idx="5">
                    <c:v>2Q</c:v>
                  </c:pt>
                  <c:pt idx="6">
                    <c:v>3Q</c:v>
                  </c:pt>
                  <c:pt idx="7">
                    <c:v>4Q</c:v>
                  </c:pt>
                  <c:pt idx="8">
                    <c:v>1Q</c:v>
                  </c:pt>
                  <c:pt idx="9">
                    <c:v>2Q</c:v>
                  </c:pt>
                  <c:pt idx="10">
                    <c:v>3Q</c:v>
                  </c:pt>
                  <c:pt idx="11">
                    <c:v>4Q</c:v>
                  </c:pt>
                  <c:pt idx="12">
                    <c:v>1Q</c:v>
                  </c:pt>
                  <c:pt idx="13">
                    <c:v>2Q</c:v>
                  </c:pt>
                  <c:pt idx="14">
                    <c:v>3Q</c:v>
                  </c:pt>
                  <c:pt idx="15">
                    <c:v>4Q</c:v>
                  </c:pt>
                  <c:pt idx="16">
                    <c:v>1Q</c:v>
                  </c:pt>
                  <c:pt idx="17">
                    <c:v>2Q</c:v>
                  </c:pt>
                  <c:pt idx="18">
                    <c:v>3Q</c:v>
                  </c:pt>
                  <c:pt idx="19">
                    <c:v>4Q</c:v>
                  </c:pt>
                </c:lvl>
                <c:lvl>
                  <c:pt idx="0">
                    <c:v>1차년도</c:v>
                  </c:pt>
                  <c:pt idx="4">
                    <c:v>2차년도</c:v>
                  </c:pt>
                  <c:pt idx="8">
                    <c:v>3차년도</c:v>
                  </c:pt>
                  <c:pt idx="12">
                    <c:v>4차년도</c:v>
                  </c:pt>
                  <c:pt idx="16">
                    <c:v>5차년도</c:v>
                  </c:pt>
                </c:lvl>
              </c:multiLvlStrCache>
            </c:multiLvlStrRef>
          </c:cat>
          <c:val>
            <c:numRef>
              <c:f>'3. 기초 분석 자료'!$C$110:$V$110</c:f>
              <c:numCache>
                <c:formatCode>_(* #,##0_);_(* \(#,##0\);_(* "-"_);_(@_)</c:formatCode>
                <c:ptCount val="20"/>
                <c:pt idx="0">
                  <c:v>38739</c:v>
                </c:pt>
                <c:pt idx="1">
                  <c:v>49455</c:v>
                </c:pt>
                <c:pt idx="2">
                  <c:v>46095</c:v>
                </c:pt>
                <c:pt idx="3">
                  <c:v>53923</c:v>
                </c:pt>
                <c:pt idx="4">
                  <c:v>38959</c:v>
                </c:pt>
                <c:pt idx="5">
                  <c:v>59451</c:v>
                </c:pt>
                <c:pt idx="6">
                  <c:v>53746</c:v>
                </c:pt>
                <c:pt idx="7">
                  <c:v>73267</c:v>
                </c:pt>
                <c:pt idx="8">
                  <c:v>65552</c:v>
                </c:pt>
                <c:pt idx="9">
                  <c:v>80232</c:v>
                </c:pt>
                <c:pt idx="10">
                  <c:v>69981</c:v>
                </c:pt>
                <c:pt idx="11">
                  <c:v>66680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2488-43D4-AA07-D8A8B28CBF05}"/>
            </c:ext>
          </c:extLst>
        </c:ser>
        <c:ser>
          <c:idx val="1"/>
          <c:order val="1"/>
          <c:tx>
            <c:strRef>
              <c:f>'3. 기초 분석 자료'!$B$111</c:f>
              <c:strCache>
                <c:ptCount val="1"/>
                <c:pt idx="0">
                  <c:v> U국가 판매량 </c:v>
                </c:pt>
              </c:strCache>
            </c:strRef>
          </c:tx>
          <c:spPr>
            <a:solidFill>
              <a:srgbClr val="FFC000"/>
            </a:solidFill>
          </c:spPr>
          <c:invertIfNegative val="0"/>
          <c:cat>
            <c:multiLvlStrRef>
              <c:f>'3. 기초 분석 자료'!$C$106:$V$107</c:f>
              <c:multiLvlStrCache>
                <c:ptCount val="20"/>
                <c:lvl>
                  <c:pt idx="0">
                    <c:v>1Q</c:v>
                  </c:pt>
                  <c:pt idx="1">
                    <c:v>2Q</c:v>
                  </c:pt>
                  <c:pt idx="2">
                    <c:v>3Q</c:v>
                  </c:pt>
                  <c:pt idx="3">
                    <c:v>4Q</c:v>
                  </c:pt>
                  <c:pt idx="4">
                    <c:v>1Q</c:v>
                  </c:pt>
                  <c:pt idx="5">
                    <c:v>2Q</c:v>
                  </c:pt>
                  <c:pt idx="6">
                    <c:v>3Q</c:v>
                  </c:pt>
                  <c:pt idx="7">
                    <c:v>4Q</c:v>
                  </c:pt>
                  <c:pt idx="8">
                    <c:v>1Q</c:v>
                  </c:pt>
                  <c:pt idx="9">
                    <c:v>2Q</c:v>
                  </c:pt>
                  <c:pt idx="10">
                    <c:v>3Q</c:v>
                  </c:pt>
                  <c:pt idx="11">
                    <c:v>4Q</c:v>
                  </c:pt>
                  <c:pt idx="12">
                    <c:v>1Q</c:v>
                  </c:pt>
                  <c:pt idx="13">
                    <c:v>2Q</c:v>
                  </c:pt>
                  <c:pt idx="14">
                    <c:v>3Q</c:v>
                  </c:pt>
                  <c:pt idx="15">
                    <c:v>4Q</c:v>
                  </c:pt>
                  <c:pt idx="16">
                    <c:v>1Q</c:v>
                  </c:pt>
                  <c:pt idx="17">
                    <c:v>2Q</c:v>
                  </c:pt>
                  <c:pt idx="18">
                    <c:v>3Q</c:v>
                  </c:pt>
                  <c:pt idx="19">
                    <c:v>4Q</c:v>
                  </c:pt>
                </c:lvl>
                <c:lvl>
                  <c:pt idx="0">
                    <c:v>1차년도</c:v>
                  </c:pt>
                  <c:pt idx="4">
                    <c:v>2차년도</c:v>
                  </c:pt>
                  <c:pt idx="8">
                    <c:v>3차년도</c:v>
                  </c:pt>
                  <c:pt idx="12">
                    <c:v>4차년도</c:v>
                  </c:pt>
                  <c:pt idx="16">
                    <c:v>5차년도</c:v>
                  </c:pt>
                </c:lvl>
              </c:multiLvlStrCache>
            </c:multiLvlStrRef>
          </c:cat>
          <c:val>
            <c:numRef>
              <c:f>'3. 기초 분석 자료'!$C$111:$V$111</c:f>
              <c:numCache>
                <c:formatCode>_(* #,##0_);_(* \(#,##0\);_(* "-"_);_(@_)</c:formatCode>
                <c:ptCount val="20"/>
                <c:pt idx="0">
                  <c:v>23963</c:v>
                </c:pt>
                <c:pt idx="1">
                  <c:v>32381</c:v>
                </c:pt>
                <c:pt idx="2">
                  <c:v>34739</c:v>
                </c:pt>
                <c:pt idx="3">
                  <c:v>39025</c:v>
                </c:pt>
                <c:pt idx="4">
                  <c:v>34074</c:v>
                </c:pt>
                <c:pt idx="5">
                  <c:v>39074</c:v>
                </c:pt>
                <c:pt idx="6">
                  <c:v>39354</c:v>
                </c:pt>
                <c:pt idx="7">
                  <c:v>40033</c:v>
                </c:pt>
                <c:pt idx="8">
                  <c:v>33564</c:v>
                </c:pt>
                <c:pt idx="9">
                  <c:v>36277</c:v>
                </c:pt>
                <c:pt idx="10">
                  <c:v>33702</c:v>
                </c:pt>
                <c:pt idx="11">
                  <c:v>32680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2488-43D4-AA07-D8A8B28CBF05}"/>
            </c:ext>
          </c:extLst>
        </c:ser>
        <c:ser>
          <c:idx val="2"/>
          <c:order val="2"/>
          <c:tx>
            <c:strRef>
              <c:f>'3. 기초 분석 자료'!$B$112</c:f>
              <c:strCache>
                <c:ptCount val="1"/>
                <c:pt idx="0">
                  <c:v> C국가 판매량 </c:v>
                </c:pt>
              </c:strCache>
            </c:strRef>
          </c:tx>
          <c:spPr>
            <a:solidFill>
              <a:schemeClr val="accent6">
                <a:lumMod val="50000"/>
              </a:schemeClr>
            </a:solidFill>
          </c:spPr>
          <c:invertIfNegative val="0"/>
          <c:cat>
            <c:multiLvlStrRef>
              <c:f>'3. 기초 분석 자료'!$C$106:$V$107</c:f>
              <c:multiLvlStrCache>
                <c:ptCount val="20"/>
                <c:lvl>
                  <c:pt idx="0">
                    <c:v>1Q</c:v>
                  </c:pt>
                  <c:pt idx="1">
                    <c:v>2Q</c:v>
                  </c:pt>
                  <c:pt idx="2">
                    <c:v>3Q</c:v>
                  </c:pt>
                  <c:pt idx="3">
                    <c:v>4Q</c:v>
                  </c:pt>
                  <c:pt idx="4">
                    <c:v>1Q</c:v>
                  </c:pt>
                  <c:pt idx="5">
                    <c:v>2Q</c:v>
                  </c:pt>
                  <c:pt idx="6">
                    <c:v>3Q</c:v>
                  </c:pt>
                  <c:pt idx="7">
                    <c:v>4Q</c:v>
                  </c:pt>
                  <c:pt idx="8">
                    <c:v>1Q</c:v>
                  </c:pt>
                  <c:pt idx="9">
                    <c:v>2Q</c:v>
                  </c:pt>
                  <c:pt idx="10">
                    <c:v>3Q</c:v>
                  </c:pt>
                  <c:pt idx="11">
                    <c:v>4Q</c:v>
                  </c:pt>
                  <c:pt idx="12">
                    <c:v>1Q</c:v>
                  </c:pt>
                  <c:pt idx="13">
                    <c:v>2Q</c:v>
                  </c:pt>
                  <c:pt idx="14">
                    <c:v>3Q</c:v>
                  </c:pt>
                  <c:pt idx="15">
                    <c:v>4Q</c:v>
                  </c:pt>
                  <c:pt idx="16">
                    <c:v>1Q</c:v>
                  </c:pt>
                  <c:pt idx="17">
                    <c:v>2Q</c:v>
                  </c:pt>
                  <c:pt idx="18">
                    <c:v>3Q</c:v>
                  </c:pt>
                  <c:pt idx="19">
                    <c:v>4Q</c:v>
                  </c:pt>
                </c:lvl>
                <c:lvl>
                  <c:pt idx="0">
                    <c:v>1차년도</c:v>
                  </c:pt>
                  <c:pt idx="4">
                    <c:v>2차년도</c:v>
                  </c:pt>
                  <c:pt idx="8">
                    <c:v>3차년도</c:v>
                  </c:pt>
                  <c:pt idx="12">
                    <c:v>4차년도</c:v>
                  </c:pt>
                  <c:pt idx="16">
                    <c:v>5차년도</c:v>
                  </c:pt>
                </c:lvl>
              </c:multiLvlStrCache>
            </c:multiLvlStrRef>
          </c:cat>
          <c:val>
            <c:numRef>
              <c:f>'3. 기초 분석 자료'!$C$112:$V$112</c:f>
              <c:numCache>
                <c:formatCode>_(* #,##0_);_(* \(#,##0\);_(* "-"_);_(@_)</c:formatCode>
                <c:ptCount val="20"/>
                <c:pt idx="0">
                  <c:v>5497</c:v>
                </c:pt>
                <c:pt idx="1">
                  <c:v>13894</c:v>
                </c:pt>
                <c:pt idx="2">
                  <c:v>10568</c:v>
                </c:pt>
                <c:pt idx="3">
                  <c:v>13227</c:v>
                </c:pt>
                <c:pt idx="4">
                  <c:v>4700</c:v>
                </c:pt>
                <c:pt idx="5">
                  <c:v>15478</c:v>
                </c:pt>
                <c:pt idx="6">
                  <c:v>15275</c:v>
                </c:pt>
                <c:pt idx="7">
                  <c:v>21414</c:v>
                </c:pt>
                <c:pt idx="8">
                  <c:v>17504</c:v>
                </c:pt>
                <c:pt idx="9">
                  <c:v>28354</c:v>
                </c:pt>
                <c:pt idx="10">
                  <c:v>28320</c:v>
                </c:pt>
                <c:pt idx="11">
                  <c:v>30500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2488-43D4-AA07-D8A8B28CBF05}"/>
            </c:ext>
          </c:extLst>
        </c:ser>
        <c:dLbls>
          <c:showLegendKey val="0"/>
          <c:showVal val="0"/>
          <c:showCatName val="0"/>
          <c:showSerName val="0"/>
          <c:showPercent val="0"/>
          <c:showBubbleSize val="0"/>
        </c:dLbls>
        <c:gapWidth val="150"/>
        <c:overlap val="-26"/>
        <c:axId val="2138834624"/>
        <c:axId val="1"/>
      </c:barChart>
      <c:lineChart>
        <c:grouping val="standard"/>
        <c:varyColors val="0"/>
        <c:ser>
          <c:idx val="3"/>
          <c:order val="3"/>
          <c:tx>
            <c:strRef>
              <c:f>'3. 기초 분석 자료'!$B$109</c:f>
              <c:strCache>
                <c:ptCount val="1"/>
                <c:pt idx="0">
                  <c:v>판매 모델번호</c:v>
                </c:pt>
              </c:strCache>
            </c:strRef>
          </c:tx>
          <c:spPr>
            <a:ln>
              <a:solidFill>
                <a:srgbClr val="FF0000"/>
              </a:solidFill>
            </a:ln>
          </c:spPr>
          <c:marker>
            <c:symbol val="diamond"/>
            <c:size val="8"/>
            <c:spPr>
              <a:solidFill>
                <a:srgbClr val="FF0000"/>
              </a:solidFill>
            </c:spPr>
          </c:marker>
          <c:dLbls>
            <c:spPr>
              <a:solidFill>
                <a:sysClr val="window" lastClr="FFFFFF"/>
              </a:solidFill>
            </c:sp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'3. 기초 분석 자료'!$C$109:$V$109</c:f>
              <c:numCache>
                <c:formatCode>_(* #,##0_);_(* \(#,##0\);_(* "-"_);_(@_)</c:formatCode>
                <c:ptCount val="20"/>
                <c:pt idx="0">
                  <c:v>1</c:v>
                </c:pt>
                <c:pt idx="1">
                  <c:v>1</c:v>
                </c:pt>
                <c:pt idx="2">
                  <c:v>1</c:v>
                </c:pt>
                <c:pt idx="3">
                  <c:v>1</c:v>
                </c:pt>
                <c:pt idx="4">
                  <c:v>2</c:v>
                </c:pt>
                <c:pt idx="5">
                  <c:v>2</c:v>
                </c:pt>
                <c:pt idx="6">
                  <c:v>2</c:v>
                </c:pt>
                <c:pt idx="7">
                  <c:v>2</c:v>
                </c:pt>
                <c:pt idx="8">
                  <c:v>3</c:v>
                </c:pt>
                <c:pt idx="9">
                  <c:v>3</c:v>
                </c:pt>
                <c:pt idx="10">
                  <c:v>4</c:v>
                </c:pt>
                <c:pt idx="11">
                  <c:v>4</c:v>
                </c:pt>
                <c:pt idx="12" formatCode="#,##0_ ">
                  <c:v>0</c:v>
                </c:pt>
                <c:pt idx="13" formatCode="#,##0_ ">
                  <c:v>0</c:v>
                </c:pt>
                <c:pt idx="14" formatCode="#,##0_ ">
                  <c:v>0</c:v>
                </c:pt>
                <c:pt idx="15" formatCode="#,##0_ ">
                  <c:v>0</c:v>
                </c:pt>
                <c:pt idx="16">
                  <c:v>0</c:v>
                </c:pt>
                <c:pt idx="17">
                  <c:v>0</c:v>
                </c:pt>
                <c:pt idx="18">
                  <c:v>0</c:v>
                </c:pt>
                <c:pt idx="19">
                  <c:v>0</c:v>
                </c:pt>
              </c:numCache>
            </c:numRef>
          </c:val>
          <c:smooth val="0"/>
          <c:extLst>
            <c:ext xmlns:c16="http://schemas.microsoft.com/office/drawing/2014/chart" uri="{C3380CC4-5D6E-409C-BE32-E72D297353CC}">
              <c16:uniqueId val="{00000003-2488-43D4-AA07-D8A8B28CBF05}"/>
            </c:ext>
          </c:extLst>
        </c:ser>
        <c:dLbls>
          <c:showLegendKey val="0"/>
          <c:showVal val="0"/>
          <c:showCatName val="0"/>
          <c:showSerName val="0"/>
          <c:showPercent val="0"/>
          <c:showBubbleSize val="0"/>
        </c:dLbls>
        <c:marker val="1"/>
        <c:smooth val="0"/>
        <c:axId val="3"/>
        <c:axId val="4"/>
      </c:lineChart>
      <c:catAx>
        <c:axId val="2138834624"/>
        <c:scaling>
          <c:orientation val="minMax"/>
        </c:scaling>
        <c:delete val="0"/>
        <c:axPos val="b"/>
        <c:numFmt formatCode="General" sourceLinked="1"/>
        <c:majorTickMark val="out"/>
        <c:minorTickMark val="none"/>
        <c:tickLblPos val="nextTo"/>
        <c:crossAx val="1"/>
        <c:crosses val="autoZero"/>
        <c:auto val="1"/>
        <c:lblAlgn val="ctr"/>
        <c:lblOffset val="100"/>
        <c:noMultiLvlLbl val="0"/>
      </c:catAx>
      <c:valAx>
        <c:axId val="1"/>
        <c:scaling>
          <c:orientation val="minMax"/>
        </c:scaling>
        <c:delete val="0"/>
        <c:axPos val="l"/>
        <c:majorGridlines/>
        <c:title>
          <c:tx>
            <c:rich>
              <a:bodyPr rot="0" vert="wordArtVert"/>
              <a:lstStyle/>
              <a:p>
                <a:pPr algn="ctr">
                  <a:defRPr sz="1100" b="0" i="0" u="none" strike="noStrike" baseline="0">
                    <a:solidFill>
                      <a:srgbClr val="000000"/>
                    </a:solidFill>
                    <a:latin typeface="맑은 고딕"/>
                    <a:ea typeface="맑은 고딕"/>
                    <a:cs typeface="맑은 고딕"/>
                  </a:defRPr>
                </a:pPr>
                <a:r>
                  <a:rPr lang="en-US" sz="1000" b="1" i="0" u="none" strike="noStrike" baseline="0">
                    <a:solidFill>
                      <a:srgbClr val="000000"/>
                    </a:solidFill>
                    <a:latin typeface="맑은 고딕"/>
                    <a:ea typeface="맑은 고딕"/>
                  </a:rPr>
                  <a:t>국가별 판매량</a:t>
                </a:r>
              </a:p>
            </c:rich>
          </c:tx>
          <c:overlay val="0"/>
          <c:spPr>
            <a:solidFill>
              <a:schemeClr val="accent5">
                <a:lumMod val="20000"/>
                <a:lumOff val="80000"/>
              </a:schemeClr>
            </a:solidFill>
          </c:spPr>
        </c:title>
        <c:numFmt formatCode="_(* #,##0_);_(* \(#,##0\);_(* &quot;-&quot;_);_(@_)" sourceLinked="1"/>
        <c:majorTickMark val="out"/>
        <c:minorTickMark val="none"/>
        <c:tickLblPos val="nextTo"/>
        <c:crossAx val="2138834624"/>
        <c:crosses val="autoZero"/>
        <c:crossBetween val="between"/>
      </c:valAx>
      <c:catAx>
        <c:axId val="3"/>
        <c:scaling>
          <c:orientation val="minMax"/>
        </c:scaling>
        <c:delete val="1"/>
        <c:axPos val="b"/>
        <c:majorTickMark val="out"/>
        <c:minorTickMark val="none"/>
        <c:tickLblPos val="nextTo"/>
        <c:crossAx val="4"/>
        <c:crosses val="autoZero"/>
        <c:auto val="1"/>
        <c:lblAlgn val="ctr"/>
        <c:lblOffset val="100"/>
        <c:noMultiLvlLbl val="0"/>
      </c:catAx>
      <c:valAx>
        <c:axId val="4"/>
        <c:scaling>
          <c:orientation val="minMax"/>
        </c:scaling>
        <c:delete val="0"/>
        <c:axPos val="r"/>
        <c:title>
          <c:tx>
            <c:rich>
              <a:bodyPr rot="0" vert="wordArtVertRtl"/>
              <a:lstStyle/>
              <a:p>
                <a:pPr>
                  <a:defRPr/>
                </a:pPr>
                <a:r>
                  <a:rPr lang="ko-KR" altLang="en-US"/>
                  <a:t>판매모델</a:t>
                </a:r>
              </a:p>
            </c:rich>
          </c:tx>
          <c:overlay val="0"/>
          <c:spPr>
            <a:solidFill>
              <a:schemeClr val="accent5">
                <a:lumMod val="20000"/>
                <a:lumOff val="80000"/>
              </a:schemeClr>
            </a:solidFill>
          </c:spPr>
        </c:title>
        <c:numFmt formatCode="_(* #,##0_);_(* \(#,##0\);_(* &quot;-&quot;_);_(@_)" sourceLinked="1"/>
        <c:majorTickMark val="out"/>
        <c:minorTickMark val="none"/>
        <c:tickLblPos val="nextTo"/>
        <c:crossAx val="3"/>
        <c:crosses val="max"/>
        <c:crossBetween val="between"/>
        <c:majorUnit val="1"/>
      </c:valAx>
    </c:plotArea>
    <c:legend>
      <c:legendPos val="r"/>
      <c:layout>
        <c:manualLayout>
          <c:xMode val="edge"/>
          <c:yMode val="edge"/>
          <c:x val="0.28657876514479363"/>
          <c:y val="0.91400928728225139"/>
          <c:w val="0.4311513362178388"/>
          <c:h val="6.4518302631688326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맑은 고딕"/>
                <a:ea typeface="맑은 고딕"/>
                <a:cs typeface="맑은 고딕"/>
              </a:defRPr>
            </a:pPr>
            <a:r>
              <a:rPr lang="en-US" sz="1400" b="1" i="0" u="none" strike="noStrike" baseline="0">
                <a:solidFill>
                  <a:srgbClr val="000000"/>
                </a:solidFill>
                <a:latin typeface="맑은 고딕"/>
                <a:ea typeface="맑은 고딕"/>
              </a:rPr>
              <a:t>가격과 판매량 변화 (한국)</a:t>
            </a:r>
          </a:p>
        </c:rich>
      </c:tx>
      <c:overlay val="0"/>
    </c:title>
    <c:autoTitleDeleted val="0"/>
    <c:plotArea>
      <c:layout/>
      <c:barChart>
        <c:barDir val="col"/>
        <c:grouping val="clustered"/>
        <c:varyColors val="0"/>
        <c:ser>
          <c:idx val="1"/>
          <c:order val="1"/>
          <c:tx>
            <c:v>판매량</c:v>
          </c:tx>
          <c:spPr>
            <a:solidFill>
              <a:srgbClr val="0070C0"/>
            </a:solidFill>
          </c:spPr>
          <c:invertIfNegative val="0"/>
          <c:val>
            <c:numRef>
              <c:f>'3. 기초 분석 자료'!$C$133:$V$133</c:f>
              <c:numCache>
                <c:formatCode>_(* #,##0_);_(* \(#,##0\);_(* "-"_);_(@_)</c:formatCode>
                <c:ptCount val="20"/>
                <c:pt idx="0">
                  <c:v>38739</c:v>
                </c:pt>
                <c:pt idx="1">
                  <c:v>49455</c:v>
                </c:pt>
                <c:pt idx="2">
                  <c:v>46095</c:v>
                </c:pt>
                <c:pt idx="3">
                  <c:v>53923</c:v>
                </c:pt>
                <c:pt idx="4">
                  <c:v>38959</c:v>
                </c:pt>
                <c:pt idx="5">
                  <c:v>59451</c:v>
                </c:pt>
                <c:pt idx="6">
                  <c:v>53746</c:v>
                </c:pt>
                <c:pt idx="7">
                  <c:v>73267</c:v>
                </c:pt>
                <c:pt idx="8">
                  <c:v>65552</c:v>
                </c:pt>
                <c:pt idx="9">
                  <c:v>80232</c:v>
                </c:pt>
                <c:pt idx="10">
                  <c:v>69981</c:v>
                </c:pt>
                <c:pt idx="11">
                  <c:v>66680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C7C0-4F39-86AB-A0CD357D90EA}"/>
            </c:ext>
          </c:extLst>
        </c:ser>
        <c:dLbls>
          <c:showLegendKey val="0"/>
          <c:showVal val="0"/>
          <c:showCatName val="0"/>
          <c:showSerName val="0"/>
          <c:showPercent val="0"/>
          <c:showBubbleSize val="0"/>
        </c:dLbls>
        <c:gapWidth val="150"/>
        <c:axId val="3"/>
        <c:axId val="4"/>
      </c:barChart>
      <c:lineChart>
        <c:grouping val="standard"/>
        <c:varyColors val="0"/>
        <c:ser>
          <c:idx val="0"/>
          <c:order val="0"/>
          <c:tx>
            <c:strRef>
              <c:f>'3. 기초 분석 자료'!$B$132</c:f>
              <c:strCache>
                <c:ptCount val="1"/>
                <c:pt idx="0">
                  <c:v>가격(원)</c:v>
                </c:pt>
              </c:strCache>
            </c:strRef>
          </c:tx>
          <c:spPr>
            <a:ln>
              <a:solidFill>
                <a:schemeClr val="accent2">
                  <a:lumMod val="75000"/>
                </a:schemeClr>
              </a:solidFill>
            </a:ln>
          </c:spPr>
          <c:marker>
            <c:spPr>
              <a:solidFill>
                <a:schemeClr val="accent2">
                  <a:lumMod val="50000"/>
                </a:schemeClr>
              </a:solidFill>
            </c:spPr>
          </c:marker>
          <c:cat>
            <c:multiLvlStrRef>
              <c:f>'3. 기초 분석 자료'!$C$36:$V$37</c:f>
              <c:multiLvlStrCache>
                <c:ptCount val="20"/>
                <c:lvl>
                  <c:pt idx="0">
                    <c:v>1Q</c:v>
                  </c:pt>
                  <c:pt idx="1">
                    <c:v>2Q</c:v>
                  </c:pt>
                  <c:pt idx="2">
                    <c:v>3Q</c:v>
                  </c:pt>
                  <c:pt idx="3">
                    <c:v>4Q</c:v>
                  </c:pt>
                  <c:pt idx="4">
                    <c:v>1Q</c:v>
                  </c:pt>
                  <c:pt idx="5">
                    <c:v>2Q</c:v>
                  </c:pt>
                  <c:pt idx="6">
                    <c:v>3Q</c:v>
                  </c:pt>
                  <c:pt idx="7">
                    <c:v>4Q</c:v>
                  </c:pt>
                  <c:pt idx="8">
                    <c:v>1Q</c:v>
                  </c:pt>
                  <c:pt idx="9">
                    <c:v>2Q</c:v>
                  </c:pt>
                  <c:pt idx="10">
                    <c:v>3Q</c:v>
                  </c:pt>
                  <c:pt idx="11">
                    <c:v>4Q</c:v>
                  </c:pt>
                  <c:pt idx="12">
                    <c:v>1Q</c:v>
                  </c:pt>
                  <c:pt idx="13">
                    <c:v>2Q</c:v>
                  </c:pt>
                  <c:pt idx="14">
                    <c:v>3Q</c:v>
                  </c:pt>
                  <c:pt idx="15">
                    <c:v>4Q</c:v>
                  </c:pt>
                  <c:pt idx="16">
                    <c:v>1Q</c:v>
                  </c:pt>
                  <c:pt idx="17">
                    <c:v>2Q</c:v>
                  </c:pt>
                  <c:pt idx="18">
                    <c:v>3Q</c:v>
                  </c:pt>
                  <c:pt idx="19">
                    <c:v>4Q</c:v>
                  </c:pt>
                </c:lvl>
                <c:lvl>
                  <c:pt idx="0">
                    <c:v>1차년도</c:v>
                  </c:pt>
                  <c:pt idx="4">
                    <c:v>2차년도</c:v>
                  </c:pt>
                  <c:pt idx="8">
                    <c:v>3차년도</c:v>
                  </c:pt>
                  <c:pt idx="12">
                    <c:v>4차년도</c:v>
                  </c:pt>
                  <c:pt idx="16">
                    <c:v>5차년도</c:v>
                  </c:pt>
                </c:lvl>
              </c:multiLvlStrCache>
            </c:multiLvlStrRef>
          </c:cat>
          <c:val>
            <c:numRef>
              <c:f>'3. 기초 분석 자료'!$C$132:$V$132</c:f>
              <c:numCache>
                <c:formatCode>_(* #,##0_);_(* \(#,##0\);_(* "-"_);_(@_)</c:formatCode>
                <c:ptCount val="20"/>
                <c:pt idx="0">
                  <c:v>460000</c:v>
                </c:pt>
                <c:pt idx="1">
                  <c:v>470000</c:v>
                </c:pt>
                <c:pt idx="2">
                  <c:v>475000</c:v>
                </c:pt>
                <c:pt idx="3">
                  <c:v>480000</c:v>
                </c:pt>
                <c:pt idx="4">
                  <c:v>525000</c:v>
                </c:pt>
                <c:pt idx="5">
                  <c:v>530000</c:v>
                </c:pt>
                <c:pt idx="6">
                  <c:v>540000</c:v>
                </c:pt>
                <c:pt idx="7">
                  <c:v>590000</c:v>
                </c:pt>
                <c:pt idx="8">
                  <c:v>600000</c:v>
                </c:pt>
                <c:pt idx="9">
                  <c:v>610000</c:v>
                </c:pt>
                <c:pt idx="10">
                  <c:v>670000</c:v>
                </c:pt>
                <c:pt idx="11">
                  <c:v>680000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1-C7C0-4F39-86AB-A0CD357D90EA}"/>
            </c:ext>
          </c:extLst>
        </c:ser>
        <c:dLbls>
          <c:showLegendKey val="0"/>
          <c:showVal val="0"/>
          <c:showCatName val="0"/>
          <c:showSerName val="0"/>
          <c:showPercent val="0"/>
          <c:showBubbleSize val="0"/>
        </c:dLbls>
        <c:marker val="1"/>
        <c:smooth val="0"/>
        <c:axId val="2145412064"/>
        <c:axId val="1"/>
      </c:lineChart>
      <c:catAx>
        <c:axId val="2145412064"/>
        <c:scaling>
          <c:orientation val="minMax"/>
        </c:scaling>
        <c:delete val="0"/>
        <c:axPos val="b"/>
        <c:numFmt formatCode="General" sourceLinked="1"/>
        <c:majorTickMark val="out"/>
        <c:minorTickMark val="none"/>
        <c:tickLblPos val="nextTo"/>
        <c:crossAx val="1"/>
        <c:crosses val="autoZero"/>
        <c:auto val="1"/>
        <c:lblAlgn val="ctr"/>
        <c:lblOffset val="100"/>
        <c:noMultiLvlLbl val="0"/>
      </c:catAx>
      <c:valAx>
        <c:axId val="1"/>
        <c:scaling>
          <c:orientation val="minMax"/>
          <c:min val="200000"/>
        </c:scaling>
        <c:delete val="0"/>
        <c:axPos val="l"/>
        <c:majorGridlines/>
        <c:title>
          <c:tx>
            <c:rich>
              <a:bodyPr rot="0" vert="wordArtVertRtl" anchor="t" anchorCtr="0"/>
              <a:lstStyle/>
              <a:p>
                <a:pPr>
                  <a:defRPr/>
                </a:pPr>
                <a:r>
                  <a:rPr lang="ko-KR" altLang="en-US"/>
                  <a:t>한국판가</a:t>
                </a:r>
              </a:p>
            </c:rich>
          </c:tx>
          <c:overlay val="0"/>
          <c:spPr>
            <a:solidFill>
              <a:schemeClr val="accent1">
                <a:lumMod val="20000"/>
                <a:lumOff val="80000"/>
              </a:schemeClr>
            </a:solidFill>
          </c:spPr>
        </c:title>
        <c:numFmt formatCode="_(* #,##0_);_(* \(#,##0\);_(* &quot;-&quot;_);_(@_)" sourceLinked="1"/>
        <c:majorTickMark val="out"/>
        <c:minorTickMark val="none"/>
        <c:tickLblPos val="nextTo"/>
        <c:crossAx val="2145412064"/>
        <c:crosses val="autoZero"/>
        <c:crossBetween val="between"/>
      </c:valAx>
      <c:catAx>
        <c:axId val="3"/>
        <c:scaling>
          <c:orientation val="minMax"/>
        </c:scaling>
        <c:delete val="1"/>
        <c:axPos val="b"/>
        <c:majorTickMark val="out"/>
        <c:minorTickMark val="none"/>
        <c:tickLblPos val="nextTo"/>
        <c:crossAx val="4"/>
        <c:crosses val="autoZero"/>
        <c:auto val="1"/>
        <c:lblAlgn val="ctr"/>
        <c:lblOffset val="100"/>
        <c:noMultiLvlLbl val="0"/>
      </c:catAx>
      <c:valAx>
        <c:axId val="4"/>
        <c:scaling>
          <c:orientation val="minMax"/>
        </c:scaling>
        <c:delete val="0"/>
        <c:axPos val="r"/>
        <c:title>
          <c:tx>
            <c:rich>
              <a:bodyPr rot="0" vert="wordArtVertRtl"/>
              <a:lstStyle/>
              <a:p>
                <a:pPr>
                  <a:defRPr/>
                </a:pPr>
                <a:r>
                  <a:rPr lang="ko-KR" altLang="en-US"/>
                  <a:t>판매량</a:t>
                </a:r>
              </a:p>
            </c:rich>
          </c:tx>
          <c:overlay val="0"/>
          <c:spPr>
            <a:solidFill>
              <a:schemeClr val="accent1">
                <a:lumMod val="20000"/>
                <a:lumOff val="80000"/>
              </a:schemeClr>
            </a:solidFill>
          </c:spPr>
        </c:title>
        <c:numFmt formatCode="_(* #,##0_);_(* \(#,##0\);_(* &quot;-&quot;_);_(@_)" sourceLinked="1"/>
        <c:majorTickMark val="out"/>
        <c:minorTickMark val="none"/>
        <c:tickLblPos val="nextTo"/>
        <c:crossAx val="3"/>
        <c:crosses val="max"/>
        <c:crossBetween val="between"/>
      </c:valAx>
    </c:plotArea>
    <c:legend>
      <c:legendPos val="r"/>
      <c:layout>
        <c:manualLayout>
          <c:xMode val="edge"/>
          <c:yMode val="edge"/>
          <c:x val="0.38501820757260985"/>
          <c:y val="0.91823523187741296"/>
          <c:w val="0.23253574912801189"/>
          <c:h val="6.3326567715683652E-2"/>
        </c:manualLayout>
      </c:layout>
      <c:overlay val="0"/>
    </c:legend>
    <c:plotVisOnly val="1"/>
    <c:dispBlanksAs val="gap"/>
    <c:showDLblsOverMax val="0"/>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맑은 고딕"/>
                <a:ea typeface="맑은 고딕"/>
                <a:cs typeface="맑은 고딕"/>
              </a:defRPr>
            </a:pPr>
            <a:r>
              <a:rPr lang="en-US" sz="1400" b="1" i="0" u="none" strike="noStrike" baseline="0">
                <a:solidFill>
                  <a:srgbClr val="000000"/>
                </a:solidFill>
                <a:latin typeface="맑은 고딕"/>
                <a:ea typeface="맑은 고딕"/>
              </a:rPr>
              <a:t>가격과 판매량 변화 (미국)</a:t>
            </a:r>
          </a:p>
        </c:rich>
      </c:tx>
      <c:overlay val="0"/>
    </c:title>
    <c:autoTitleDeleted val="0"/>
    <c:plotArea>
      <c:layout/>
      <c:barChart>
        <c:barDir val="col"/>
        <c:grouping val="clustered"/>
        <c:varyColors val="0"/>
        <c:ser>
          <c:idx val="1"/>
          <c:order val="1"/>
          <c:tx>
            <c:v>판매량</c:v>
          </c:tx>
          <c:spPr>
            <a:solidFill>
              <a:srgbClr val="FFC000"/>
            </a:solidFill>
          </c:spPr>
          <c:invertIfNegative val="0"/>
          <c:val>
            <c:numRef>
              <c:f>'3. 기초 분석 자료'!$C$135:$V$135</c:f>
              <c:numCache>
                <c:formatCode>_(* #,##0_);_(* \(#,##0\);_(* "-"_);_(@_)</c:formatCode>
                <c:ptCount val="20"/>
                <c:pt idx="0">
                  <c:v>23963</c:v>
                </c:pt>
                <c:pt idx="1">
                  <c:v>32381</c:v>
                </c:pt>
                <c:pt idx="2">
                  <c:v>34739</c:v>
                </c:pt>
                <c:pt idx="3">
                  <c:v>39025</c:v>
                </c:pt>
                <c:pt idx="4">
                  <c:v>34074</c:v>
                </c:pt>
                <c:pt idx="5">
                  <c:v>39074</c:v>
                </c:pt>
                <c:pt idx="6">
                  <c:v>39354</c:v>
                </c:pt>
                <c:pt idx="7">
                  <c:v>40033</c:v>
                </c:pt>
                <c:pt idx="8">
                  <c:v>33564</c:v>
                </c:pt>
                <c:pt idx="9">
                  <c:v>36277</c:v>
                </c:pt>
                <c:pt idx="10">
                  <c:v>33702</c:v>
                </c:pt>
                <c:pt idx="11">
                  <c:v>32680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D072-4DE5-85C1-CA141685948A}"/>
            </c:ext>
          </c:extLst>
        </c:ser>
        <c:dLbls>
          <c:showLegendKey val="0"/>
          <c:showVal val="0"/>
          <c:showCatName val="0"/>
          <c:showSerName val="0"/>
          <c:showPercent val="0"/>
          <c:showBubbleSize val="0"/>
        </c:dLbls>
        <c:gapWidth val="150"/>
        <c:axId val="3"/>
        <c:axId val="4"/>
      </c:barChart>
      <c:lineChart>
        <c:grouping val="standard"/>
        <c:varyColors val="0"/>
        <c:ser>
          <c:idx val="0"/>
          <c:order val="0"/>
          <c:tx>
            <c:strRef>
              <c:f>'3. 기초 분석 자료'!$B$132</c:f>
              <c:strCache>
                <c:ptCount val="1"/>
                <c:pt idx="0">
                  <c:v>가격(원)</c:v>
                </c:pt>
              </c:strCache>
            </c:strRef>
          </c:tx>
          <c:spPr>
            <a:ln>
              <a:solidFill>
                <a:schemeClr val="accent2">
                  <a:lumMod val="75000"/>
                </a:schemeClr>
              </a:solidFill>
            </a:ln>
          </c:spPr>
          <c:marker>
            <c:spPr>
              <a:solidFill>
                <a:schemeClr val="accent2">
                  <a:lumMod val="50000"/>
                </a:schemeClr>
              </a:solidFill>
            </c:spPr>
          </c:marker>
          <c:cat>
            <c:multiLvlStrRef>
              <c:f>'3. 기초 분석 자료'!$C$36:$V$37</c:f>
              <c:multiLvlStrCache>
                <c:ptCount val="20"/>
                <c:lvl>
                  <c:pt idx="0">
                    <c:v>1Q</c:v>
                  </c:pt>
                  <c:pt idx="1">
                    <c:v>2Q</c:v>
                  </c:pt>
                  <c:pt idx="2">
                    <c:v>3Q</c:v>
                  </c:pt>
                  <c:pt idx="3">
                    <c:v>4Q</c:v>
                  </c:pt>
                  <c:pt idx="4">
                    <c:v>1Q</c:v>
                  </c:pt>
                  <c:pt idx="5">
                    <c:v>2Q</c:v>
                  </c:pt>
                  <c:pt idx="6">
                    <c:v>3Q</c:v>
                  </c:pt>
                  <c:pt idx="7">
                    <c:v>4Q</c:v>
                  </c:pt>
                  <c:pt idx="8">
                    <c:v>1Q</c:v>
                  </c:pt>
                  <c:pt idx="9">
                    <c:v>2Q</c:v>
                  </c:pt>
                  <c:pt idx="10">
                    <c:v>3Q</c:v>
                  </c:pt>
                  <c:pt idx="11">
                    <c:v>4Q</c:v>
                  </c:pt>
                  <c:pt idx="12">
                    <c:v>1Q</c:v>
                  </c:pt>
                  <c:pt idx="13">
                    <c:v>2Q</c:v>
                  </c:pt>
                  <c:pt idx="14">
                    <c:v>3Q</c:v>
                  </c:pt>
                  <c:pt idx="15">
                    <c:v>4Q</c:v>
                  </c:pt>
                  <c:pt idx="16">
                    <c:v>1Q</c:v>
                  </c:pt>
                  <c:pt idx="17">
                    <c:v>2Q</c:v>
                  </c:pt>
                  <c:pt idx="18">
                    <c:v>3Q</c:v>
                  </c:pt>
                  <c:pt idx="19">
                    <c:v>4Q</c:v>
                  </c:pt>
                </c:lvl>
                <c:lvl>
                  <c:pt idx="0">
                    <c:v>1차년도</c:v>
                  </c:pt>
                  <c:pt idx="4">
                    <c:v>2차년도</c:v>
                  </c:pt>
                  <c:pt idx="8">
                    <c:v>3차년도</c:v>
                  </c:pt>
                  <c:pt idx="12">
                    <c:v>4차년도</c:v>
                  </c:pt>
                  <c:pt idx="16">
                    <c:v>5차년도</c:v>
                  </c:pt>
                </c:lvl>
              </c:multiLvlStrCache>
            </c:multiLvlStrRef>
          </c:cat>
          <c:val>
            <c:numRef>
              <c:f>'3. 기초 분석 자료'!$C$134:$V$134</c:f>
              <c:numCache>
                <c:formatCode>_(* #,##0_);_(* \(#,##0\);_(* "-"_);_(@_)</c:formatCode>
                <c:ptCount val="20"/>
                <c:pt idx="0">
                  <c:v>505</c:v>
                </c:pt>
                <c:pt idx="1">
                  <c:v>512</c:v>
                </c:pt>
                <c:pt idx="2">
                  <c:v>515</c:v>
                </c:pt>
                <c:pt idx="3">
                  <c:v>520</c:v>
                </c:pt>
                <c:pt idx="4">
                  <c:v>550</c:v>
                </c:pt>
                <c:pt idx="5">
                  <c:v>555</c:v>
                </c:pt>
                <c:pt idx="6">
                  <c:v>560</c:v>
                </c:pt>
                <c:pt idx="7">
                  <c:v>595</c:v>
                </c:pt>
                <c:pt idx="8">
                  <c:v>600</c:v>
                </c:pt>
                <c:pt idx="9">
                  <c:v>615</c:v>
                </c:pt>
                <c:pt idx="10">
                  <c:v>635</c:v>
                </c:pt>
                <c:pt idx="11">
                  <c:v>640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1-D072-4DE5-85C1-CA141685948A}"/>
            </c:ext>
          </c:extLst>
        </c:ser>
        <c:dLbls>
          <c:showLegendKey val="0"/>
          <c:showVal val="0"/>
          <c:showCatName val="0"/>
          <c:showSerName val="0"/>
          <c:showPercent val="0"/>
          <c:showBubbleSize val="0"/>
        </c:dLbls>
        <c:marker val="1"/>
        <c:smooth val="0"/>
        <c:axId val="2145423664"/>
        <c:axId val="1"/>
      </c:lineChart>
      <c:catAx>
        <c:axId val="2145423664"/>
        <c:scaling>
          <c:orientation val="minMax"/>
        </c:scaling>
        <c:delete val="0"/>
        <c:axPos val="b"/>
        <c:numFmt formatCode="General" sourceLinked="1"/>
        <c:majorTickMark val="out"/>
        <c:minorTickMark val="none"/>
        <c:tickLblPos val="nextTo"/>
        <c:crossAx val="1"/>
        <c:crosses val="autoZero"/>
        <c:auto val="1"/>
        <c:lblAlgn val="ctr"/>
        <c:lblOffset val="100"/>
        <c:noMultiLvlLbl val="0"/>
      </c:catAx>
      <c:valAx>
        <c:axId val="1"/>
        <c:scaling>
          <c:orientation val="minMax"/>
          <c:min val="300"/>
        </c:scaling>
        <c:delete val="0"/>
        <c:axPos val="l"/>
        <c:majorGridlines/>
        <c:title>
          <c:tx>
            <c:rich>
              <a:bodyPr rot="0" vert="wordArtVertRtl" anchor="t" anchorCtr="0"/>
              <a:lstStyle/>
              <a:p>
                <a:pPr>
                  <a:defRPr/>
                </a:pPr>
                <a:r>
                  <a:rPr lang="ko-KR" altLang="en-US"/>
                  <a:t>미국판가</a:t>
                </a:r>
              </a:p>
            </c:rich>
          </c:tx>
          <c:overlay val="0"/>
          <c:spPr>
            <a:solidFill>
              <a:schemeClr val="accent1">
                <a:lumMod val="20000"/>
                <a:lumOff val="80000"/>
              </a:schemeClr>
            </a:solidFill>
          </c:spPr>
        </c:title>
        <c:numFmt formatCode="_(* #,##0_);_(* \(#,##0\);_(* &quot;-&quot;_);_(@_)" sourceLinked="1"/>
        <c:majorTickMark val="out"/>
        <c:minorTickMark val="none"/>
        <c:tickLblPos val="nextTo"/>
        <c:crossAx val="2145423664"/>
        <c:crosses val="autoZero"/>
        <c:crossBetween val="between"/>
      </c:valAx>
      <c:catAx>
        <c:axId val="3"/>
        <c:scaling>
          <c:orientation val="minMax"/>
        </c:scaling>
        <c:delete val="1"/>
        <c:axPos val="b"/>
        <c:majorTickMark val="out"/>
        <c:minorTickMark val="none"/>
        <c:tickLblPos val="nextTo"/>
        <c:crossAx val="4"/>
        <c:crosses val="autoZero"/>
        <c:auto val="1"/>
        <c:lblAlgn val="ctr"/>
        <c:lblOffset val="100"/>
        <c:noMultiLvlLbl val="0"/>
      </c:catAx>
      <c:valAx>
        <c:axId val="4"/>
        <c:scaling>
          <c:orientation val="minMax"/>
        </c:scaling>
        <c:delete val="0"/>
        <c:axPos val="r"/>
        <c:title>
          <c:tx>
            <c:rich>
              <a:bodyPr rot="0" vert="wordArtVertRtl"/>
              <a:lstStyle/>
              <a:p>
                <a:pPr>
                  <a:defRPr/>
                </a:pPr>
                <a:r>
                  <a:rPr lang="ko-KR" altLang="en-US"/>
                  <a:t>판매량</a:t>
                </a:r>
              </a:p>
            </c:rich>
          </c:tx>
          <c:overlay val="0"/>
          <c:spPr>
            <a:solidFill>
              <a:schemeClr val="accent1">
                <a:lumMod val="20000"/>
                <a:lumOff val="80000"/>
              </a:schemeClr>
            </a:solidFill>
          </c:spPr>
        </c:title>
        <c:numFmt formatCode="_(* #,##0_);_(* \(#,##0\);_(* &quot;-&quot;_);_(@_)" sourceLinked="1"/>
        <c:majorTickMark val="out"/>
        <c:minorTickMark val="none"/>
        <c:tickLblPos val="nextTo"/>
        <c:crossAx val="3"/>
        <c:crosses val="max"/>
        <c:crossBetween val="between"/>
      </c:valAx>
    </c:plotArea>
    <c:legend>
      <c:legendPos val="r"/>
      <c:layout>
        <c:manualLayout>
          <c:xMode val="edge"/>
          <c:yMode val="edge"/>
          <c:x val="0.37980760975207689"/>
          <c:y val="0.92087383886556651"/>
          <c:w val="0.2340228706553201"/>
          <c:h val="5.2772139763069714E-2"/>
        </c:manualLayout>
      </c:layout>
      <c:overlay val="0"/>
    </c:legend>
    <c:plotVisOnly val="1"/>
    <c:dispBlanksAs val="gap"/>
    <c:showDLblsOverMax val="0"/>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맑은 고딕"/>
                <a:ea typeface="맑은 고딕"/>
                <a:cs typeface="맑은 고딕"/>
              </a:defRPr>
            </a:pPr>
            <a:r>
              <a:rPr lang="en-US" sz="1400" b="1" i="0" u="none" strike="noStrike" baseline="0">
                <a:solidFill>
                  <a:srgbClr val="000000"/>
                </a:solidFill>
                <a:latin typeface="맑은 고딕"/>
                <a:ea typeface="맑은 고딕"/>
              </a:rPr>
              <a:t>가격과 판매량 변화 (중국)</a:t>
            </a:r>
          </a:p>
        </c:rich>
      </c:tx>
      <c:overlay val="0"/>
    </c:title>
    <c:autoTitleDeleted val="0"/>
    <c:plotArea>
      <c:layout/>
      <c:barChart>
        <c:barDir val="col"/>
        <c:grouping val="clustered"/>
        <c:varyColors val="0"/>
        <c:ser>
          <c:idx val="1"/>
          <c:order val="1"/>
          <c:tx>
            <c:v>판매량</c:v>
          </c:tx>
          <c:spPr>
            <a:solidFill>
              <a:schemeClr val="accent6">
                <a:lumMod val="50000"/>
              </a:schemeClr>
            </a:solidFill>
          </c:spPr>
          <c:invertIfNegative val="0"/>
          <c:val>
            <c:numRef>
              <c:f>'3. 기초 분석 자료'!$C$137:$V$137</c:f>
              <c:numCache>
                <c:formatCode>_(* #,##0_);_(* \(#,##0\);_(* "-"_);_(@_)</c:formatCode>
                <c:ptCount val="20"/>
                <c:pt idx="0">
                  <c:v>5497</c:v>
                </c:pt>
                <c:pt idx="1">
                  <c:v>13894</c:v>
                </c:pt>
                <c:pt idx="2">
                  <c:v>10568</c:v>
                </c:pt>
                <c:pt idx="3">
                  <c:v>13227</c:v>
                </c:pt>
                <c:pt idx="4">
                  <c:v>4700</c:v>
                </c:pt>
                <c:pt idx="5">
                  <c:v>15478</c:v>
                </c:pt>
                <c:pt idx="6">
                  <c:v>15275</c:v>
                </c:pt>
                <c:pt idx="7">
                  <c:v>21414</c:v>
                </c:pt>
                <c:pt idx="8">
                  <c:v>17504</c:v>
                </c:pt>
                <c:pt idx="9">
                  <c:v>28354</c:v>
                </c:pt>
                <c:pt idx="10">
                  <c:v>28320</c:v>
                </c:pt>
                <c:pt idx="11">
                  <c:v>30500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78E5-44EB-AE4C-1A3D2550963C}"/>
            </c:ext>
          </c:extLst>
        </c:ser>
        <c:dLbls>
          <c:showLegendKey val="0"/>
          <c:showVal val="0"/>
          <c:showCatName val="0"/>
          <c:showSerName val="0"/>
          <c:showPercent val="0"/>
          <c:showBubbleSize val="0"/>
        </c:dLbls>
        <c:gapWidth val="150"/>
        <c:axId val="3"/>
        <c:axId val="4"/>
      </c:barChart>
      <c:lineChart>
        <c:grouping val="standard"/>
        <c:varyColors val="0"/>
        <c:ser>
          <c:idx val="0"/>
          <c:order val="0"/>
          <c:tx>
            <c:strRef>
              <c:f>'3. 기초 분석 자료'!$B$132</c:f>
              <c:strCache>
                <c:ptCount val="1"/>
                <c:pt idx="0">
                  <c:v>가격(원)</c:v>
                </c:pt>
              </c:strCache>
            </c:strRef>
          </c:tx>
          <c:spPr>
            <a:ln>
              <a:solidFill>
                <a:schemeClr val="accent2">
                  <a:lumMod val="75000"/>
                </a:schemeClr>
              </a:solidFill>
            </a:ln>
          </c:spPr>
          <c:marker>
            <c:spPr>
              <a:solidFill>
                <a:schemeClr val="accent2">
                  <a:lumMod val="50000"/>
                </a:schemeClr>
              </a:solidFill>
            </c:spPr>
          </c:marker>
          <c:cat>
            <c:multiLvlStrRef>
              <c:f>'3. 기초 분석 자료'!$C$36:$V$37</c:f>
              <c:multiLvlStrCache>
                <c:ptCount val="20"/>
                <c:lvl>
                  <c:pt idx="0">
                    <c:v>1Q</c:v>
                  </c:pt>
                  <c:pt idx="1">
                    <c:v>2Q</c:v>
                  </c:pt>
                  <c:pt idx="2">
                    <c:v>3Q</c:v>
                  </c:pt>
                  <c:pt idx="3">
                    <c:v>4Q</c:v>
                  </c:pt>
                  <c:pt idx="4">
                    <c:v>1Q</c:v>
                  </c:pt>
                  <c:pt idx="5">
                    <c:v>2Q</c:v>
                  </c:pt>
                  <c:pt idx="6">
                    <c:v>3Q</c:v>
                  </c:pt>
                  <c:pt idx="7">
                    <c:v>4Q</c:v>
                  </c:pt>
                  <c:pt idx="8">
                    <c:v>1Q</c:v>
                  </c:pt>
                  <c:pt idx="9">
                    <c:v>2Q</c:v>
                  </c:pt>
                  <c:pt idx="10">
                    <c:v>3Q</c:v>
                  </c:pt>
                  <c:pt idx="11">
                    <c:v>4Q</c:v>
                  </c:pt>
                  <c:pt idx="12">
                    <c:v>1Q</c:v>
                  </c:pt>
                  <c:pt idx="13">
                    <c:v>2Q</c:v>
                  </c:pt>
                  <c:pt idx="14">
                    <c:v>3Q</c:v>
                  </c:pt>
                  <c:pt idx="15">
                    <c:v>4Q</c:v>
                  </c:pt>
                  <c:pt idx="16">
                    <c:v>1Q</c:v>
                  </c:pt>
                  <c:pt idx="17">
                    <c:v>2Q</c:v>
                  </c:pt>
                  <c:pt idx="18">
                    <c:v>3Q</c:v>
                  </c:pt>
                  <c:pt idx="19">
                    <c:v>4Q</c:v>
                  </c:pt>
                </c:lvl>
                <c:lvl>
                  <c:pt idx="0">
                    <c:v>1차년도</c:v>
                  </c:pt>
                  <c:pt idx="4">
                    <c:v>2차년도</c:v>
                  </c:pt>
                  <c:pt idx="8">
                    <c:v>3차년도</c:v>
                  </c:pt>
                  <c:pt idx="12">
                    <c:v>4차년도</c:v>
                  </c:pt>
                  <c:pt idx="16">
                    <c:v>5차년도</c:v>
                  </c:pt>
                </c:lvl>
              </c:multiLvlStrCache>
            </c:multiLvlStrRef>
          </c:cat>
          <c:val>
            <c:numRef>
              <c:f>'3. 기초 분석 자료'!$C$136:$V$136</c:f>
              <c:numCache>
                <c:formatCode>_(* #,##0_);_(* \(#,##0\);_(* "-"_);_(@_)</c:formatCode>
                <c:ptCount val="20"/>
                <c:pt idx="0">
                  <c:v>2400</c:v>
                </c:pt>
                <c:pt idx="1">
                  <c:v>2450</c:v>
                </c:pt>
                <c:pt idx="2">
                  <c:v>2500</c:v>
                </c:pt>
                <c:pt idx="3">
                  <c:v>2650</c:v>
                </c:pt>
                <c:pt idx="4">
                  <c:v>2900</c:v>
                </c:pt>
                <c:pt idx="5">
                  <c:v>2950</c:v>
                </c:pt>
                <c:pt idx="6">
                  <c:v>3000</c:v>
                </c:pt>
                <c:pt idx="7">
                  <c:v>3250</c:v>
                </c:pt>
                <c:pt idx="8">
                  <c:v>3300</c:v>
                </c:pt>
                <c:pt idx="9">
                  <c:v>3400</c:v>
                </c:pt>
                <c:pt idx="10">
                  <c:v>3700</c:v>
                </c:pt>
                <c:pt idx="11">
                  <c:v>3800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1-78E5-44EB-AE4C-1A3D2550963C}"/>
            </c:ext>
          </c:extLst>
        </c:ser>
        <c:dLbls>
          <c:showLegendKey val="0"/>
          <c:showVal val="0"/>
          <c:showCatName val="0"/>
          <c:showSerName val="0"/>
          <c:showPercent val="0"/>
          <c:showBubbleSize val="0"/>
        </c:dLbls>
        <c:marker val="1"/>
        <c:smooth val="0"/>
        <c:axId val="2145412864"/>
        <c:axId val="1"/>
      </c:lineChart>
      <c:catAx>
        <c:axId val="2145412864"/>
        <c:scaling>
          <c:orientation val="minMax"/>
        </c:scaling>
        <c:delete val="0"/>
        <c:axPos val="b"/>
        <c:numFmt formatCode="General" sourceLinked="1"/>
        <c:majorTickMark val="out"/>
        <c:minorTickMark val="none"/>
        <c:tickLblPos val="nextTo"/>
        <c:crossAx val="1"/>
        <c:crosses val="autoZero"/>
        <c:auto val="1"/>
        <c:lblAlgn val="ctr"/>
        <c:lblOffset val="100"/>
        <c:noMultiLvlLbl val="0"/>
      </c:catAx>
      <c:valAx>
        <c:axId val="1"/>
        <c:scaling>
          <c:orientation val="minMax"/>
          <c:min val="500"/>
        </c:scaling>
        <c:delete val="0"/>
        <c:axPos val="l"/>
        <c:majorGridlines/>
        <c:title>
          <c:tx>
            <c:rich>
              <a:bodyPr rot="0" vert="wordArtVertRtl" anchor="t" anchorCtr="0"/>
              <a:lstStyle/>
              <a:p>
                <a:pPr>
                  <a:defRPr/>
                </a:pPr>
                <a:r>
                  <a:rPr lang="ko-KR" altLang="en-US"/>
                  <a:t>중국판가</a:t>
                </a:r>
              </a:p>
            </c:rich>
          </c:tx>
          <c:overlay val="0"/>
          <c:spPr>
            <a:solidFill>
              <a:schemeClr val="accent1">
                <a:lumMod val="20000"/>
                <a:lumOff val="80000"/>
              </a:schemeClr>
            </a:solidFill>
          </c:spPr>
        </c:title>
        <c:numFmt formatCode="_(* #,##0_);_(* \(#,##0\);_(* &quot;-&quot;_);_(@_)" sourceLinked="1"/>
        <c:majorTickMark val="out"/>
        <c:minorTickMark val="none"/>
        <c:tickLblPos val="nextTo"/>
        <c:crossAx val="2145412864"/>
        <c:crosses val="autoZero"/>
        <c:crossBetween val="between"/>
      </c:valAx>
      <c:catAx>
        <c:axId val="3"/>
        <c:scaling>
          <c:orientation val="minMax"/>
        </c:scaling>
        <c:delete val="1"/>
        <c:axPos val="b"/>
        <c:majorTickMark val="out"/>
        <c:minorTickMark val="none"/>
        <c:tickLblPos val="nextTo"/>
        <c:crossAx val="4"/>
        <c:crosses val="autoZero"/>
        <c:auto val="1"/>
        <c:lblAlgn val="ctr"/>
        <c:lblOffset val="100"/>
        <c:noMultiLvlLbl val="0"/>
      </c:catAx>
      <c:valAx>
        <c:axId val="4"/>
        <c:scaling>
          <c:orientation val="minMax"/>
        </c:scaling>
        <c:delete val="0"/>
        <c:axPos val="r"/>
        <c:title>
          <c:tx>
            <c:rich>
              <a:bodyPr rot="0" vert="wordArtVertRtl"/>
              <a:lstStyle/>
              <a:p>
                <a:pPr>
                  <a:defRPr/>
                </a:pPr>
                <a:r>
                  <a:rPr lang="ko-KR" altLang="en-US"/>
                  <a:t>판매량</a:t>
                </a:r>
              </a:p>
            </c:rich>
          </c:tx>
          <c:overlay val="0"/>
          <c:spPr>
            <a:solidFill>
              <a:schemeClr val="accent1">
                <a:lumMod val="20000"/>
                <a:lumOff val="80000"/>
              </a:schemeClr>
            </a:solidFill>
          </c:spPr>
        </c:title>
        <c:numFmt formatCode="_(* #,##0_);_(* \(#,##0\);_(* &quot;-&quot;_);_(@_)" sourceLinked="1"/>
        <c:majorTickMark val="out"/>
        <c:minorTickMark val="none"/>
        <c:tickLblPos val="nextTo"/>
        <c:crossAx val="3"/>
        <c:crosses val="max"/>
        <c:crossBetween val="between"/>
      </c:valAx>
    </c:plotArea>
    <c:legend>
      <c:legendPos val="r"/>
      <c:layout>
        <c:manualLayout>
          <c:xMode val="edge"/>
          <c:yMode val="edge"/>
          <c:x val="0.38217786749124916"/>
          <c:y val="0.92087383886556651"/>
          <c:w val="0.23312849916966197"/>
          <c:h val="5.2772139763069714E-2"/>
        </c:manualLayout>
      </c:layout>
      <c:overlay val="0"/>
    </c:legend>
    <c:plotVisOnly val="1"/>
    <c:dispBlanksAs val="gap"/>
    <c:showDLblsOverMax val="0"/>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맑은 고딕"/>
                <a:ea typeface="맑은 고딕"/>
                <a:cs typeface="맑은 고딕"/>
              </a:defRPr>
            </a:pPr>
            <a:r>
              <a:rPr lang="en-US" sz="1400" b="1" i="0" u="none" strike="noStrike" baseline="0">
                <a:solidFill>
                  <a:srgbClr val="000000"/>
                </a:solidFill>
                <a:latin typeface="맑은 고딕"/>
                <a:ea typeface="맑은 고딕"/>
              </a:rPr>
              <a:t>광고비와 판매량 변화 (한국)</a:t>
            </a:r>
          </a:p>
        </c:rich>
      </c:tx>
      <c:overlay val="0"/>
    </c:title>
    <c:autoTitleDeleted val="0"/>
    <c:plotArea>
      <c:layout/>
      <c:barChart>
        <c:barDir val="col"/>
        <c:grouping val="clustered"/>
        <c:varyColors val="0"/>
        <c:ser>
          <c:idx val="1"/>
          <c:order val="1"/>
          <c:tx>
            <c:v>판매량</c:v>
          </c:tx>
          <c:spPr>
            <a:solidFill>
              <a:schemeClr val="accent1">
                <a:lumMod val="75000"/>
              </a:schemeClr>
            </a:solidFill>
          </c:spPr>
          <c:invertIfNegative val="0"/>
          <c:val>
            <c:numRef>
              <c:f>'3. 기초 분석 자료'!$C$133:$V$133</c:f>
              <c:numCache>
                <c:formatCode>_(* #,##0_);_(* \(#,##0\);_(* "-"_);_(@_)</c:formatCode>
                <c:ptCount val="20"/>
                <c:pt idx="0">
                  <c:v>38739</c:v>
                </c:pt>
                <c:pt idx="1">
                  <c:v>49455</c:v>
                </c:pt>
                <c:pt idx="2">
                  <c:v>46095</c:v>
                </c:pt>
                <c:pt idx="3">
                  <c:v>53923</c:v>
                </c:pt>
                <c:pt idx="4">
                  <c:v>38959</c:v>
                </c:pt>
                <c:pt idx="5">
                  <c:v>59451</c:v>
                </c:pt>
                <c:pt idx="6">
                  <c:v>53746</c:v>
                </c:pt>
                <c:pt idx="7">
                  <c:v>73267</c:v>
                </c:pt>
                <c:pt idx="8">
                  <c:v>65552</c:v>
                </c:pt>
                <c:pt idx="9">
                  <c:v>80232</c:v>
                </c:pt>
                <c:pt idx="10">
                  <c:v>69981</c:v>
                </c:pt>
                <c:pt idx="11">
                  <c:v>66680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29F2-450F-A077-0939BAA2DF31}"/>
            </c:ext>
          </c:extLst>
        </c:ser>
        <c:dLbls>
          <c:showLegendKey val="0"/>
          <c:showVal val="0"/>
          <c:showCatName val="0"/>
          <c:showSerName val="0"/>
          <c:showPercent val="0"/>
          <c:showBubbleSize val="0"/>
        </c:dLbls>
        <c:gapWidth val="150"/>
        <c:axId val="3"/>
        <c:axId val="4"/>
      </c:barChart>
      <c:lineChart>
        <c:grouping val="standard"/>
        <c:varyColors val="0"/>
        <c:ser>
          <c:idx val="0"/>
          <c:order val="0"/>
          <c:tx>
            <c:strRef>
              <c:f>'3. 기초 분석 자료'!$B$156</c:f>
              <c:strCache>
                <c:ptCount val="1"/>
                <c:pt idx="0">
                  <c:v>광고비(원)</c:v>
                </c:pt>
              </c:strCache>
            </c:strRef>
          </c:tx>
          <c:spPr>
            <a:ln>
              <a:solidFill>
                <a:schemeClr val="accent2">
                  <a:lumMod val="75000"/>
                </a:schemeClr>
              </a:solidFill>
            </a:ln>
          </c:spPr>
          <c:marker>
            <c:spPr>
              <a:solidFill>
                <a:schemeClr val="accent2">
                  <a:lumMod val="50000"/>
                </a:schemeClr>
              </a:solidFill>
            </c:spPr>
          </c:marker>
          <c:cat>
            <c:multiLvlStrRef>
              <c:f>'3. 기초 분석 자료'!$C$36:$V$37</c:f>
              <c:multiLvlStrCache>
                <c:ptCount val="20"/>
                <c:lvl>
                  <c:pt idx="0">
                    <c:v>1Q</c:v>
                  </c:pt>
                  <c:pt idx="1">
                    <c:v>2Q</c:v>
                  </c:pt>
                  <c:pt idx="2">
                    <c:v>3Q</c:v>
                  </c:pt>
                  <c:pt idx="3">
                    <c:v>4Q</c:v>
                  </c:pt>
                  <c:pt idx="4">
                    <c:v>1Q</c:v>
                  </c:pt>
                  <c:pt idx="5">
                    <c:v>2Q</c:v>
                  </c:pt>
                  <c:pt idx="6">
                    <c:v>3Q</c:v>
                  </c:pt>
                  <c:pt idx="7">
                    <c:v>4Q</c:v>
                  </c:pt>
                  <c:pt idx="8">
                    <c:v>1Q</c:v>
                  </c:pt>
                  <c:pt idx="9">
                    <c:v>2Q</c:v>
                  </c:pt>
                  <c:pt idx="10">
                    <c:v>3Q</c:v>
                  </c:pt>
                  <c:pt idx="11">
                    <c:v>4Q</c:v>
                  </c:pt>
                  <c:pt idx="12">
                    <c:v>1Q</c:v>
                  </c:pt>
                  <c:pt idx="13">
                    <c:v>2Q</c:v>
                  </c:pt>
                  <c:pt idx="14">
                    <c:v>3Q</c:v>
                  </c:pt>
                  <c:pt idx="15">
                    <c:v>4Q</c:v>
                  </c:pt>
                  <c:pt idx="16">
                    <c:v>1Q</c:v>
                  </c:pt>
                  <c:pt idx="17">
                    <c:v>2Q</c:v>
                  </c:pt>
                  <c:pt idx="18">
                    <c:v>3Q</c:v>
                  </c:pt>
                  <c:pt idx="19">
                    <c:v>4Q</c:v>
                  </c:pt>
                </c:lvl>
                <c:lvl>
                  <c:pt idx="0">
                    <c:v>1차년도</c:v>
                  </c:pt>
                  <c:pt idx="4">
                    <c:v>2차년도</c:v>
                  </c:pt>
                  <c:pt idx="8">
                    <c:v>3차년도</c:v>
                  </c:pt>
                  <c:pt idx="12">
                    <c:v>4차년도</c:v>
                  </c:pt>
                  <c:pt idx="16">
                    <c:v>5차년도</c:v>
                  </c:pt>
                </c:lvl>
              </c:multiLvlStrCache>
            </c:multiLvlStrRef>
          </c:cat>
          <c:val>
            <c:numRef>
              <c:f>'3. 기초 분석 자료'!$C$156:$V$156</c:f>
              <c:numCache>
                <c:formatCode>_(* #,##0_);_(* \(#,##0\);_(* "-"_);_(@_)</c:formatCode>
                <c:ptCount val="20"/>
                <c:pt idx="0">
                  <c:v>1500000000</c:v>
                </c:pt>
                <c:pt idx="1">
                  <c:v>1550000000</c:v>
                </c:pt>
                <c:pt idx="2">
                  <c:v>1700000000</c:v>
                </c:pt>
                <c:pt idx="3">
                  <c:v>1750000000</c:v>
                </c:pt>
                <c:pt idx="4">
                  <c:v>1850000000</c:v>
                </c:pt>
                <c:pt idx="5">
                  <c:v>2000000000</c:v>
                </c:pt>
                <c:pt idx="6">
                  <c:v>2100000000</c:v>
                </c:pt>
                <c:pt idx="7">
                  <c:v>2500000000</c:v>
                </c:pt>
                <c:pt idx="8">
                  <c:v>2550000000</c:v>
                </c:pt>
                <c:pt idx="9">
                  <c:v>2600000000</c:v>
                </c:pt>
                <c:pt idx="10">
                  <c:v>3000000000</c:v>
                </c:pt>
                <c:pt idx="11">
                  <c:v>3200000000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1-29F2-450F-A077-0939BAA2DF31}"/>
            </c:ext>
          </c:extLst>
        </c:ser>
        <c:dLbls>
          <c:showLegendKey val="0"/>
          <c:showVal val="0"/>
          <c:showCatName val="0"/>
          <c:showSerName val="0"/>
          <c:showPercent val="0"/>
          <c:showBubbleSize val="0"/>
        </c:dLbls>
        <c:marker val="1"/>
        <c:smooth val="0"/>
        <c:axId val="2138825424"/>
        <c:axId val="1"/>
      </c:lineChart>
      <c:catAx>
        <c:axId val="2138825424"/>
        <c:scaling>
          <c:orientation val="minMax"/>
        </c:scaling>
        <c:delete val="0"/>
        <c:axPos val="b"/>
        <c:numFmt formatCode="General" sourceLinked="1"/>
        <c:majorTickMark val="out"/>
        <c:minorTickMark val="none"/>
        <c:tickLblPos val="nextTo"/>
        <c:crossAx val="1"/>
        <c:crosses val="autoZero"/>
        <c:auto val="1"/>
        <c:lblAlgn val="ctr"/>
        <c:lblOffset val="100"/>
        <c:noMultiLvlLbl val="0"/>
      </c:catAx>
      <c:valAx>
        <c:axId val="1"/>
        <c:scaling>
          <c:orientation val="minMax"/>
        </c:scaling>
        <c:delete val="0"/>
        <c:axPos val="l"/>
        <c:majorGridlines/>
        <c:title>
          <c:tx>
            <c:rich>
              <a:bodyPr rot="0" vert="wordArtVert"/>
              <a:lstStyle/>
              <a:p>
                <a:pPr algn="ctr">
                  <a:defRPr sz="1100" b="0" i="0" u="none" strike="noStrike" baseline="0">
                    <a:solidFill>
                      <a:srgbClr val="000000"/>
                    </a:solidFill>
                    <a:latin typeface="맑은 고딕"/>
                    <a:ea typeface="맑은 고딕"/>
                    <a:cs typeface="맑은 고딕"/>
                  </a:defRPr>
                </a:pPr>
                <a:r>
                  <a:rPr lang="en-US" sz="1000" b="1" i="0" u="none" strike="noStrike" baseline="0">
                    <a:solidFill>
                      <a:srgbClr val="000000"/>
                    </a:solidFill>
                    <a:latin typeface="맑은 고딕"/>
                    <a:ea typeface="맑은 고딕"/>
                  </a:rPr>
                  <a:t>한국 광고비</a:t>
                </a:r>
              </a:p>
            </c:rich>
          </c:tx>
          <c:overlay val="0"/>
          <c:spPr>
            <a:solidFill>
              <a:schemeClr val="accent1">
                <a:lumMod val="20000"/>
                <a:lumOff val="80000"/>
              </a:schemeClr>
            </a:solidFill>
          </c:spPr>
        </c:title>
        <c:numFmt formatCode="_(* #,##0_);_(* \(#,##0\);_(* &quot;-&quot;_);_(@_)" sourceLinked="1"/>
        <c:majorTickMark val="out"/>
        <c:minorTickMark val="none"/>
        <c:tickLblPos val="nextTo"/>
        <c:crossAx val="2138825424"/>
        <c:crosses val="autoZero"/>
        <c:crossBetween val="between"/>
      </c:valAx>
      <c:catAx>
        <c:axId val="3"/>
        <c:scaling>
          <c:orientation val="minMax"/>
        </c:scaling>
        <c:delete val="1"/>
        <c:axPos val="b"/>
        <c:majorTickMark val="out"/>
        <c:minorTickMark val="none"/>
        <c:tickLblPos val="nextTo"/>
        <c:crossAx val="4"/>
        <c:crosses val="autoZero"/>
        <c:auto val="1"/>
        <c:lblAlgn val="ctr"/>
        <c:lblOffset val="100"/>
        <c:noMultiLvlLbl val="0"/>
      </c:catAx>
      <c:valAx>
        <c:axId val="4"/>
        <c:scaling>
          <c:orientation val="minMax"/>
        </c:scaling>
        <c:delete val="0"/>
        <c:axPos val="r"/>
        <c:title>
          <c:tx>
            <c:rich>
              <a:bodyPr rot="0" vert="wordArtVertRtl"/>
              <a:lstStyle/>
              <a:p>
                <a:pPr>
                  <a:defRPr/>
                </a:pPr>
                <a:r>
                  <a:rPr lang="ko-KR" altLang="en-US"/>
                  <a:t>판매량</a:t>
                </a:r>
              </a:p>
            </c:rich>
          </c:tx>
          <c:overlay val="0"/>
          <c:spPr>
            <a:solidFill>
              <a:schemeClr val="accent1">
                <a:lumMod val="20000"/>
                <a:lumOff val="80000"/>
              </a:schemeClr>
            </a:solidFill>
          </c:spPr>
        </c:title>
        <c:numFmt formatCode="_(* #,##0_);_(* \(#,##0\);_(* &quot;-&quot;_);_(@_)" sourceLinked="1"/>
        <c:majorTickMark val="out"/>
        <c:minorTickMark val="none"/>
        <c:tickLblPos val="nextTo"/>
        <c:crossAx val="3"/>
        <c:crosses val="max"/>
        <c:crossBetween val="between"/>
      </c:valAx>
    </c:plotArea>
    <c:legend>
      <c:legendPos val="r"/>
      <c:layout>
        <c:manualLayout>
          <c:xMode val="edge"/>
          <c:yMode val="edge"/>
          <c:x val="0.37565935040761472"/>
          <c:y val="0.92066569297805811"/>
          <c:w val="0.25778003700384594"/>
          <c:h val="6.3494185722624691E-2"/>
        </c:manualLayout>
      </c:layout>
      <c:overlay val="0"/>
    </c:legend>
    <c:plotVisOnly val="1"/>
    <c:dispBlanksAs val="gap"/>
    <c:showDLblsOverMax val="0"/>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맑은 고딕"/>
                <a:ea typeface="맑은 고딕"/>
                <a:cs typeface="맑은 고딕"/>
              </a:defRPr>
            </a:pPr>
            <a:r>
              <a:rPr lang="en-US" sz="1400" b="1" i="0" u="none" strike="noStrike" baseline="0">
                <a:solidFill>
                  <a:srgbClr val="000000"/>
                </a:solidFill>
                <a:latin typeface="맑은 고딕"/>
                <a:ea typeface="맑은 고딕"/>
              </a:rPr>
              <a:t>광고비와 판매량 변화 (미국)</a:t>
            </a:r>
          </a:p>
        </c:rich>
      </c:tx>
      <c:overlay val="0"/>
    </c:title>
    <c:autoTitleDeleted val="0"/>
    <c:plotArea>
      <c:layout/>
      <c:barChart>
        <c:barDir val="col"/>
        <c:grouping val="clustered"/>
        <c:varyColors val="0"/>
        <c:ser>
          <c:idx val="1"/>
          <c:order val="1"/>
          <c:tx>
            <c:v>판매량</c:v>
          </c:tx>
          <c:spPr>
            <a:solidFill>
              <a:srgbClr val="FFC000"/>
            </a:solidFill>
          </c:spPr>
          <c:invertIfNegative val="0"/>
          <c:val>
            <c:numRef>
              <c:f>'3. 기초 분석 자료'!$C$135:$V$135</c:f>
              <c:numCache>
                <c:formatCode>_(* #,##0_);_(* \(#,##0\);_(* "-"_);_(@_)</c:formatCode>
                <c:ptCount val="20"/>
                <c:pt idx="0">
                  <c:v>23963</c:v>
                </c:pt>
                <c:pt idx="1">
                  <c:v>32381</c:v>
                </c:pt>
                <c:pt idx="2">
                  <c:v>34739</c:v>
                </c:pt>
                <c:pt idx="3">
                  <c:v>39025</c:v>
                </c:pt>
                <c:pt idx="4">
                  <c:v>34074</c:v>
                </c:pt>
                <c:pt idx="5">
                  <c:v>39074</c:v>
                </c:pt>
                <c:pt idx="6">
                  <c:v>39354</c:v>
                </c:pt>
                <c:pt idx="7">
                  <c:v>40033</c:v>
                </c:pt>
                <c:pt idx="8">
                  <c:v>33564</c:v>
                </c:pt>
                <c:pt idx="9">
                  <c:v>36277</c:v>
                </c:pt>
                <c:pt idx="10">
                  <c:v>33702</c:v>
                </c:pt>
                <c:pt idx="11">
                  <c:v>32680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188C-483D-ADE1-6F26D7E5B412}"/>
            </c:ext>
          </c:extLst>
        </c:ser>
        <c:dLbls>
          <c:showLegendKey val="0"/>
          <c:showVal val="0"/>
          <c:showCatName val="0"/>
          <c:showSerName val="0"/>
          <c:showPercent val="0"/>
          <c:showBubbleSize val="0"/>
        </c:dLbls>
        <c:gapWidth val="150"/>
        <c:axId val="3"/>
        <c:axId val="4"/>
      </c:barChart>
      <c:lineChart>
        <c:grouping val="standard"/>
        <c:varyColors val="0"/>
        <c:ser>
          <c:idx val="0"/>
          <c:order val="0"/>
          <c:tx>
            <c:strRef>
              <c:f>'3. 기초 분석 자료'!$B$258</c:f>
              <c:strCache>
                <c:ptCount val="1"/>
                <c:pt idx="0">
                  <c:v>기본급(달러)</c:v>
                </c:pt>
              </c:strCache>
            </c:strRef>
          </c:tx>
          <c:spPr>
            <a:ln>
              <a:solidFill>
                <a:schemeClr val="accent2">
                  <a:lumMod val="75000"/>
                </a:schemeClr>
              </a:solidFill>
            </a:ln>
          </c:spPr>
          <c:marker>
            <c:spPr>
              <a:solidFill>
                <a:schemeClr val="accent2">
                  <a:lumMod val="50000"/>
                </a:schemeClr>
              </a:solidFill>
            </c:spPr>
          </c:marker>
          <c:cat>
            <c:multiLvlStrRef>
              <c:f>'3. 기초 분석 자료'!$C$36:$V$37</c:f>
              <c:multiLvlStrCache>
                <c:ptCount val="20"/>
                <c:lvl>
                  <c:pt idx="0">
                    <c:v>1Q</c:v>
                  </c:pt>
                  <c:pt idx="1">
                    <c:v>2Q</c:v>
                  </c:pt>
                  <c:pt idx="2">
                    <c:v>3Q</c:v>
                  </c:pt>
                  <c:pt idx="3">
                    <c:v>4Q</c:v>
                  </c:pt>
                  <c:pt idx="4">
                    <c:v>1Q</c:v>
                  </c:pt>
                  <c:pt idx="5">
                    <c:v>2Q</c:v>
                  </c:pt>
                  <c:pt idx="6">
                    <c:v>3Q</c:v>
                  </c:pt>
                  <c:pt idx="7">
                    <c:v>4Q</c:v>
                  </c:pt>
                  <c:pt idx="8">
                    <c:v>1Q</c:v>
                  </c:pt>
                  <c:pt idx="9">
                    <c:v>2Q</c:v>
                  </c:pt>
                  <c:pt idx="10">
                    <c:v>3Q</c:v>
                  </c:pt>
                  <c:pt idx="11">
                    <c:v>4Q</c:v>
                  </c:pt>
                  <c:pt idx="12">
                    <c:v>1Q</c:v>
                  </c:pt>
                  <c:pt idx="13">
                    <c:v>2Q</c:v>
                  </c:pt>
                  <c:pt idx="14">
                    <c:v>3Q</c:v>
                  </c:pt>
                  <c:pt idx="15">
                    <c:v>4Q</c:v>
                  </c:pt>
                  <c:pt idx="16">
                    <c:v>1Q</c:v>
                  </c:pt>
                  <c:pt idx="17">
                    <c:v>2Q</c:v>
                  </c:pt>
                  <c:pt idx="18">
                    <c:v>3Q</c:v>
                  </c:pt>
                  <c:pt idx="19">
                    <c:v>4Q</c:v>
                  </c:pt>
                </c:lvl>
                <c:lvl>
                  <c:pt idx="0">
                    <c:v>1차년도</c:v>
                  </c:pt>
                  <c:pt idx="4">
                    <c:v>2차년도</c:v>
                  </c:pt>
                  <c:pt idx="8">
                    <c:v>3차년도</c:v>
                  </c:pt>
                  <c:pt idx="12">
                    <c:v>4차년도</c:v>
                  </c:pt>
                  <c:pt idx="16">
                    <c:v>5차년도</c:v>
                  </c:pt>
                </c:lvl>
              </c:multiLvlStrCache>
            </c:multiLvlStrRef>
          </c:cat>
          <c:val>
            <c:numRef>
              <c:f>'3. 기초 분석 자료'!$C$158:$V$158</c:f>
              <c:numCache>
                <c:formatCode>_(* #,##0_);_(* \(#,##0\);_(* "-"_);_(@_)</c:formatCode>
                <c:ptCount val="20"/>
                <c:pt idx="0">
                  <c:v>800000</c:v>
                </c:pt>
                <c:pt idx="1">
                  <c:v>900000</c:v>
                </c:pt>
                <c:pt idx="2">
                  <c:v>1050000</c:v>
                </c:pt>
                <c:pt idx="3">
                  <c:v>1055000</c:v>
                </c:pt>
                <c:pt idx="4">
                  <c:v>1100000</c:v>
                </c:pt>
                <c:pt idx="5">
                  <c:v>1150000</c:v>
                </c:pt>
                <c:pt idx="6">
                  <c:v>1200000</c:v>
                </c:pt>
                <c:pt idx="7">
                  <c:v>1550000</c:v>
                </c:pt>
                <c:pt idx="8">
                  <c:v>1600000</c:v>
                </c:pt>
                <c:pt idx="9">
                  <c:v>1700000</c:v>
                </c:pt>
                <c:pt idx="10">
                  <c:v>1800000</c:v>
                </c:pt>
                <c:pt idx="11">
                  <c:v>1900000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1-188C-483D-ADE1-6F26D7E5B412}"/>
            </c:ext>
          </c:extLst>
        </c:ser>
        <c:dLbls>
          <c:showLegendKey val="0"/>
          <c:showVal val="0"/>
          <c:showCatName val="0"/>
          <c:showSerName val="0"/>
          <c:showPercent val="0"/>
          <c:showBubbleSize val="0"/>
        </c:dLbls>
        <c:marker val="1"/>
        <c:smooth val="0"/>
        <c:axId val="2138839824"/>
        <c:axId val="1"/>
      </c:lineChart>
      <c:catAx>
        <c:axId val="2138839824"/>
        <c:scaling>
          <c:orientation val="minMax"/>
        </c:scaling>
        <c:delete val="0"/>
        <c:axPos val="b"/>
        <c:numFmt formatCode="General" sourceLinked="1"/>
        <c:majorTickMark val="out"/>
        <c:minorTickMark val="none"/>
        <c:tickLblPos val="nextTo"/>
        <c:crossAx val="1"/>
        <c:crosses val="autoZero"/>
        <c:auto val="1"/>
        <c:lblAlgn val="ctr"/>
        <c:lblOffset val="100"/>
        <c:noMultiLvlLbl val="0"/>
      </c:catAx>
      <c:valAx>
        <c:axId val="1"/>
        <c:scaling>
          <c:orientation val="minMax"/>
          <c:max val="2000000"/>
          <c:min val="600000"/>
        </c:scaling>
        <c:delete val="0"/>
        <c:axPos val="l"/>
        <c:majorGridlines/>
        <c:title>
          <c:tx>
            <c:rich>
              <a:bodyPr rot="0" vert="wordArtVert"/>
              <a:lstStyle/>
              <a:p>
                <a:pPr algn="ctr">
                  <a:defRPr sz="1100" b="0" i="0" u="none" strike="noStrike" baseline="0">
                    <a:solidFill>
                      <a:srgbClr val="000000"/>
                    </a:solidFill>
                    <a:latin typeface="맑은 고딕"/>
                    <a:ea typeface="맑은 고딕"/>
                    <a:cs typeface="맑은 고딕"/>
                  </a:defRPr>
                </a:pPr>
                <a:r>
                  <a:rPr lang="en-US" sz="1000" b="1" i="0" u="none" strike="noStrike" baseline="0">
                    <a:solidFill>
                      <a:srgbClr val="000000"/>
                    </a:solidFill>
                    <a:latin typeface="맑은 고딕"/>
                    <a:ea typeface="맑은 고딕"/>
                  </a:rPr>
                  <a:t>미국 광고비</a:t>
                </a:r>
              </a:p>
            </c:rich>
          </c:tx>
          <c:overlay val="0"/>
          <c:spPr>
            <a:solidFill>
              <a:schemeClr val="accent1">
                <a:lumMod val="20000"/>
                <a:lumOff val="80000"/>
              </a:schemeClr>
            </a:solidFill>
          </c:spPr>
        </c:title>
        <c:numFmt formatCode="_(* #,##0_);_(* \(#,##0\);_(* &quot;-&quot;_);_(@_)" sourceLinked="1"/>
        <c:majorTickMark val="out"/>
        <c:minorTickMark val="none"/>
        <c:tickLblPos val="nextTo"/>
        <c:crossAx val="2138839824"/>
        <c:crosses val="autoZero"/>
        <c:crossBetween val="between"/>
      </c:valAx>
      <c:catAx>
        <c:axId val="3"/>
        <c:scaling>
          <c:orientation val="minMax"/>
        </c:scaling>
        <c:delete val="1"/>
        <c:axPos val="b"/>
        <c:majorTickMark val="out"/>
        <c:minorTickMark val="none"/>
        <c:tickLblPos val="nextTo"/>
        <c:crossAx val="4"/>
        <c:crosses val="autoZero"/>
        <c:auto val="1"/>
        <c:lblAlgn val="ctr"/>
        <c:lblOffset val="100"/>
        <c:noMultiLvlLbl val="0"/>
      </c:catAx>
      <c:valAx>
        <c:axId val="4"/>
        <c:scaling>
          <c:orientation val="minMax"/>
        </c:scaling>
        <c:delete val="0"/>
        <c:axPos val="r"/>
        <c:title>
          <c:tx>
            <c:rich>
              <a:bodyPr rot="0" vert="wordArtVertRtl"/>
              <a:lstStyle/>
              <a:p>
                <a:pPr>
                  <a:defRPr/>
                </a:pPr>
                <a:r>
                  <a:rPr lang="ko-KR" altLang="en-US"/>
                  <a:t>판매량</a:t>
                </a:r>
              </a:p>
            </c:rich>
          </c:tx>
          <c:overlay val="0"/>
          <c:spPr>
            <a:solidFill>
              <a:schemeClr val="accent1">
                <a:lumMod val="20000"/>
                <a:lumOff val="80000"/>
              </a:schemeClr>
            </a:solidFill>
          </c:spPr>
        </c:title>
        <c:numFmt formatCode="_(* #,##0_);_(* \(#,##0\);_(* &quot;-&quot;_);_(@_)" sourceLinked="1"/>
        <c:majorTickMark val="out"/>
        <c:minorTickMark val="none"/>
        <c:tickLblPos val="nextTo"/>
        <c:crossAx val="3"/>
        <c:crosses val="max"/>
        <c:crossBetween val="between"/>
      </c:valAx>
    </c:plotArea>
    <c:legend>
      <c:legendPos val="r"/>
      <c:layout>
        <c:manualLayout>
          <c:xMode val="edge"/>
          <c:yMode val="edge"/>
          <c:x val="0.362236814222899"/>
          <c:y val="0.91802010190628203"/>
          <c:w val="0.27814612520686888"/>
          <c:h val="6.3494185722624691E-2"/>
        </c:manualLayout>
      </c:layout>
      <c:overlay val="0"/>
    </c:legend>
    <c:plotVisOnly val="1"/>
    <c:dispBlanksAs val="gap"/>
    <c:showDLblsOverMax val="0"/>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맑은 고딕"/>
                <a:ea typeface="맑은 고딕"/>
                <a:cs typeface="맑은 고딕"/>
              </a:defRPr>
            </a:pPr>
            <a:r>
              <a:rPr lang="en-US" sz="1400" b="1" i="0" u="none" strike="noStrike" baseline="0">
                <a:solidFill>
                  <a:srgbClr val="000000"/>
                </a:solidFill>
                <a:latin typeface="맑은 고딕"/>
                <a:ea typeface="맑은 고딕"/>
              </a:rPr>
              <a:t>광고비와 판매량 변화 (중국)</a:t>
            </a:r>
          </a:p>
        </c:rich>
      </c:tx>
      <c:overlay val="0"/>
    </c:title>
    <c:autoTitleDeleted val="0"/>
    <c:plotArea>
      <c:layout/>
      <c:barChart>
        <c:barDir val="col"/>
        <c:grouping val="clustered"/>
        <c:varyColors val="0"/>
        <c:ser>
          <c:idx val="1"/>
          <c:order val="1"/>
          <c:tx>
            <c:v>판매량</c:v>
          </c:tx>
          <c:spPr>
            <a:solidFill>
              <a:schemeClr val="accent6">
                <a:lumMod val="50000"/>
              </a:schemeClr>
            </a:solidFill>
          </c:spPr>
          <c:invertIfNegative val="0"/>
          <c:val>
            <c:numRef>
              <c:f>'3. 기초 분석 자료'!$C$137:$V$137</c:f>
              <c:numCache>
                <c:formatCode>_(* #,##0_);_(* \(#,##0\);_(* "-"_);_(@_)</c:formatCode>
                <c:ptCount val="20"/>
                <c:pt idx="0">
                  <c:v>5497</c:v>
                </c:pt>
                <c:pt idx="1">
                  <c:v>13894</c:v>
                </c:pt>
                <c:pt idx="2">
                  <c:v>10568</c:v>
                </c:pt>
                <c:pt idx="3">
                  <c:v>13227</c:v>
                </c:pt>
                <c:pt idx="4">
                  <c:v>4700</c:v>
                </c:pt>
                <c:pt idx="5">
                  <c:v>15478</c:v>
                </c:pt>
                <c:pt idx="6">
                  <c:v>15275</c:v>
                </c:pt>
                <c:pt idx="7">
                  <c:v>21414</c:v>
                </c:pt>
                <c:pt idx="8">
                  <c:v>17504</c:v>
                </c:pt>
                <c:pt idx="9">
                  <c:v>28354</c:v>
                </c:pt>
                <c:pt idx="10">
                  <c:v>28320</c:v>
                </c:pt>
                <c:pt idx="11">
                  <c:v>30500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37EC-43A8-8351-60A7DF435495}"/>
            </c:ext>
          </c:extLst>
        </c:ser>
        <c:dLbls>
          <c:showLegendKey val="0"/>
          <c:showVal val="0"/>
          <c:showCatName val="0"/>
          <c:showSerName val="0"/>
          <c:showPercent val="0"/>
          <c:showBubbleSize val="0"/>
        </c:dLbls>
        <c:gapWidth val="150"/>
        <c:axId val="3"/>
        <c:axId val="4"/>
      </c:barChart>
      <c:lineChart>
        <c:grouping val="standard"/>
        <c:varyColors val="0"/>
        <c:ser>
          <c:idx val="0"/>
          <c:order val="0"/>
          <c:tx>
            <c:strRef>
              <c:f>'3. 기초 분석 자료'!$B$160</c:f>
              <c:strCache>
                <c:ptCount val="1"/>
                <c:pt idx="0">
                  <c:v>광고비(위안)</c:v>
                </c:pt>
              </c:strCache>
            </c:strRef>
          </c:tx>
          <c:spPr>
            <a:ln>
              <a:solidFill>
                <a:schemeClr val="accent2">
                  <a:lumMod val="75000"/>
                </a:schemeClr>
              </a:solidFill>
            </a:ln>
          </c:spPr>
          <c:marker>
            <c:spPr>
              <a:solidFill>
                <a:schemeClr val="accent2">
                  <a:lumMod val="50000"/>
                </a:schemeClr>
              </a:solidFill>
            </c:spPr>
          </c:marker>
          <c:cat>
            <c:multiLvlStrRef>
              <c:f>'3. 기초 분석 자료'!$C$36:$V$37</c:f>
              <c:multiLvlStrCache>
                <c:ptCount val="20"/>
                <c:lvl>
                  <c:pt idx="0">
                    <c:v>1Q</c:v>
                  </c:pt>
                  <c:pt idx="1">
                    <c:v>2Q</c:v>
                  </c:pt>
                  <c:pt idx="2">
                    <c:v>3Q</c:v>
                  </c:pt>
                  <c:pt idx="3">
                    <c:v>4Q</c:v>
                  </c:pt>
                  <c:pt idx="4">
                    <c:v>1Q</c:v>
                  </c:pt>
                  <c:pt idx="5">
                    <c:v>2Q</c:v>
                  </c:pt>
                  <c:pt idx="6">
                    <c:v>3Q</c:v>
                  </c:pt>
                  <c:pt idx="7">
                    <c:v>4Q</c:v>
                  </c:pt>
                  <c:pt idx="8">
                    <c:v>1Q</c:v>
                  </c:pt>
                  <c:pt idx="9">
                    <c:v>2Q</c:v>
                  </c:pt>
                  <c:pt idx="10">
                    <c:v>3Q</c:v>
                  </c:pt>
                  <c:pt idx="11">
                    <c:v>4Q</c:v>
                  </c:pt>
                  <c:pt idx="12">
                    <c:v>1Q</c:v>
                  </c:pt>
                  <c:pt idx="13">
                    <c:v>2Q</c:v>
                  </c:pt>
                  <c:pt idx="14">
                    <c:v>3Q</c:v>
                  </c:pt>
                  <c:pt idx="15">
                    <c:v>4Q</c:v>
                  </c:pt>
                  <c:pt idx="16">
                    <c:v>1Q</c:v>
                  </c:pt>
                  <c:pt idx="17">
                    <c:v>2Q</c:v>
                  </c:pt>
                  <c:pt idx="18">
                    <c:v>3Q</c:v>
                  </c:pt>
                  <c:pt idx="19">
                    <c:v>4Q</c:v>
                  </c:pt>
                </c:lvl>
                <c:lvl>
                  <c:pt idx="0">
                    <c:v>1차년도</c:v>
                  </c:pt>
                  <c:pt idx="4">
                    <c:v>2차년도</c:v>
                  </c:pt>
                  <c:pt idx="8">
                    <c:v>3차년도</c:v>
                  </c:pt>
                  <c:pt idx="12">
                    <c:v>4차년도</c:v>
                  </c:pt>
                  <c:pt idx="16">
                    <c:v>5차년도</c:v>
                  </c:pt>
                </c:lvl>
              </c:multiLvlStrCache>
            </c:multiLvlStrRef>
          </c:cat>
          <c:val>
            <c:numRef>
              <c:f>'3. 기초 분석 자료'!$C$160:$V$160</c:f>
              <c:numCache>
                <c:formatCode>_(* #,##0_);_(* \(#,##0\);_(* "-"_);_(@_)</c:formatCode>
                <c:ptCount val="20"/>
                <c:pt idx="0">
                  <c:v>5500000</c:v>
                </c:pt>
                <c:pt idx="1">
                  <c:v>6000000</c:v>
                </c:pt>
                <c:pt idx="2">
                  <c:v>6300000</c:v>
                </c:pt>
                <c:pt idx="3">
                  <c:v>6500000</c:v>
                </c:pt>
                <c:pt idx="4">
                  <c:v>7000000</c:v>
                </c:pt>
                <c:pt idx="5">
                  <c:v>9000000</c:v>
                </c:pt>
                <c:pt idx="6">
                  <c:v>9500000</c:v>
                </c:pt>
                <c:pt idx="7">
                  <c:v>10000000</c:v>
                </c:pt>
                <c:pt idx="8">
                  <c:v>10500000</c:v>
                </c:pt>
                <c:pt idx="9">
                  <c:v>11000000</c:v>
                </c:pt>
                <c:pt idx="10">
                  <c:v>11500000</c:v>
                </c:pt>
                <c:pt idx="11">
                  <c:v>12000000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1-37EC-43A8-8351-60A7DF435495}"/>
            </c:ext>
          </c:extLst>
        </c:ser>
        <c:dLbls>
          <c:showLegendKey val="0"/>
          <c:showVal val="0"/>
          <c:showCatName val="0"/>
          <c:showSerName val="0"/>
          <c:showPercent val="0"/>
          <c:showBubbleSize val="0"/>
        </c:dLbls>
        <c:marker val="1"/>
        <c:smooth val="0"/>
        <c:axId val="2138840224"/>
        <c:axId val="1"/>
      </c:lineChart>
      <c:catAx>
        <c:axId val="2138840224"/>
        <c:scaling>
          <c:orientation val="minMax"/>
        </c:scaling>
        <c:delete val="0"/>
        <c:axPos val="b"/>
        <c:numFmt formatCode="General" sourceLinked="1"/>
        <c:majorTickMark val="out"/>
        <c:minorTickMark val="none"/>
        <c:tickLblPos val="nextTo"/>
        <c:crossAx val="1"/>
        <c:crosses val="autoZero"/>
        <c:auto val="1"/>
        <c:lblAlgn val="ctr"/>
        <c:lblOffset val="100"/>
        <c:noMultiLvlLbl val="0"/>
      </c:catAx>
      <c:valAx>
        <c:axId val="1"/>
        <c:scaling>
          <c:orientation val="minMax"/>
        </c:scaling>
        <c:delete val="0"/>
        <c:axPos val="l"/>
        <c:majorGridlines/>
        <c:title>
          <c:tx>
            <c:rich>
              <a:bodyPr rot="0" vert="wordArtVert"/>
              <a:lstStyle/>
              <a:p>
                <a:pPr algn="ctr">
                  <a:defRPr sz="1100" b="0" i="0" u="none" strike="noStrike" baseline="0">
                    <a:solidFill>
                      <a:srgbClr val="000000"/>
                    </a:solidFill>
                    <a:latin typeface="맑은 고딕"/>
                    <a:ea typeface="맑은 고딕"/>
                    <a:cs typeface="맑은 고딕"/>
                  </a:defRPr>
                </a:pPr>
                <a:r>
                  <a:rPr lang="en-US" sz="1000" b="1" i="0" u="none" strike="noStrike" baseline="0">
                    <a:solidFill>
                      <a:srgbClr val="000000"/>
                    </a:solidFill>
                    <a:latin typeface="맑은 고딕"/>
                    <a:ea typeface="맑은 고딕"/>
                  </a:rPr>
                  <a:t>중국 광고비</a:t>
                </a:r>
              </a:p>
            </c:rich>
          </c:tx>
          <c:overlay val="0"/>
          <c:spPr>
            <a:solidFill>
              <a:schemeClr val="accent1">
                <a:lumMod val="20000"/>
                <a:lumOff val="80000"/>
              </a:schemeClr>
            </a:solidFill>
          </c:spPr>
        </c:title>
        <c:numFmt formatCode="_(* #,##0_);_(* \(#,##0\);_(* &quot;-&quot;_);_(@_)" sourceLinked="1"/>
        <c:majorTickMark val="out"/>
        <c:minorTickMark val="none"/>
        <c:tickLblPos val="nextTo"/>
        <c:crossAx val="2138840224"/>
        <c:crosses val="autoZero"/>
        <c:crossBetween val="between"/>
      </c:valAx>
      <c:catAx>
        <c:axId val="3"/>
        <c:scaling>
          <c:orientation val="minMax"/>
        </c:scaling>
        <c:delete val="1"/>
        <c:axPos val="b"/>
        <c:majorTickMark val="out"/>
        <c:minorTickMark val="none"/>
        <c:tickLblPos val="nextTo"/>
        <c:crossAx val="4"/>
        <c:crosses val="autoZero"/>
        <c:auto val="1"/>
        <c:lblAlgn val="ctr"/>
        <c:lblOffset val="100"/>
        <c:noMultiLvlLbl val="0"/>
      </c:catAx>
      <c:valAx>
        <c:axId val="4"/>
        <c:scaling>
          <c:orientation val="minMax"/>
        </c:scaling>
        <c:delete val="0"/>
        <c:axPos val="r"/>
        <c:title>
          <c:tx>
            <c:rich>
              <a:bodyPr rot="0" vert="wordArtVertRtl"/>
              <a:lstStyle/>
              <a:p>
                <a:pPr>
                  <a:defRPr/>
                </a:pPr>
                <a:r>
                  <a:rPr lang="ko-KR" altLang="en-US"/>
                  <a:t>판매량</a:t>
                </a:r>
              </a:p>
            </c:rich>
          </c:tx>
          <c:overlay val="0"/>
          <c:spPr>
            <a:solidFill>
              <a:schemeClr val="accent1">
                <a:lumMod val="20000"/>
                <a:lumOff val="80000"/>
              </a:schemeClr>
            </a:solidFill>
          </c:spPr>
        </c:title>
        <c:numFmt formatCode="_(* #,##0_);_(* \(#,##0\);_(* &quot;-&quot;_);_(@_)" sourceLinked="1"/>
        <c:majorTickMark val="out"/>
        <c:minorTickMark val="none"/>
        <c:tickLblPos val="nextTo"/>
        <c:crossAx val="3"/>
        <c:crosses val="max"/>
        <c:crossBetween val="between"/>
      </c:valAx>
    </c:plotArea>
    <c:legend>
      <c:legendPos val="r"/>
      <c:layout>
        <c:manualLayout>
          <c:xMode val="edge"/>
          <c:yMode val="edge"/>
          <c:x val="0.36676301097407998"/>
          <c:y val="0.91802010190628203"/>
          <c:w val="0.27285137494611489"/>
          <c:h val="6.3494185722624691E-2"/>
        </c:manualLayout>
      </c:layout>
      <c:overlay val="0"/>
    </c:legend>
    <c:plotVisOnly val="1"/>
    <c:dispBlanksAs val="gap"/>
    <c:showDLblsOverMax val="0"/>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맑은 고딕"/>
                <a:ea typeface="맑은 고딕"/>
                <a:cs typeface="맑은 고딕"/>
              </a:defRPr>
            </a:pPr>
            <a:r>
              <a:rPr lang="en-US" sz="1400" b="1" i="0" u="none" strike="noStrike" baseline="0">
                <a:solidFill>
                  <a:srgbClr val="000000"/>
                </a:solidFill>
                <a:latin typeface="맑은 고딕"/>
                <a:ea typeface="맑은 고딕"/>
              </a:rPr>
              <a:t>기본급과 판매량 변화 (한국)</a:t>
            </a:r>
          </a:p>
        </c:rich>
      </c:tx>
      <c:overlay val="0"/>
    </c:title>
    <c:autoTitleDeleted val="0"/>
    <c:plotArea>
      <c:layout/>
      <c:barChart>
        <c:barDir val="col"/>
        <c:grouping val="clustered"/>
        <c:varyColors val="0"/>
        <c:ser>
          <c:idx val="1"/>
          <c:order val="1"/>
          <c:tx>
            <c:v>판매량</c:v>
          </c:tx>
          <c:spPr>
            <a:solidFill>
              <a:schemeClr val="accent1">
                <a:lumMod val="75000"/>
              </a:schemeClr>
            </a:solidFill>
          </c:spPr>
          <c:invertIfNegative val="0"/>
          <c:val>
            <c:numRef>
              <c:f>'3. 기초 분석 자료'!$C$157:$V$157</c:f>
              <c:numCache>
                <c:formatCode>_(* #,##0_);_(* \(#,##0\);_(* "-"_);_(@_)</c:formatCode>
                <c:ptCount val="20"/>
                <c:pt idx="0">
                  <c:v>38739</c:v>
                </c:pt>
                <c:pt idx="1">
                  <c:v>49455</c:v>
                </c:pt>
                <c:pt idx="2">
                  <c:v>46095</c:v>
                </c:pt>
                <c:pt idx="3">
                  <c:v>53923</c:v>
                </c:pt>
                <c:pt idx="4">
                  <c:v>38959</c:v>
                </c:pt>
                <c:pt idx="5">
                  <c:v>59451</c:v>
                </c:pt>
                <c:pt idx="6">
                  <c:v>53746</c:v>
                </c:pt>
                <c:pt idx="7">
                  <c:v>73267</c:v>
                </c:pt>
                <c:pt idx="8">
                  <c:v>65552</c:v>
                </c:pt>
                <c:pt idx="9">
                  <c:v>80232</c:v>
                </c:pt>
                <c:pt idx="10">
                  <c:v>69981</c:v>
                </c:pt>
                <c:pt idx="11">
                  <c:v>66680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60ED-4D3C-BAA7-7095B86FADAF}"/>
            </c:ext>
          </c:extLst>
        </c:ser>
        <c:dLbls>
          <c:showLegendKey val="0"/>
          <c:showVal val="0"/>
          <c:showCatName val="0"/>
          <c:showSerName val="0"/>
          <c:showPercent val="0"/>
          <c:showBubbleSize val="0"/>
        </c:dLbls>
        <c:gapWidth val="150"/>
        <c:axId val="3"/>
        <c:axId val="4"/>
      </c:barChart>
      <c:lineChart>
        <c:grouping val="standard"/>
        <c:varyColors val="0"/>
        <c:ser>
          <c:idx val="0"/>
          <c:order val="0"/>
          <c:tx>
            <c:strRef>
              <c:f>'3. 기초 분석 자료'!$B$256</c:f>
              <c:strCache>
                <c:ptCount val="1"/>
                <c:pt idx="0">
                  <c:v>기본급(원)</c:v>
                </c:pt>
              </c:strCache>
            </c:strRef>
          </c:tx>
          <c:spPr>
            <a:ln>
              <a:solidFill>
                <a:schemeClr val="accent2">
                  <a:lumMod val="75000"/>
                </a:schemeClr>
              </a:solidFill>
            </a:ln>
          </c:spPr>
          <c:marker>
            <c:spPr>
              <a:solidFill>
                <a:schemeClr val="accent2">
                  <a:lumMod val="50000"/>
                </a:schemeClr>
              </a:solidFill>
            </c:spPr>
          </c:marker>
          <c:cat>
            <c:multiLvlStrRef>
              <c:f>'3. 기초 분석 자료'!$C$36:$V$37</c:f>
              <c:multiLvlStrCache>
                <c:ptCount val="20"/>
                <c:lvl>
                  <c:pt idx="0">
                    <c:v>1Q</c:v>
                  </c:pt>
                  <c:pt idx="1">
                    <c:v>2Q</c:v>
                  </c:pt>
                  <c:pt idx="2">
                    <c:v>3Q</c:v>
                  </c:pt>
                  <c:pt idx="3">
                    <c:v>4Q</c:v>
                  </c:pt>
                  <c:pt idx="4">
                    <c:v>1Q</c:v>
                  </c:pt>
                  <c:pt idx="5">
                    <c:v>2Q</c:v>
                  </c:pt>
                  <c:pt idx="6">
                    <c:v>3Q</c:v>
                  </c:pt>
                  <c:pt idx="7">
                    <c:v>4Q</c:v>
                  </c:pt>
                  <c:pt idx="8">
                    <c:v>1Q</c:v>
                  </c:pt>
                  <c:pt idx="9">
                    <c:v>2Q</c:v>
                  </c:pt>
                  <c:pt idx="10">
                    <c:v>3Q</c:v>
                  </c:pt>
                  <c:pt idx="11">
                    <c:v>4Q</c:v>
                  </c:pt>
                  <c:pt idx="12">
                    <c:v>1Q</c:v>
                  </c:pt>
                  <c:pt idx="13">
                    <c:v>2Q</c:v>
                  </c:pt>
                  <c:pt idx="14">
                    <c:v>3Q</c:v>
                  </c:pt>
                  <c:pt idx="15">
                    <c:v>4Q</c:v>
                  </c:pt>
                  <c:pt idx="16">
                    <c:v>1Q</c:v>
                  </c:pt>
                  <c:pt idx="17">
                    <c:v>2Q</c:v>
                  </c:pt>
                  <c:pt idx="18">
                    <c:v>3Q</c:v>
                  </c:pt>
                  <c:pt idx="19">
                    <c:v>4Q</c:v>
                  </c:pt>
                </c:lvl>
                <c:lvl>
                  <c:pt idx="0">
                    <c:v>1차년도</c:v>
                  </c:pt>
                  <c:pt idx="4">
                    <c:v>2차년도</c:v>
                  </c:pt>
                  <c:pt idx="8">
                    <c:v>3차년도</c:v>
                  </c:pt>
                  <c:pt idx="12">
                    <c:v>4차년도</c:v>
                  </c:pt>
                  <c:pt idx="16">
                    <c:v>5차년도</c:v>
                  </c:pt>
                </c:lvl>
              </c:multiLvlStrCache>
            </c:multiLvlStrRef>
          </c:cat>
          <c:val>
            <c:numRef>
              <c:f>'3. 기초 분석 자료'!$C$256:$V$256</c:f>
              <c:numCache>
                <c:formatCode>_(* #,##0_);_(* \(#,##0\);_(* "-"_);_(@_)</c:formatCode>
                <c:ptCount val="20"/>
                <c:pt idx="0">
                  <c:v>5400000</c:v>
                </c:pt>
                <c:pt idx="1">
                  <c:v>5580000</c:v>
                </c:pt>
                <c:pt idx="2">
                  <c:v>5670000</c:v>
                </c:pt>
                <c:pt idx="3">
                  <c:v>5760000</c:v>
                </c:pt>
                <c:pt idx="4">
                  <c:v>5940000</c:v>
                </c:pt>
                <c:pt idx="5">
                  <c:v>6210000</c:v>
                </c:pt>
                <c:pt idx="6">
                  <c:v>6390000</c:v>
                </c:pt>
                <c:pt idx="7">
                  <c:v>6516000</c:v>
                </c:pt>
                <c:pt idx="8">
                  <c:v>6714000</c:v>
                </c:pt>
                <c:pt idx="9">
                  <c:v>6840000</c:v>
                </c:pt>
                <c:pt idx="10">
                  <c:v>7164000</c:v>
                </c:pt>
                <c:pt idx="11">
                  <c:v>8000000</c:v>
                </c:pt>
                <c:pt idx="12" formatCode="#,###,">
                  <c:v>0</c:v>
                </c:pt>
                <c:pt idx="13" formatCode="#,###,">
                  <c:v>0</c:v>
                </c:pt>
                <c:pt idx="14" formatCode="#,###,">
                  <c:v>0</c:v>
                </c:pt>
                <c:pt idx="15" formatCode="#,###,">
                  <c:v>0</c:v>
                </c:pt>
                <c:pt idx="16" formatCode="#,###,">
                  <c:v>0</c:v>
                </c:pt>
                <c:pt idx="17" formatCode="#,###,">
                  <c:v>0</c:v>
                </c:pt>
                <c:pt idx="18" formatCode="#,###,">
                  <c:v>0</c:v>
                </c:pt>
                <c:pt idx="19" formatCode="#,###,">
                  <c:v>0</c:v>
                </c:pt>
              </c:numCache>
            </c:numRef>
          </c:val>
          <c:smooth val="0"/>
          <c:extLst>
            <c:ext xmlns:c16="http://schemas.microsoft.com/office/drawing/2014/chart" uri="{C3380CC4-5D6E-409C-BE32-E72D297353CC}">
              <c16:uniqueId val="{00000001-60ED-4D3C-BAA7-7095B86FADAF}"/>
            </c:ext>
          </c:extLst>
        </c:ser>
        <c:dLbls>
          <c:showLegendKey val="0"/>
          <c:showVal val="0"/>
          <c:showCatName val="0"/>
          <c:showSerName val="0"/>
          <c:showPercent val="0"/>
          <c:showBubbleSize val="0"/>
        </c:dLbls>
        <c:marker val="1"/>
        <c:smooth val="0"/>
        <c:axId val="2145425264"/>
        <c:axId val="1"/>
      </c:lineChart>
      <c:catAx>
        <c:axId val="2145425264"/>
        <c:scaling>
          <c:orientation val="minMax"/>
        </c:scaling>
        <c:delete val="0"/>
        <c:axPos val="b"/>
        <c:numFmt formatCode="General" sourceLinked="1"/>
        <c:majorTickMark val="out"/>
        <c:minorTickMark val="none"/>
        <c:tickLblPos val="nextTo"/>
        <c:crossAx val="1"/>
        <c:crosses val="autoZero"/>
        <c:auto val="1"/>
        <c:lblAlgn val="ctr"/>
        <c:lblOffset val="100"/>
        <c:noMultiLvlLbl val="0"/>
      </c:catAx>
      <c:valAx>
        <c:axId val="1"/>
        <c:scaling>
          <c:orientation val="minMax"/>
          <c:min val="2500000"/>
        </c:scaling>
        <c:delete val="0"/>
        <c:axPos val="l"/>
        <c:majorGridlines/>
        <c:title>
          <c:tx>
            <c:rich>
              <a:bodyPr rot="0" vert="wordArtVert"/>
              <a:lstStyle/>
              <a:p>
                <a:pPr algn="ctr">
                  <a:defRPr sz="1100" b="0" i="0" u="none" strike="noStrike" baseline="0">
                    <a:solidFill>
                      <a:srgbClr val="000000"/>
                    </a:solidFill>
                    <a:latin typeface="맑은 고딕"/>
                    <a:ea typeface="맑은 고딕"/>
                    <a:cs typeface="맑은 고딕"/>
                  </a:defRPr>
                </a:pPr>
                <a:r>
                  <a:rPr lang="en-US" sz="1000" b="1" i="0" u="none" strike="noStrike" baseline="0">
                    <a:solidFill>
                      <a:srgbClr val="000000"/>
                    </a:solidFill>
                    <a:latin typeface="맑은 고딕"/>
                    <a:ea typeface="맑은 고딕"/>
                  </a:rPr>
                  <a:t>한국 기본급</a:t>
                </a:r>
              </a:p>
            </c:rich>
          </c:tx>
          <c:overlay val="0"/>
          <c:spPr>
            <a:solidFill>
              <a:schemeClr val="accent1">
                <a:lumMod val="20000"/>
                <a:lumOff val="80000"/>
              </a:schemeClr>
            </a:solidFill>
          </c:spPr>
        </c:title>
        <c:numFmt formatCode="_(* #,##0_);_(* \(#,##0\);_(* &quot;-&quot;_);_(@_)" sourceLinked="1"/>
        <c:majorTickMark val="out"/>
        <c:minorTickMark val="none"/>
        <c:tickLblPos val="nextTo"/>
        <c:crossAx val="2145425264"/>
        <c:crosses val="autoZero"/>
        <c:crossBetween val="between"/>
      </c:valAx>
      <c:catAx>
        <c:axId val="3"/>
        <c:scaling>
          <c:orientation val="minMax"/>
        </c:scaling>
        <c:delete val="1"/>
        <c:axPos val="b"/>
        <c:majorTickMark val="out"/>
        <c:minorTickMark val="none"/>
        <c:tickLblPos val="nextTo"/>
        <c:crossAx val="4"/>
        <c:crosses val="autoZero"/>
        <c:auto val="1"/>
        <c:lblAlgn val="ctr"/>
        <c:lblOffset val="100"/>
        <c:noMultiLvlLbl val="0"/>
      </c:catAx>
      <c:valAx>
        <c:axId val="4"/>
        <c:scaling>
          <c:orientation val="minMax"/>
        </c:scaling>
        <c:delete val="0"/>
        <c:axPos val="r"/>
        <c:title>
          <c:tx>
            <c:rich>
              <a:bodyPr rot="0" vert="wordArtVert"/>
              <a:lstStyle/>
              <a:p>
                <a:pPr algn="ctr">
                  <a:defRPr sz="1000" b="0" i="0" u="none" strike="noStrike" baseline="0">
                    <a:solidFill>
                      <a:srgbClr val="000000"/>
                    </a:solidFill>
                    <a:latin typeface="맑은 고딕"/>
                    <a:ea typeface="맑은 고딕"/>
                    <a:cs typeface="맑은 고딕"/>
                  </a:defRPr>
                </a:pPr>
                <a:r>
                  <a:rPr lang="en-US" sz="1000" b="1" i="0" u="none" strike="noStrike" baseline="0">
                    <a:solidFill>
                      <a:srgbClr val="000000"/>
                    </a:solidFill>
                    <a:latin typeface="맑은 고딕"/>
                    <a:ea typeface="맑은 고딕"/>
                  </a:rPr>
                  <a:t>한국 판매량</a:t>
                </a:r>
              </a:p>
            </c:rich>
          </c:tx>
          <c:overlay val="0"/>
          <c:spPr>
            <a:solidFill>
              <a:schemeClr val="accent1">
                <a:lumMod val="20000"/>
                <a:lumOff val="80000"/>
              </a:schemeClr>
            </a:solidFill>
          </c:spPr>
        </c:title>
        <c:numFmt formatCode="_(* #,##0_);_(* \(#,##0\);_(* &quot;-&quot;_);_(@_)" sourceLinked="1"/>
        <c:majorTickMark val="out"/>
        <c:minorTickMark val="none"/>
        <c:tickLblPos val="nextTo"/>
        <c:crossAx val="3"/>
        <c:crosses val="max"/>
        <c:crossBetween val="between"/>
        <c:majorUnit val="10000"/>
      </c:valAx>
    </c:plotArea>
    <c:legend>
      <c:legendPos val="r"/>
      <c:layout>
        <c:manualLayout>
          <c:xMode val="edge"/>
          <c:yMode val="edge"/>
          <c:x val="0.37162443454095334"/>
          <c:y val="0.91575943520340786"/>
          <c:w val="0.2516207108871038"/>
          <c:h val="6.7417872530312228E-2"/>
        </c:manualLayout>
      </c:layout>
      <c:overlay val="0"/>
    </c:legend>
    <c:plotVisOnly val="1"/>
    <c:dispBlanksAs val="gap"/>
    <c:showDLblsOverMax val="0"/>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맑은 고딕"/>
                <a:ea typeface="맑은 고딕"/>
                <a:cs typeface="맑은 고딕"/>
              </a:defRPr>
            </a:pPr>
            <a:r>
              <a:rPr lang="en-US" sz="1400" b="1" i="0" u="none" strike="noStrike" baseline="0">
                <a:solidFill>
                  <a:srgbClr val="000000"/>
                </a:solidFill>
                <a:latin typeface="맑은 고딕"/>
                <a:ea typeface="맑은 고딕"/>
              </a:rPr>
              <a:t>기본급과 판매량 변화 (미국)</a:t>
            </a:r>
          </a:p>
        </c:rich>
      </c:tx>
      <c:overlay val="0"/>
    </c:title>
    <c:autoTitleDeleted val="0"/>
    <c:plotArea>
      <c:layout/>
      <c:barChart>
        <c:barDir val="col"/>
        <c:grouping val="clustered"/>
        <c:varyColors val="0"/>
        <c:ser>
          <c:idx val="1"/>
          <c:order val="1"/>
          <c:tx>
            <c:v>판매량</c:v>
          </c:tx>
          <c:spPr>
            <a:solidFill>
              <a:srgbClr val="FFC000"/>
            </a:solidFill>
          </c:spPr>
          <c:invertIfNegative val="0"/>
          <c:val>
            <c:numRef>
              <c:f>'3. 기초 분석 자료'!$C$260:$V$260</c:f>
              <c:numCache>
                <c:formatCode>_(* #,##0_);_(* \(#,##0\);_(* "-"_);_(@_)</c:formatCode>
                <c:ptCount val="20"/>
                <c:pt idx="0">
                  <c:v>23963</c:v>
                </c:pt>
                <c:pt idx="1">
                  <c:v>32381</c:v>
                </c:pt>
                <c:pt idx="2">
                  <c:v>34739</c:v>
                </c:pt>
                <c:pt idx="3">
                  <c:v>39025</c:v>
                </c:pt>
                <c:pt idx="4">
                  <c:v>34074</c:v>
                </c:pt>
                <c:pt idx="5">
                  <c:v>39074</c:v>
                </c:pt>
                <c:pt idx="6">
                  <c:v>39354</c:v>
                </c:pt>
                <c:pt idx="7">
                  <c:v>40033</c:v>
                </c:pt>
                <c:pt idx="8">
                  <c:v>33564</c:v>
                </c:pt>
                <c:pt idx="9">
                  <c:v>36277</c:v>
                </c:pt>
                <c:pt idx="10">
                  <c:v>33702</c:v>
                </c:pt>
                <c:pt idx="11">
                  <c:v>32680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F96F-4186-A285-E5140D60489D}"/>
            </c:ext>
          </c:extLst>
        </c:ser>
        <c:dLbls>
          <c:showLegendKey val="0"/>
          <c:showVal val="0"/>
          <c:showCatName val="0"/>
          <c:showSerName val="0"/>
          <c:showPercent val="0"/>
          <c:showBubbleSize val="0"/>
        </c:dLbls>
        <c:gapWidth val="150"/>
        <c:axId val="3"/>
        <c:axId val="4"/>
      </c:barChart>
      <c:lineChart>
        <c:grouping val="standard"/>
        <c:varyColors val="0"/>
        <c:ser>
          <c:idx val="0"/>
          <c:order val="0"/>
          <c:tx>
            <c:strRef>
              <c:f>'3. 기초 분석 자료'!$B$258</c:f>
              <c:strCache>
                <c:ptCount val="1"/>
                <c:pt idx="0">
                  <c:v>기본급(달러)</c:v>
                </c:pt>
              </c:strCache>
            </c:strRef>
          </c:tx>
          <c:spPr>
            <a:ln>
              <a:solidFill>
                <a:schemeClr val="accent2">
                  <a:lumMod val="75000"/>
                </a:schemeClr>
              </a:solidFill>
            </a:ln>
          </c:spPr>
          <c:marker>
            <c:spPr>
              <a:solidFill>
                <a:schemeClr val="accent2">
                  <a:lumMod val="50000"/>
                </a:schemeClr>
              </a:solidFill>
            </c:spPr>
          </c:marker>
          <c:cat>
            <c:multiLvlStrRef>
              <c:f>'3. 기초 분석 자료'!$C$36:$V$37</c:f>
              <c:multiLvlStrCache>
                <c:ptCount val="20"/>
                <c:lvl>
                  <c:pt idx="0">
                    <c:v>1Q</c:v>
                  </c:pt>
                  <c:pt idx="1">
                    <c:v>2Q</c:v>
                  </c:pt>
                  <c:pt idx="2">
                    <c:v>3Q</c:v>
                  </c:pt>
                  <c:pt idx="3">
                    <c:v>4Q</c:v>
                  </c:pt>
                  <c:pt idx="4">
                    <c:v>1Q</c:v>
                  </c:pt>
                  <c:pt idx="5">
                    <c:v>2Q</c:v>
                  </c:pt>
                  <c:pt idx="6">
                    <c:v>3Q</c:v>
                  </c:pt>
                  <c:pt idx="7">
                    <c:v>4Q</c:v>
                  </c:pt>
                  <c:pt idx="8">
                    <c:v>1Q</c:v>
                  </c:pt>
                  <c:pt idx="9">
                    <c:v>2Q</c:v>
                  </c:pt>
                  <c:pt idx="10">
                    <c:v>3Q</c:v>
                  </c:pt>
                  <c:pt idx="11">
                    <c:v>4Q</c:v>
                  </c:pt>
                  <c:pt idx="12">
                    <c:v>1Q</c:v>
                  </c:pt>
                  <c:pt idx="13">
                    <c:v>2Q</c:v>
                  </c:pt>
                  <c:pt idx="14">
                    <c:v>3Q</c:v>
                  </c:pt>
                  <c:pt idx="15">
                    <c:v>4Q</c:v>
                  </c:pt>
                  <c:pt idx="16">
                    <c:v>1Q</c:v>
                  </c:pt>
                  <c:pt idx="17">
                    <c:v>2Q</c:v>
                  </c:pt>
                  <c:pt idx="18">
                    <c:v>3Q</c:v>
                  </c:pt>
                  <c:pt idx="19">
                    <c:v>4Q</c:v>
                  </c:pt>
                </c:lvl>
                <c:lvl>
                  <c:pt idx="0">
                    <c:v>1차년도</c:v>
                  </c:pt>
                  <c:pt idx="4">
                    <c:v>2차년도</c:v>
                  </c:pt>
                  <c:pt idx="8">
                    <c:v>3차년도</c:v>
                  </c:pt>
                  <c:pt idx="12">
                    <c:v>4차년도</c:v>
                  </c:pt>
                  <c:pt idx="16">
                    <c:v>5차년도</c:v>
                  </c:pt>
                </c:lvl>
              </c:multiLvlStrCache>
            </c:multiLvlStrRef>
          </c:cat>
          <c:val>
            <c:numRef>
              <c:f>'3. 기초 분석 자료'!$C$258:$V$258</c:f>
              <c:numCache>
                <c:formatCode>_(* #,##0_);_(* \(#,##0\);_(* "-"_);_(@_)</c:formatCode>
                <c:ptCount val="20"/>
                <c:pt idx="0">
                  <c:v>7884</c:v>
                </c:pt>
                <c:pt idx="1">
                  <c:v>8010</c:v>
                </c:pt>
                <c:pt idx="2">
                  <c:v>8100</c:v>
                </c:pt>
                <c:pt idx="3">
                  <c:v>8406</c:v>
                </c:pt>
                <c:pt idx="4">
                  <c:v>8460</c:v>
                </c:pt>
                <c:pt idx="5">
                  <c:v>8550</c:v>
                </c:pt>
                <c:pt idx="6">
                  <c:v>8676</c:v>
                </c:pt>
                <c:pt idx="7">
                  <c:v>8730</c:v>
                </c:pt>
                <c:pt idx="8">
                  <c:v>8937</c:v>
                </c:pt>
                <c:pt idx="9">
                  <c:v>8964</c:v>
                </c:pt>
                <c:pt idx="10">
                  <c:v>8982</c:v>
                </c:pt>
                <c:pt idx="11">
                  <c:v>10000</c:v>
                </c:pt>
                <c:pt idx="12" formatCode="#,##0">
                  <c:v>0</c:v>
                </c:pt>
                <c:pt idx="13" formatCode="#,##0">
                  <c:v>0</c:v>
                </c:pt>
                <c:pt idx="14" formatCode="#,##0">
                  <c:v>0</c:v>
                </c:pt>
                <c:pt idx="15" formatCode="#,##0">
                  <c:v>0</c:v>
                </c:pt>
                <c:pt idx="16" formatCode="#,##0">
                  <c:v>0</c:v>
                </c:pt>
                <c:pt idx="17" formatCode="#,##0">
                  <c:v>0</c:v>
                </c:pt>
                <c:pt idx="18" formatCode="#,##0">
                  <c:v>0</c:v>
                </c:pt>
                <c:pt idx="19" formatCode="#,##0">
                  <c:v>0</c:v>
                </c:pt>
              </c:numCache>
            </c:numRef>
          </c:val>
          <c:smooth val="0"/>
          <c:extLst>
            <c:ext xmlns:c16="http://schemas.microsoft.com/office/drawing/2014/chart" uri="{C3380CC4-5D6E-409C-BE32-E72D297353CC}">
              <c16:uniqueId val="{00000001-F96F-4186-A285-E5140D60489D}"/>
            </c:ext>
          </c:extLst>
        </c:ser>
        <c:dLbls>
          <c:showLegendKey val="0"/>
          <c:showVal val="0"/>
          <c:showCatName val="0"/>
          <c:showSerName val="0"/>
          <c:showPercent val="0"/>
          <c:showBubbleSize val="0"/>
        </c:dLbls>
        <c:marker val="1"/>
        <c:smooth val="0"/>
        <c:axId val="2145414864"/>
        <c:axId val="1"/>
      </c:lineChart>
      <c:catAx>
        <c:axId val="2145414864"/>
        <c:scaling>
          <c:orientation val="minMax"/>
        </c:scaling>
        <c:delete val="0"/>
        <c:axPos val="b"/>
        <c:numFmt formatCode="General" sourceLinked="1"/>
        <c:majorTickMark val="out"/>
        <c:minorTickMark val="none"/>
        <c:tickLblPos val="nextTo"/>
        <c:crossAx val="1"/>
        <c:crosses val="autoZero"/>
        <c:auto val="1"/>
        <c:lblAlgn val="ctr"/>
        <c:lblOffset val="100"/>
        <c:noMultiLvlLbl val="0"/>
      </c:catAx>
      <c:valAx>
        <c:axId val="1"/>
        <c:scaling>
          <c:orientation val="minMax"/>
          <c:max val="6000"/>
          <c:min val="3000"/>
        </c:scaling>
        <c:delete val="0"/>
        <c:axPos val="l"/>
        <c:majorGridlines/>
        <c:title>
          <c:tx>
            <c:rich>
              <a:bodyPr rot="0" vert="wordArtVert"/>
              <a:lstStyle/>
              <a:p>
                <a:pPr algn="ctr">
                  <a:defRPr sz="1100" b="0" i="0" u="none" strike="noStrike" baseline="0">
                    <a:solidFill>
                      <a:srgbClr val="000000"/>
                    </a:solidFill>
                    <a:latin typeface="맑은 고딕"/>
                    <a:ea typeface="맑은 고딕"/>
                    <a:cs typeface="맑은 고딕"/>
                  </a:defRPr>
                </a:pPr>
                <a:r>
                  <a:rPr lang="en-US" sz="1000" b="1" i="0" u="none" strike="noStrike" baseline="0">
                    <a:solidFill>
                      <a:srgbClr val="000000"/>
                    </a:solidFill>
                    <a:latin typeface="맑은 고딕"/>
                    <a:ea typeface="맑은 고딕"/>
                  </a:rPr>
                  <a:t>미국 기본급</a:t>
                </a:r>
              </a:p>
            </c:rich>
          </c:tx>
          <c:overlay val="0"/>
          <c:spPr>
            <a:solidFill>
              <a:schemeClr val="accent1">
                <a:lumMod val="20000"/>
                <a:lumOff val="80000"/>
              </a:schemeClr>
            </a:solidFill>
          </c:spPr>
        </c:title>
        <c:numFmt formatCode="_(* #,##0_);_(* \(#,##0\);_(* &quot;-&quot;_);_(@_)" sourceLinked="1"/>
        <c:majorTickMark val="out"/>
        <c:minorTickMark val="none"/>
        <c:tickLblPos val="nextTo"/>
        <c:crossAx val="2145414864"/>
        <c:crosses val="autoZero"/>
        <c:crossBetween val="between"/>
        <c:majorUnit val="500"/>
        <c:minorUnit val="100"/>
      </c:valAx>
      <c:catAx>
        <c:axId val="3"/>
        <c:scaling>
          <c:orientation val="minMax"/>
        </c:scaling>
        <c:delete val="1"/>
        <c:axPos val="b"/>
        <c:majorTickMark val="out"/>
        <c:minorTickMark val="none"/>
        <c:tickLblPos val="nextTo"/>
        <c:crossAx val="4"/>
        <c:crosses val="autoZero"/>
        <c:auto val="1"/>
        <c:lblAlgn val="ctr"/>
        <c:lblOffset val="100"/>
        <c:noMultiLvlLbl val="0"/>
      </c:catAx>
      <c:valAx>
        <c:axId val="4"/>
        <c:scaling>
          <c:orientation val="minMax"/>
        </c:scaling>
        <c:delete val="0"/>
        <c:axPos val="r"/>
        <c:title>
          <c:tx>
            <c:rich>
              <a:bodyPr rot="0" vert="wordArtVert"/>
              <a:lstStyle/>
              <a:p>
                <a:pPr algn="ctr">
                  <a:defRPr sz="1000" b="0" i="0" u="none" strike="noStrike" baseline="0">
                    <a:solidFill>
                      <a:srgbClr val="000000"/>
                    </a:solidFill>
                    <a:latin typeface="맑은 고딕"/>
                    <a:ea typeface="맑은 고딕"/>
                    <a:cs typeface="맑은 고딕"/>
                  </a:defRPr>
                </a:pPr>
                <a:r>
                  <a:rPr lang="en-US" sz="1000" b="1" i="0" u="none" strike="noStrike" baseline="0">
                    <a:solidFill>
                      <a:srgbClr val="000000"/>
                    </a:solidFill>
                    <a:latin typeface="맑은 고딕"/>
                    <a:ea typeface="맑은 고딕"/>
                  </a:rPr>
                  <a:t>미국 판매량</a:t>
                </a:r>
              </a:p>
            </c:rich>
          </c:tx>
          <c:overlay val="0"/>
          <c:spPr>
            <a:solidFill>
              <a:schemeClr val="accent1">
                <a:lumMod val="20000"/>
                <a:lumOff val="80000"/>
              </a:schemeClr>
            </a:solidFill>
          </c:spPr>
        </c:title>
        <c:numFmt formatCode="_(* #,##0_);_(* \(#,##0\);_(* &quot;-&quot;_);_(@_)" sourceLinked="1"/>
        <c:majorTickMark val="out"/>
        <c:minorTickMark val="none"/>
        <c:tickLblPos val="nextTo"/>
        <c:crossAx val="3"/>
        <c:crosses val="max"/>
        <c:crossBetween val="between"/>
      </c:valAx>
    </c:plotArea>
    <c:legend>
      <c:legendPos val="r"/>
      <c:layout>
        <c:manualLayout>
          <c:xMode val="edge"/>
          <c:yMode val="edge"/>
          <c:x val="0.35743541170077986"/>
          <c:y val="0.91575943520340786"/>
          <c:w val="0.28253166733701346"/>
          <c:h val="6.7417872530312228E-2"/>
        </c:manualLayout>
      </c:layout>
      <c:overlay val="0"/>
    </c:legend>
    <c:plotVisOnly val="1"/>
    <c:dispBlanksAs val="gap"/>
    <c:showDLblsOverMax val="0"/>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맑은 고딕"/>
                <a:ea typeface="맑은 고딕"/>
                <a:cs typeface="맑은 고딕"/>
              </a:defRPr>
            </a:pPr>
            <a:r>
              <a:rPr lang="en-US" sz="1400" b="1" i="0" u="none" strike="noStrike" baseline="0">
                <a:solidFill>
                  <a:srgbClr val="000000"/>
                </a:solidFill>
                <a:latin typeface="맑은 고딕"/>
                <a:ea typeface="맑은 고딕"/>
              </a:rPr>
              <a:t>기본급과 판매량 변화 (중국)</a:t>
            </a:r>
          </a:p>
        </c:rich>
      </c:tx>
      <c:overlay val="0"/>
    </c:title>
    <c:autoTitleDeleted val="0"/>
    <c:plotArea>
      <c:layout/>
      <c:barChart>
        <c:barDir val="col"/>
        <c:grouping val="clustered"/>
        <c:varyColors val="0"/>
        <c:ser>
          <c:idx val="1"/>
          <c:order val="1"/>
          <c:tx>
            <c:strRef>
              <c:f>'3. 기초 분석 자료'!$B$263</c:f>
              <c:strCache>
                <c:ptCount val="1"/>
                <c:pt idx="0">
                  <c:v>판매량</c:v>
                </c:pt>
              </c:strCache>
            </c:strRef>
          </c:tx>
          <c:spPr>
            <a:solidFill>
              <a:schemeClr val="accent6">
                <a:lumMod val="50000"/>
              </a:schemeClr>
            </a:solidFill>
          </c:spPr>
          <c:invertIfNegative val="0"/>
          <c:val>
            <c:numRef>
              <c:f>'3. 기초 분석 자료'!$C$263:$V$263</c:f>
              <c:numCache>
                <c:formatCode>_(* #,##0_);_(* \(#,##0\);_(* "-"_);_(@_)</c:formatCode>
                <c:ptCount val="20"/>
                <c:pt idx="0">
                  <c:v>5497</c:v>
                </c:pt>
                <c:pt idx="1">
                  <c:v>13894</c:v>
                </c:pt>
                <c:pt idx="2">
                  <c:v>10568</c:v>
                </c:pt>
                <c:pt idx="3">
                  <c:v>13227</c:v>
                </c:pt>
                <c:pt idx="4">
                  <c:v>4700</c:v>
                </c:pt>
                <c:pt idx="5">
                  <c:v>15478</c:v>
                </c:pt>
                <c:pt idx="6">
                  <c:v>15275</c:v>
                </c:pt>
                <c:pt idx="7">
                  <c:v>21414</c:v>
                </c:pt>
                <c:pt idx="8">
                  <c:v>17504</c:v>
                </c:pt>
                <c:pt idx="9">
                  <c:v>28354</c:v>
                </c:pt>
                <c:pt idx="10">
                  <c:v>28320</c:v>
                </c:pt>
                <c:pt idx="11">
                  <c:v>30500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6B06-4F26-B7D4-C753AC13A500}"/>
            </c:ext>
          </c:extLst>
        </c:ser>
        <c:dLbls>
          <c:showLegendKey val="0"/>
          <c:showVal val="0"/>
          <c:showCatName val="0"/>
          <c:showSerName val="0"/>
          <c:showPercent val="0"/>
          <c:showBubbleSize val="0"/>
        </c:dLbls>
        <c:gapWidth val="150"/>
        <c:axId val="3"/>
        <c:axId val="4"/>
      </c:barChart>
      <c:lineChart>
        <c:grouping val="standard"/>
        <c:varyColors val="0"/>
        <c:ser>
          <c:idx val="0"/>
          <c:order val="0"/>
          <c:tx>
            <c:strRef>
              <c:f>'3. 기초 분석 자료'!$B$261</c:f>
              <c:strCache>
                <c:ptCount val="1"/>
                <c:pt idx="0">
                  <c:v>기본급(위안)</c:v>
                </c:pt>
              </c:strCache>
            </c:strRef>
          </c:tx>
          <c:spPr>
            <a:ln>
              <a:solidFill>
                <a:schemeClr val="accent2">
                  <a:lumMod val="75000"/>
                </a:schemeClr>
              </a:solidFill>
            </a:ln>
          </c:spPr>
          <c:marker>
            <c:spPr>
              <a:solidFill>
                <a:schemeClr val="accent2">
                  <a:lumMod val="50000"/>
                </a:schemeClr>
              </a:solidFill>
            </c:spPr>
          </c:marker>
          <c:cat>
            <c:multiLvlStrRef>
              <c:f>'3. 기초 분석 자료'!$C$36:$V$37</c:f>
              <c:multiLvlStrCache>
                <c:ptCount val="20"/>
                <c:lvl>
                  <c:pt idx="0">
                    <c:v>1Q</c:v>
                  </c:pt>
                  <c:pt idx="1">
                    <c:v>2Q</c:v>
                  </c:pt>
                  <c:pt idx="2">
                    <c:v>3Q</c:v>
                  </c:pt>
                  <c:pt idx="3">
                    <c:v>4Q</c:v>
                  </c:pt>
                  <c:pt idx="4">
                    <c:v>1Q</c:v>
                  </c:pt>
                  <c:pt idx="5">
                    <c:v>2Q</c:v>
                  </c:pt>
                  <c:pt idx="6">
                    <c:v>3Q</c:v>
                  </c:pt>
                  <c:pt idx="7">
                    <c:v>4Q</c:v>
                  </c:pt>
                  <c:pt idx="8">
                    <c:v>1Q</c:v>
                  </c:pt>
                  <c:pt idx="9">
                    <c:v>2Q</c:v>
                  </c:pt>
                  <c:pt idx="10">
                    <c:v>3Q</c:v>
                  </c:pt>
                  <c:pt idx="11">
                    <c:v>4Q</c:v>
                  </c:pt>
                  <c:pt idx="12">
                    <c:v>1Q</c:v>
                  </c:pt>
                  <c:pt idx="13">
                    <c:v>2Q</c:v>
                  </c:pt>
                  <c:pt idx="14">
                    <c:v>3Q</c:v>
                  </c:pt>
                  <c:pt idx="15">
                    <c:v>4Q</c:v>
                  </c:pt>
                  <c:pt idx="16">
                    <c:v>1Q</c:v>
                  </c:pt>
                  <c:pt idx="17">
                    <c:v>2Q</c:v>
                  </c:pt>
                  <c:pt idx="18">
                    <c:v>3Q</c:v>
                  </c:pt>
                  <c:pt idx="19">
                    <c:v>4Q</c:v>
                  </c:pt>
                </c:lvl>
                <c:lvl>
                  <c:pt idx="0">
                    <c:v>1차년도</c:v>
                  </c:pt>
                  <c:pt idx="4">
                    <c:v>2차년도</c:v>
                  </c:pt>
                  <c:pt idx="8">
                    <c:v>3차년도</c:v>
                  </c:pt>
                  <c:pt idx="12">
                    <c:v>4차년도</c:v>
                  </c:pt>
                  <c:pt idx="16">
                    <c:v>5차년도</c:v>
                  </c:pt>
                </c:lvl>
              </c:multiLvlStrCache>
            </c:multiLvlStrRef>
          </c:cat>
          <c:val>
            <c:numRef>
              <c:f>'3. 기초 분석 자료'!$C$261:$V$261</c:f>
              <c:numCache>
                <c:formatCode>_(* #,##0_);_(* \(#,##0\);_(* "-"_);_(@_)</c:formatCode>
                <c:ptCount val="20"/>
                <c:pt idx="0">
                  <c:v>16200</c:v>
                </c:pt>
                <c:pt idx="1">
                  <c:v>16560</c:v>
                </c:pt>
                <c:pt idx="2">
                  <c:v>17640</c:v>
                </c:pt>
                <c:pt idx="3">
                  <c:v>18900</c:v>
                </c:pt>
                <c:pt idx="4">
                  <c:v>19800</c:v>
                </c:pt>
                <c:pt idx="5">
                  <c:v>20700</c:v>
                </c:pt>
                <c:pt idx="6">
                  <c:v>22140</c:v>
                </c:pt>
                <c:pt idx="7">
                  <c:v>23040</c:v>
                </c:pt>
                <c:pt idx="8">
                  <c:v>23760</c:v>
                </c:pt>
                <c:pt idx="9">
                  <c:v>25200</c:v>
                </c:pt>
                <c:pt idx="10">
                  <c:v>26100</c:v>
                </c:pt>
                <c:pt idx="11">
                  <c:v>30000</c:v>
                </c:pt>
                <c:pt idx="12" formatCode="#,##0">
                  <c:v>0</c:v>
                </c:pt>
                <c:pt idx="13" formatCode="#,##0">
                  <c:v>0</c:v>
                </c:pt>
                <c:pt idx="14" formatCode="#,##0">
                  <c:v>0</c:v>
                </c:pt>
                <c:pt idx="15" formatCode="#,##0">
                  <c:v>0</c:v>
                </c:pt>
                <c:pt idx="16" formatCode="#,##0">
                  <c:v>0</c:v>
                </c:pt>
                <c:pt idx="17" formatCode="#,##0">
                  <c:v>0</c:v>
                </c:pt>
                <c:pt idx="18" formatCode="#,##0">
                  <c:v>0</c:v>
                </c:pt>
                <c:pt idx="19" formatCode="#,##0">
                  <c:v>0</c:v>
                </c:pt>
              </c:numCache>
            </c:numRef>
          </c:val>
          <c:smooth val="0"/>
          <c:extLst>
            <c:ext xmlns:c16="http://schemas.microsoft.com/office/drawing/2014/chart" uri="{C3380CC4-5D6E-409C-BE32-E72D297353CC}">
              <c16:uniqueId val="{00000001-6B06-4F26-B7D4-C753AC13A500}"/>
            </c:ext>
          </c:extLst>
        </c:ser>
        <c:dLbls>
          <c:showLegendKey val="0"/>
          <c:showVal val="0"/>
          <c:showCatName val="0"/>
          <c:showSerName val="0"/>
          <c:showPercent val="0"/>
          <c:showBubbleSize val="0"/>
        </c:dLbls>
        <c:marker val="1"/>
        <c:smooth val="0"/>
        <c:axId val="2145415264"/>
        <c:axId val="1"/>
      </c:lineChart>
      <c:catAx>
        <c:axId val="2145415264"/>
        <c:scaling>
          <c:orientation val="minMax"/>
        </c:scaling>
        <c:delete val="0"/>
        <c:axPos val="b"/>
        <c:numFmt formatCode="General" sourceLinked="1"/>
        <c:majorTickMark val="out"/>
        <c:minorTickMark val="none"/>
        <c:tickLblPos val="nextTo"/>
        <c:crossAx val="1"/>
        <c:crosses val="autoZero"/>
        <c:auto val="1"/>
        <c:lblAlgn val="ctr"/>
        <c:lblOffset val="100"/>
        <c:noMultiLvlLbl val="0"/>
      </c:catAx>
      <c:valAx>
        <c:axId val="1"/>
        <c:scaling>
          <c:orientation val="minMax"/>
          <c:min val="2000"/>
        </c:scaling>
        <c:delete val="0"/>
        <c:axPos val="l"/>
        <c:majorGridlines/>
        <c:title>
          <c:tx>
            <c:rich>
              <a:bodyPr rot="0" vert="wordArtVert"/>
              <a:lstStyle/>
              <a:p>
                <a:pPr algn="ctr">
                  <a:defRPr sz="1100" b="0" i="0" u="none" strike="noStrike" baseline="0">
                    <a:solidFill>
                      <a:srgbClr val="000000"/>
                    </a:solidFill>
                    <a:latin typeface="맑은 고딕"/>
                    <a:ea typeface="맑은 고딕"/>
                    <a:cs typeface="맑은 고딕"/>
                  </a:defRPr>
                </a:pPr>
                <a:r>
                  <a:rPr lang="en-US" sz="1000" b="1" i="0" u="none" strike="noStrike" baseline="0">
                    <a:solidFill>
                      <a:srgbClr val="000000"/>
                    </a:solidFill>
                    <a:latin typeface="맑은 고딕"/>
                    <a:ea typeface="맑은 고딕"/>
                  </a:rPr>
                  <a:t>중국 기본급</a:t>
                </a:r>
              </a:p>
            </c:rich>
          </c:tx>
          <c:overlay val="0"/>
          <c:spPr>
            <a:solidFill>
              <a:schemeClr val="accent1">
                <a:lumMod val="20000"/>
                <a:lumOff val="80000"/>
              </a:schemeClr>
            </a:solidFill>
          </c:spPr>
        </c:title>
        <c:numFmt formatCode="_(* #,##0_);_(* \(#,##0\);_(* &quot;-&quot;_);_(@_)" sourceLinked="1"/>
        <c:majorTickMark val="out"/>
        <c:minorTickMark val="none"/>
        <c:tickLblPos val="nextTo"/>
        <c:crossAx val="2145415264"/>
        <c:crosses val="autoZero"/>
        <c:crossBetween val="between"/>
      </c:valAx>
      <c:catAx>
        <c:axId val="3"/>
        <c:scaling>
          <c:orientation val="minMax"/>
        </c:scaling>
        <c:delete val="1"/>
        <c:axPos val="b"/>
        <c:majorTickMark val="out"/>
        <c:minorTickMark val="none"/>
        <c:tickLblPos val="nextTo"/>
        <c:crossAx val="4"/>
        <c:crosses val="autoZero"/>
        <c:auto val="1"/>
        <c:lblAlgn val="ctr"/>
        <c:lblOffset val="100"/>
        <c:noMultiLvlLbl val="0"/>
      </c:catAx>
      <c:valAx>
        <c:axId val="4"/>
        <c:scaling>
          <c:orientation val="minMax"/>
        </c:scaling>
        <c:delete val="0"/>
        <c:axPos val="r"/>
        <c:title>
          <c:tx>
            <c:rich>
              <a:bodyPr rot="0" vert="wordArtVert"/>
              <a:lstStyle/>
              <a:p>
                <a:pPr algn="ctr">
                  <a:defRPr sz="1000" b="0" i="0" u="none" strike="noStrike" baseline="0">
                    <a:solidFill>
                      <a:srgbClr val="000000"/>
                    </a:solidFill>
                    <a:latin typeface="맑은 고딕"/>
                    <a:ea typeface="맑은 고딕"/>
                    <a:cs typeface="맑은 고딕"/>
                  </a:defRPr>
                </a:pPr>
                <a:r>
                  <a:rPr lang="en-US" sz="1000" b="1" i="0" u="none" strike="noStrike" baseline="0">
                    <a:solidFill>
                      <a:srgbClr val="000000"/>
                    </a:solidFill>
                    <a:latin typeface="맑은 고딕"/>
                    <a:ea typeface="맑은 고딕"/>
                  </a:rPr>
                  <a:t>중국 판매량</a:t>
                </a:r>
              </a:p>
            </c:rich>
          </c:tx>
          <c:overlay val="0"/>
          <c:spPr>
            <a:solidFill>
              <a:schemeClr val="accent1">
                <a:lumMod val="20000"/>
                <a:lumOff val="80000"/>
              </a:schemeClr>
            </a:solidFill>
          </c:spPr>
        </c:title>
        <c:numFmt formatCode="_(* #,##0_);_(* \(#,##0\);_(* &quot;-&quot;_);_(@_)" sourceLinked="1"/>
        <c:majorTickMark val="out"/>
        <c:minorTickMark val="none"/>
        <c:tickLblPos val="nextTo"/>
        <c:crossAx val="3"/>
        <c:crosses val="max"/>
        <c:crossBetween val="between"/>
      </c:valAx>
    </c:plotArea>
    <c:legend>
      <c:legendPos val="r"/>
      <c:layout>
        <c:manualLayout>
          <c:xMode val="edge"/>
          <c:yMode val="edge"/>
          <c:x val="0.36700664186663617"/>
          <c:y val="0.91575943520340786"/>
          <c:w val="0.26478667114539189"/>
          <c:h val="6.7417872530312228E-2"/>
        </c:manualLayout>
      </c:layout>
      <c:overlay val="0"/>
    </c:legend>
    <c:plotVisOnly val="1"/>
    <c:dispBlanksAs val="gap"/>
    <c:showDLblsOverMax val="0"/>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맑은 고딕"/>
                <a:ea typeface="맑은 고딕"/>
                <a:cs typeface="맑은 고딕"/>
              </a:defRPr>
            </a:pPr>
            <a:r>
              <a:rPr lang="en-US" sz="1600" b="1" i="0" u="none" strike="noStrike" baseline="0">
                <a:solidFill>
                  <a:srgbClr val="000000"/>
                </a:solidFill>
                <a:latin typeface="맑은 고딕"/>
                <a:ea typeface="맑은 고딕"/>
              </a:rPr>
              <a:t>제품모델 변화와 제조원가</a:t>
            </a:r>
          </a:p>
        </c:rich>
      </c:tx>
      <c:overlay val="0"/>
    </c:title>
    <c:autoTitleDeleted val="0"/>
    <c:plotArea>
      <c:layout/>
      <c:barChart>
        <c:barDir val="col"/>
        <c:grouping val="clustered"/>
        <c:varyColors val="0"/>
        <c:ser>
          <c:idx val="1"/>
          <c:order val="1"/>
          <c:tx>
            <c:v>단위당 제조원가</c:v>
          </c:tx>
          <c:spPr>
            <a:solidFill>
              <a:schemeClr val="accent1">
                <a:lumMod val="75000"/>
              </a:schemeClr>
            </a:solidFill>
          </c:spPr>
          <c:invertIfNegative val="0"/>
          <c:cat>
            <c:multiLvlStrRef>
              <c:f>'3. 기초 분석 자료'!$C$106:$V$107</c:f>
              <c:multiLvlStrCache>
                <c:ptCount val="20"/>
                <c:lvl>
                  <c:pt idx="0">
                    <c:v>1Q</c:v>
                  </c:pt>
                  <c:pt idx="1">
                    <c:v>2Q</c:v>
                  </c:pt>
                  <c:pt idx="2">
                    <c:v>3Q</c:v>
                  </c:pt>
                  <c:pt idx="3">
                    <c:v>4Q</c:v>
                  </c:pt>
                  <c:pt idx="4">
                    <c:v>1Q</c:v>
                  </c:pt>
                  <c:pt idx="5">
                    <c:v>2Q</c:v>
                  </c:pt>
                  <c:pt idx="6">
                    <c:v>3Q</c:v>
                  </c:pt>
                  <c:pt idx="7">
                    <c:v>4Q</c:v>
                  </c:pt>
                  <c:pt idx="8">
                    <c:v>1Q</c:v>
                  </c:pt>
                  <c:pt idx="9">
                    <c:v>2Q</c:v>
                  </c:pt>
                  <c:pt idx="10">
                    <c:v>3Q</c:v>
                  </c:pt>
                  <c:pt idx="11">
                    <c:v>4Q</c:v>
                  </c:pt>
                  <c:pt idx="12">
                    <c:v>1Q</c:v>
                  </c:pt>
                  <c:pt idx="13">
                    <c:v>2Q</c:v>
                  </c:pt>
                  <c:pt idx="14">
                    <c:v>3Q</c:v>
                  </c:pt>
                  <c:pt idx="15">
                    <c:v>4Q</c:v>
                  </c:pt>
                  <c:pt idx="16">
                    <c:v>1Q</c:v>
                  </c:pt>
                  <c:pt idx="17">
                    <c:v>2Q</c:v>
                  </c:pt>
                  <c:pt idx="18">
                    <c:v>3Q</c:v>
                  </c:pt>
                  <c:pt idx="19">
                    <c:v>4Q</c:v>
                  </c:pt>
                </c:lvl>
                <c:lvl>
                  <c:pt idx="0">
                    <c:v>1차년도</c:v>
                  </c:pt>
                  <c:pt idx="4">
                    <c:v>2차년도</c:v>
                  </c:pt>
                  <c:pt idx="8">
                    <c:v>3차년도</c:v>
                  </c:pt>
                  <c:pt idx="12">
                    <c:v>4차년도</c:v>
                  </c:pt>
                  <c:pt idx="16">
                    <c:v>5차년도</c:v>
                  </c:pt>
                </c:lvl>
              </c:multiLvlStrCache>
            </c:multiLvlStrRef>
          </c:cat>
          <c:val>
            <c:numRef>
              <c:f>'3. 기초 분석 자료'!$C$363:$V$363</c:f>
              <c:numCache>
                <c:formatCode>_(* #,##0_);_(* \(#,##0\);_(* "-"_);_(@_)</c:formatCode>
                <c:ptCount val="20"/>
                <c:pt idx="0">
                  <c:v>243800</c:v>
                </c:pt>
                <c:pt idx="1">
                  <c:v>249100</c:v>
                </c:pt>
                <c:pt idx="2">
                  <c:v>251750</c:v>
                </c:pt>
                <c:pt idx="3">
                  <c:v>254400</c:v>
                </c:pt>
                <c:pt idx="4">
                  <c:v>278250</c:v>
                </c:pt>
                <c:pt idx="5">
                  <c:v>280900</c:v>
                </c:pt>
                <c:pt idx="6">
                  <c:v>286200</c:v>
                </c:pt>
                <c:pt idx="7">
                  <c:v>312700</c:v>
                </c:pt>
                <c:pt idx="8">
                  <c:v>318000</c:v>
                </c:pt>
                <c:pt idx="9">
                  <c:v>323300</c:v>
                </c:pt>
                <c:pt idx="10">
                  <c:v>360000</c:v>
                </c:pt>
                <c:pt idx="11">
                  <c:v>361523</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C7AC-45A1-AC3A-7694EDDEDCE5}"/>
            </c:ext>
          </c:extLst>
        </c:ser>
        <c:dLbls>
          <c:showLegendKey val="0"/>
          <c:showVal val="0"/>
          <c:showCatName val="0"/>
          <c:showSerName val="0"/>
          <c:showPercent val="0"/>
          <c:showBubbleSize val="0"/>
        </c:dLbls>
        <c:gapWidth val="150"/>
        <c:axId val="2143099232"/>
        <c:axId val="1"/>
      </c:barChart>
      <c:lineChart>
        <c:grouping val="standard"/>
        <c:varyColors val="0"/>
        <c:ser>
          <c:idx val="0"/>
          <c:order val="0"/>
          <c:tx>
            <c:strRef>
              <c:f>'3. 기초 분석 자료'!$B$364</c:f>
              <c:strCache>
                <c:ptCount val="1"/>
                <c:pt idx="0">
                  <c:v>제품 모델</c:v>
                </c:pt>
              </c:strCache>
            </c:strRef>
          </c:tx>
          <c:spPr>
            <a:ln>
              <a:solidFill>
                <a:srgbClr val="FF0000"/>
              </a:solidFill>
            </a:ln>
          </c:spPr>
          <c:marker>
            <c:symbol val="diamond"/>
            <c:size val="7"/>
            <c:spPr>
              <a:solidFill>
                <a:srgbClr val="FF0000"/>
              </a:solidFill>
            </c:spPr>
          </c:marker>
          <c:dLbls>
            <c:dLbl>
              <c:idx val="1"/>
              <c:delete val="1"/>
              <c:extLst>
                <c:ext xmlns:c15="http://schemas.microsoft.com/office/drawing/2012/chart" uri="{CE6537A1-D6FC-4f65-9D91-7224C49458BB}"/>
                <c:ext xmlns:c16="http://schemas.microsoft.com/office/drawing/2014/chart" uri="{C3380CC4-5D6E-409C-BE32-E72D297353CC}">
                  <c16:uniqueId val="{00000001-C7AC-45A1-AC3A-7694EDDEDCE5}"/>
                </c:ext>
              </c:extLst>
            </c:dLbl>
            <c:dLbl>
              <c:idx val="2"/>
              <c:delete val="1"/>
              <c:extLst>
                <c:ext xmlns:c15="http://schemas.microsoft.com/office/drawing/2012/chart" uri="{CE6537A1-D6FC-4f65-9D91-7224C49458BB}"/>
                <c:ext xmlns:c16="http://schemas.microsoft.com/office/drawing/2014/chart" uri="{C3380CC4-5D6E-409C-BE32-E72D297353CC}">
                  <c16:uniqueId val="{00000002-C7AC-45A1-AC3A-7694EDDEDCE5}"/>
                </c:ext>
              </c:extLst>
            </c:dLbl>
            <c:dLbl>
              <c:idx val="3"/>
              <c:delete val="1"/>
              <c:extLst>
                <c:ext xmlns:c15="http://schemas.microsoft.com/office/drawing/2012/chart" uri="{CE6537A1-D6FC-4f65-9D91-7224C49458BB}"/>
                <c:ext xmlns:c16="http://schemas.microsoft.com/office/drawing/2014/chart" uri="{C3380CC4-5D6E-409C-BE32-E72D297353CC}">
                  <c16:uniqueId val="{00000003-C7AC-45A1-AC3A-7694EDDEDCE5}"/>
                </c:ext>
              </c:extLst>
            </c:dLbl>
            <c:dLbl>
              <c:idx val="5"/>
              <c:delete val="1"/>
              <c:extLst>
                <c:ext xmlns:c15="http://schemas.microsoft.com/office/drawing/2012/chart" uri="{CE6537A1-D6FC-4f65-9D91-7224C49458BB}"/>
                <c:ext xmlns:c16="http://schemas.microsoft.com/office/drawing/2014/chart" uri="{C3380CC4-5D6E-409C-BE32-E72D297353CC}">
                  <c16:uniqueId val="{00000004-C7AC-45A1-AC3A-7694EDDEDCE5}"/>
                </c:ext>
              </c:extLst>
            </c:dLbl>
            <c:dLbl>
              <c:idx val="6"/>
              <c:delete val="1"/>
              <c:extLst>
                <c:ext xmlns:c15="http://schemas.microsoft.com/office/drawing/2012/chart" uri="{CE6537A1-D6FC-4f65-9D91-7224C49458BB}"/>
                <c:ext xmlns:c16="http://schemas.microsoft.com/office/drawing/2014/chart" uri="{C3380CC4-5D6E-409C-BE32-E72D297353CC}">
                  <c16:uniqueId val="{00000005-C7AC-45A1-AC3A-7694EDDEDCE5}"/>
                </c:ext>
              </c:extLst>
            </c:dLbl>
            <c:dLbl>
              <c:idx val="7"/>
              <c:delete val="1"/>
              <c:extLst>
                <c:ext xmlns:c15="http://schemas.microsoft.com/office/drawing/2012/chart" uri="{CE6537A1-D6FC-4f65-9D91-7224C49458BB}"/>
                <c:ext xmlns:c16="http://schemas.microsoft.com/office/drawing/2014/chart" uri="{C3380CC4-5D6E-409C-BE32-E72D297353CC}">
                  <c16:uniqueId val="{00000006-C7AC-45A1-AC3A-7694EDDEDCE5}"/>
                </c:ext>
              </c:extLst>
            </c:dLbl>
            <c:dLbl>
              <c:idx val="9"/>
              <c:delete val="1"/>
              <c:extLst>
                <c:ext xmlns:c15="http://schemas.microsoft.com/office/drawing/2012/chart" uri="{CE6537A1-D6FC-4f65-9D91-7224C49458BB}"/>
                <c:ext xmlns:c16="http://schemas.microsoft.com/office/drawing/2014/chart" uri="{C3380CC4-5D6E-409C-BE32-E72D297353CC}">
                  <c16:uniqueId val="{00000007-C7AC-45A1-AC3A-7694EDDEDCE5}"/>
                </c:ext>
              </c:extLst>
            </c:dLbl>
            <c:dLbl>
              <c:idx val="10"/>
              <c:delete val="1"/>
              <c:extLst>
                <c:ext xmlns:c15="http://schemas.microsoft.com/office/drawing/2012/chart" uri="{CE6537A1-D6FC-4f65-9D91-7224C49458BB}"/>
                <c:ext xmlns:c16="http://schemas.microsoft.com/office/drawing/2014/chart" uri="{C3380CC4-5D6E-409C-BE32-E72D297353CC}">
                  <c16:uniqueId val="{00000008-C7AC-45A1-AC3A-7694EDDEDCE5}"/>
                </c:ext>
              </c:extLst>
            </c:dLbl>
            <c:spPr>
              <a:solidFill>
                <a:schemeClr val="bg1"/>
              </a:solidFill>
            </c:spPr>
            <c:txPr>
              <a:bodyPr/>
              <a:lstStyle/>
              <a:p>
                <a:pPr>
                  <a:defRPr sz="900" b="1">
                    <a:solidFill>
                      <a:schemeClr val="tx1">
                        <a:lumMod val="95000"/>
                        <a:lumOff val="5000"/>
                      </a:schemeClr>
                    </a:solidFill>
                  </a:defRPr>
                </a:pPr>
                <a:endParaRPr lang="ko-K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'3. 기초 분석 자료'!$C$106:$V$107</c:f>
              <c:multiLvlStrCache>
                <c:ptCount val="20"/>
                <c:lvl>
                  <c:pt idx="0">
                    <c:v>1Q</c:v>
                  </c:pt>
                  <c:pt idx="1">
                    <c:v>2Q</c:v>
                  </c:pt>
                  <c:pt idx="2">
                    <c:v>3Q</c:v>
                  </c:pt>
                  <c:pt idx="3">
                    <c:v>4Q</c:v>
                  </c:pt>
                  <c:pt idx="4">
                    <c:v>1Q</c:v>
                  </c:pt>
                  <c:pt idx="5">
                    <c:v>2Q</c:v>
                  </c:pt>
                  <c:pt idx="6">
                    <c:v>3Q</c:v>
                  </c:pt>
                  <c:pt idx="7">
                    <c:v>4Q</c:v>
                  </c:pt>
                  <c:pt idx="8">
                    <c:v>1Q</c:v>
                  </c:pt>
                  <c:pt idx="9">
                    <c:v>2Q</c:v>
                  </c:pt>
                  <c:pt idx="10">
                    <c:v>3Q</c:v>
                  </c:pt>
                  <c:pt idx="11">
                    <c:v>4Q</c:v>
                  </c:pt>
                  <c:pt idx="12">
                    <c:v>1Q</c:v>
                  </c:pt>
                  <c:pt idx="13">
                    <c:v>2Q</c:v>
                  </c:pt>
                  <c:pt idx="14">
                    <c:v>3Q</c:v>
                  </c:pt>
                  <c:pt idx="15">
                    <c:v>4Q</c:v>
                  </c:pt>
                  <c:pt idx="16">
                    <c:v>1Q</c:v>
                  </c:pt>
                  <c:pt idx="17">
                    <c:v>2Q</c:v>
                  </c:pt>
                  <c:pt idx="18">
                    <c:v>3Q</c:v>
                  </c:pt>
                  <c:pt idx="19">
                    <c:v>4Q</c:v>
                  </c:pt>
                </c:lvl>
                <c:lvl>
                  <c:pt idx="0">
                    <c:v>1차년도</c:v>
                  </c:pt>
                  <c:pt idx="4">
                    <c:v>2차년도</c:v>
                  </c:pt>
                  <c:pt idx="8">
                    <c:v>3차년도</c:v>
                  </c:pt>
                  <c:pt idx="12">
                    <c:v>4차년도</c:v>
                  </c:pt>
                  <c:pt idx="16">
                    <c:v>5차년도</c:v>
                  </c:pt>
                </c:lvl>
              </c:multiLvlStrCache>
            </c:multiLvlStrRef>
          </c:cat>
          <c:val>
            <c:numRef>
              <c:f>'3. 기초 분석 자료'!$C$364:$V$364</c:f>
              <c:numCache>
                <c:formatCode>_(* #,##0_);_(* \(#,##0\);_(* "-"_);_(@_)</c:formatCode>
                <c:ptCount val="20"/>
                <c:pt idx="0">
                  <c:v>1</c:v>
                </c:pt>
                <c:pt idx="1">
                  <c:v>1</c:v>
                </c:pt>
                <c:pt idx="2">
                  <c:v>1</c:v>
                </c:pt>
                <c:pt idx="3">
                  <c:v>1</c:v>
                </c:pt>
                <c:pt idx="4">
                  <c:v>2</c:v>
                </c:pt>
                <c:pt idx="5">
                  <c:v>2</c:v>
                </c:pt>
                <c:pt idx="6">
                  <c:v>2</c:v>
                </c:pt>
                <c:pt idx="7">
                  <c:v>2</c:v>
                </c:pt>
                <c:pt idx="8">
                  <c:v>3</c:v>
                </c:pt>
                <c:pt idx="9">
                  <c:v>3</c:v>
                </c:pt>
                <c:pt idx="10">
                  <c:v>4</c:v>
                </c:pt>
                <c:pt idx="11">
                  <c:v>4</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9-C7AC-45A1-AC3A-7694EDDEDCE5}"/>
            </c:ext>
          </c:extLst>
        </c:ser>
        <c:dLbls>
          <c:showLegendKey val="0"/>
          <c:showVal val="0"/>
          <c:showCatName val="0"/>
          <c:showSerName val="0"/>
          <c:showPercent val="0"/>
          <c:showBubbleSize val="0"/>
        </c:dLbls>
        <c:marker val="1"/>
        <c:smooth val="0"/>
        <c:axId val="3"/>
        <c:axId val="4"/>
      </c:lineChart>
      <c:catAx>
        <c:axId val="2143099232"/>
        <c:scaling>
          <c:orientation val="minMax"/>
        </c:scaling>
        <c:delete val="0"/>
        <c:axPos val="b"/>
        <c:numFmt formatCode="General" sourceLinked="1"/>
        <c:majorTickMark val="out"/>
        <c:minorTickMark val="none"/>
        <c:tickLblPos val="nextTo"/>
        <c:crossAx val="1"/>
        <c:crosses val="autoZero"/>
        <c:auto val="1"/>
        <c:lblAlgn val="ctr"/>
        <c:lblOffset val="100"/>
        <c:noMultiLvlLbl val="0"/>
      </c:catAx>
      <c:valAx>
        <c:axId val="1"/>
        <c:scaling>
          <c:orientation val="minMax"/>
          <c:min val="150000"/>
        </c:scaling>
        <c:delete val="0"/>
        <c:axPos val="l"/>
        <c:majorGridlines/>
        <c:title>
          <c:tx>
            <c:rich>
              <a:bodyPr rot="0" vert="wordArtVert"/>
              <a:lstStyle/>
              <a:p>
                <a:pPr algn="ctr">
                  <a:defRPr sz="1100" b="0" i="0" u="none" strike="noStrike" baseline="0">
                    <a:solidFill>
                      <a:srgbClr val="000000"/>
                    </a:solidFill>
                    <a:latin typeface="맑은 고딕"/>
                    <a:ea typeface="맑은 고딕"/>
                    <a:cs typeface="맑은 고딕"/>
                  </a:defRPr>
                </a:pPr>
                <a:r>
                  <a:rPr lang="en-US" sz="1000" b="1" i="0" u="none" strike="noStrike" baseline="0">
                    <a:solidFill>
                      <a:srgbClr val="000000"/>
                    </a:solidFill>
                    <a:latin typeface="맑은 고딕"/>
                    <a:ea typeface="맑은 고딕"/>
                  </a:rPr>
                  <a:t>단위당 제조원가</a:t>
                </a:r>
              </a:p>
            </c:rich>
          </c:tx>
          <c:overlay val="0"/>
          <c:spPr>
            <a:solidFill>
              <a:schemeClr val="accent5">
                <a:lumMod val="20000"/>
                <a:lumOff val="80000"/>
              </a:schemeClr>
            </a:solidFill>
          </c:spPr>
        </c:title>
        <c:numFmt formatCode="_(* #,##0_);_(* \(#,##0\);_(* &quot;-&quot;_);_(@_)" sourceLinked="1"/>
        <c:majorTickMark val="out"/>
        <c:minorTickMark val="none"/>
        <c:tickLblPos val="nextTo"/>
        <c:crossAx val="2143099232"/>
        <c:crosses val="autoZero"/>
        <c:crossBetween val="between"/>
      </c:valAx>
      <c:catAx>
        <c:axId val="3"/>
        <c:scaling>
          <c:orientation val="minMax"/>
        </c:scaling>
        <c:delete val="1"/>
        <c:axPos val="b"/>
        <c:numFmt formatCode="General" sourceLinked="1"/>
        <c:majorTickMark val="out"/>
        <c:minorTickMark val="none"/>
        <c:tickLblPos val="nextTo"/>
        <c:crossAx val="4"/>
        <c:crosses val="autoZero"/>
        <c:auto val="1"/>
        <c:lblAlgn val="ctr"/>
        <c:lblOffset val="100"/>
        <c:noMultiLvlLbl val="0"/>
      </c:catAx>
      <c:valAx>
        <c:axId val="4"/>
        <c:scaling>
          <c:orientation val="minMax"/>
        </c:scaling>
        <c:delete val="0"/>
        <c:axPos val="r"/>
        <c:title>
          <c:tx>
            <c:rich>
              <a:bodyPr rot="0" vert="wordArtVertRtl"/>
              <a:lstStyle/>
              <a:p>
                <a:pPr>
                  <a:defRPr/>
                </a:pPr>
                <a:r>
                  <a:rPr lang="ko-KR" altLang="en-US"/>
                  <a:t>제품모델</a:t>
                </a:r>
              </a:p>
            </c:rich>
          </c:tx>
          <c:overlay val="0"/>
          <c:spPr>
            <a:solidFill>
              <a:schemeClr val="accent5">
                <a:lumMod val="20000"/>
                <a:lumOff val="80000"/>
              </a:schemeClr>
            </a:solidFill>
          </c:spPr>
        </c:title>
        <c:numFmt formatCode="_(* #,##0_);_(* \(#,##0\);_(* &quot;-&quot;_);_(@_)" sourceLinked="1"/>
        <c:majorTickMark val="out"/>
        <c:minorTickMark val="none"/>
        <c:tickLblPos val="nextTo"/>
        <c:crossAx val="3"/>
        <c:crosses val="max"/>
        <c:crossBetween val="between"/>
        <c:majorUnit val="1"/>
      </c:valAx>
    </c:plotArea>
    <c:legend>
      <c:legendPos val="r"/>
      <c:layout>
        <c:manualLayout>
          <c:xMode val="edge"/>
          <c:yMode val="edge"/>
          <c:x val="0.38822724523557595"/>
          <c:y val="0.92408190360723796"/>
          <c:w val="0.22531045482421819"/>
          <c:h val="6.0761549826229347E-2"/>
        </c:manualLayout>
      </c:layout>
      <c:overlay val="0"/>
    </c:legend>
    <c:plotVisOnly val="1"/>
    <c:dispBlanksAs val="gap"/>
    <c:showDLblsOverMax val="0"/>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맑은 고딕"/>
                <a:ea typeface="맑은 고딕"/>
                <a:cs typeface="맑은 고딕"/>
              </a:defRPr>
            </a:pPr>
            <a:r>
              <a:rPr lang="en-US" sz="1600" b="1" i="0" u="none" strike="noStrike" baseline="0">
                <a:solidFill>
                  <a:srgbClr val="000000"/>
                </a:solidFill>
                <a:latin typeface="맑은 고딕"/>
                <a:ea typeface="맑은 고딕"/>
              </a:rPr>
              <a:t>계절에 따른 라인당 생산량 변화</a:t>
            </a:r>
          </a:p>
        </c:rich>
      </c:tx>
      <c:overlay val="0"/>
    </c:title>
    <c:autoTitleDeleted val="0"/>
    <c:plotArea>
      <c:layout/>
      <c:barChart>
        <c:barDir val="col"/>
        <c:grouping val="clustered"/>
        <c:varyColors val="0"/>
        <c:ser>
          <c:idx val="0"/>
          <c:order val="0"/>
          <c:tx>
            <c:v>라인당 생산량</c:v>
          </c:tx>
          <c:spPr>
            <a:solidFill>
              <a:schemeClr val="accent5">
                <a:lumMod val="75000"/>
              </a:schemeClr>
            </a:solidFill>
          </c:spPr>
          <c:invertIfNegative val="0"/>
          <c:trendline>
            <c:spPr>
              <a:ln w="19050" cmpd="dbl"/>
              <a:effectLst>
                <a:outerShdw blurRad="50800" dist="38100" dir="2700000" algn="tl" rotWithShape="0">
                  <a:srgbClr val="FF0000">
                    <a:alpha val="40000"/>
                  </a:srgbClr>
                </a:outerShdw>
              </a:effectLst>
            </c:spPr>
            <c:trendlineType val="movingAvg"/>
            <c:period val="2"/>
            <c:dispRSqr val="0"/>
            <c:dispEq val="0"/>
          </c:trendline>
          <c:cat>
            <c:multiLvlStrRef>
              <c:f>'3. 기초 분석 자료'!$C$360:$V$361</c:f>
              <c:multiLvlStrCache>
                <c:ptCount val="20"/>
                <c:lvl>
                  <c:pt idx="0">
                    <c:v>1Q</c:v>
                  </c:pt>
                  <c:pt idx="1">
                    <c:v>2Q</c:v>
                  </c:pt>
                  <c:pt idx="2">
                    <c:v>3Q</c:v>
                  </c:pt>
                  <c:pt idx="3">
                    <c:v>4Q</c:v>
                  </c:pt>
                  <c:pt idx="4">
                    <c:v>1Q</c:v>
                  </c:pt>
                  <c:pt idx="5">
                    <c:v>2Q</c:v>
                  </c:pt>
                  <c:pt idx="6">
                    <c:v>3Q</c:v>
                  </c:pt>
                  <c:pt idx="7">
                    <c:v>4Q</c:v>
                  </c:pt>
                  <c:pt idx="8">
                    <c:v>1Q</c:v>
                  </c:pt>
                  <c:pt idx="9">
                    <c:v>2Q</c:v>
                  </c:pt>
                  <c:pt idx="10">
                    <c:v>3Q</c:v>
                  </c:pt>
                  <c:pt idx="11">
                    <c:v>4Q</c:v>
                  </c:pt>
                  <c:pt idx="12">
                    <c:v>1Q</c:v>
                  </c:pt>
                  <c:pt idx="13">
                    <c:v>2Q</c:v>
                  </c:pt>
                  <c:pt idx="14">
                    <c:v>3Q</c:v>
                  </c:pt>
                  <c:pt idx="15">
                    <c:v>4Q</c:v>
                  </c:pt>
                  <c:pt idx="16">
                    <c:v>1Q</c:v>
                  </c:pt>
                  <c:pt idx="17">
                    <c:v>2Q</c:v>
                  </c:pt>
                  <c:pt idx="18">
                    <c:v>3Q</c:v>
                  </c:pt>
                  <c:pt idx="19">
                    <c:v>4Q</c:v>
                  </c:pt>
                </c:lvl>
                <c:lvl>
                  <c:pt idx="0">
                    <c:v>1차년도</c:v>
                  </c:pt>
                  <c:pt idx="4">
                    <c:v>2차년도</c:v>
                  </c:pt>
                  <c:pt idx="8">
                    <c:v>3차년도</c:v>
                  </c:pt>
                  <c:pt idx="12">
                    <c:v>4차년도</c:v>
                  </c:pt>
                  <c:pt idx="16">
                    <c:v>5차년도</c:v>
                  </c:pt>
                </c:lvl>
              </c:multiLvlStrCache>
            </c:multiLvlStrRef>
          </c:cat>
          <c:val>
            <c:numRef>
              <c:f>'3. 기초 분석 자료'!$C$362:$V$362</c:f>
              <c:numCache>
                <c:formatCode>_(* #,##0_);_(* \(#,##0\);_(* "-"_);_(@_)</c:formatCode>
                <c:ptCount val="20"/>
                <c:pt idx="0">
                  <c:v>83166</c:v>
                </c:pt>
                <c:pt idx="1">
                  <c:v>86561</c:v>
                </c:pt>
                <c:pt idx="2">
                  <c:v>98841</c:v>
                </c:pt>
                <c:pt idx="3">
                  <c:v>100838</c:v>
                </c:pt>
                <c:pt idx="4">
                  <c:v>89689</c:v>
                </c:pt>
                <c:pt idx="5">
                  <c:v>108201</c:v>
                </c:pt>
                <c:pt idx="6">
                  <c:v>121846</c:v>
                </c:pt>
                <c:pt idx="7">
                  <c:v>128679</c:v>
                </c:pt>
                <c:pt idx="8">
                  <c:v>122351</c:v>
                </c:pt>
                <c:pt idx="9">
                  <c:v>137532</c:v>
                </c:pt>
                <c:pt idx="10">
                  <c:v>130020</c:v>
                </c:pt>
                <c:pt idx="11">
                  <c:v>136080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9F5F-4F7C-93CA-782C2F8DAEA3}"/>
            </c:ext>
          </c:extLst>
        </c:ser>
        <c:dLbls>
          <c:showLegendKey val="0"/>
          <c:showVal val="0"/>
          <c:showCatName val="0"/>
          <c:showSerName val="0"/>
          <c:showPercent val="0"/>
          <c:showBubbleSize val="0"/>
        </c:dLbls>
        <c:gapWidth val="150"/>
        <c:axId val="2143088432"/>
        <c:axId val="1"/>
      </c:barChart>
      <c:catAx>
        <c:axId val="2143088432"/>
        <c:scaling>
          <c:orientation val="minMax"/>
        </c:scaling>
        <c:delete val="0"/>
        <c:axPos val="b"/>
        <c:numFmt formatCode="General" sourceLinked="1"/>
        <c:majorTickMark val="out"/>
        <c:minorTickMark val="none"/>
        <c:tickLblPos val="nextTo"/>
        <c:crossAx val="1"/>
        <c:crosses val="autoZero"/>
        <c:auto val="1"/>
        <c:lblAlgn val="ctr"/>
        <c:lblOffset val="100"/>
        <c:noMultiLvlLbl val="0"/>
      </c:catAx>
      <c:valAx>
        <c:axId val="1"/>
        <c:scaling>
          <c:orientation val="minMax"/>
        </c:scaling>
        <c:delete val="0"/>
        <c:axPos val="l"/>
        <c:majorGridlines/>
        <c:numFmt formatCode="_(* #,##0_);_(* \(#,##0\);_(* &quot;-&quot;_);_(@_)" sourceLinked="1"/>
        <c:majorTickMark val="out"/>
        <c:minorTickMark val="none"/>
        <c:tickLblPos val="nextTo"/>
        <c:crossAx val="2143088432"/>
        <c:crosses val="autoZero"/>
        <c:crossBetween val="between"/>
      </c:valAx>
    </c:plotArea>
    <c:legend>
      <c:legendPos val="r"/>
      <c:layout>
        <c:manualLayout>
          <c:xMode val="edge"/>
          <c:yMode val="edge"/>
          <c:x val="0.32814808683847074"/>
          <c:y val="0.91922186066905132"/>
          <c:w val="0.34455549118039425"/>
          <c:h val="6.0608034769388003E-2"/>
        </c:manualLayout>
      </c:layout>
      <c:overlay val="0"/>
    </c:legend>
    <c:plotVisOnly val="1"/>
    <c:dispBlanksAs val="gap"/>
    <c:showDLblsOverMax val="0"/>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a:lstStyle/>
          <a:p>
            <a:pPr>
              <a:defRPr sz="1000" b="0" i="0" u="none" strike="noStrike" baseline="0">
                <a:solidFill>
                  <a:srgbClr val="000000"/>
                </a:solidFill>
                <a:latin typeface="맑은 고딕"/>
                <a:ea typeface="맑은 고딕"/>
                <a:cs typeface="맑은 고딕"/>
              </a:defRPr>
            </a:pPr>
            <a:r>
              <a:rPr lang="en-US" sz="1400" b="1" i="0" u="none" strike="noStrike" baseline="0">
                <a:solidFill>
                  <a:srgbClr val="000000"/>
                </a:solidFill>
                <a:latin typeface="맑은 고딕"/>
                <a:ea typeface="맑은 고딕"/>
              </a:rPr>
              <a:t>국가별 환율 변화</a:t>
            </a:r>
          </a:p>
        </c:rich>
      </c:tx>
      <c:overlay val="0"/>
    </c:title>
    <c:autoTitleDeleted val="0"/>
    <c:plotArea>
      <c:layout/>
      <c:lineChart>
        <c:grouping val="standard"/>
        <c:varyColors val="0"/>
        <c:ser>
          <c:idx val="1"/>
          <c:order val="0"/>
          <c:tx>
            <c:v>미국</c:v>
          </c:tx>
          <c:spPr>
            <a:ln>
              <a:solidFill>
                <a:schemeClr val="accent2"/>
              </a:solidFill>
            </a:ln>
          </c:spPr>
          <c:marker>
            <c:symbol val="square"/>
            <c:size val="7"/>
            <c:spPr>
              <a:solidFill>
                <a:schemeClr val="accent5">
                  <a:lumMod val="50000"/>
                </a:schemeClr>
              </a:solidFill>
              <a:ln>
                <a:solidFill>
                  <a:schemeClr val="accent5">
                    <a:lumMod val="50000"/>
                  </a:schemeClr>
                </a:solidFill>
              </a:ln>
            </c:spPr>
          </c:marker>
          <c:cat>
            <c:multiLvlStrRef>
              <c:f>'3. 기초 분석 자료'!$C$36:$V$37</c:f>
              <c:multiLvlStrCache>
                <c:ptCount val="20"/>
                <c:lvl>
                  <c:pt idx="0">
                    <c:v>1Q</c:v>
                  </c:pt>
                  <c:pt idx="1">
                    <c:v>2Q</c:v>
                  </c:pt>
                  <c:pt idx="2">
                    <c:v>3Q</c:v>
                  </c:pt>
                  <c:pt idx="3">
                    <c:v>4Q</c:v>
                  </c:pt>
                  <c:pt idx="4">
                    <c:v>1Q</c:v>
                  </c:pt>
                  <c:pt idx="5">
                    <c:v>2Q</c:v>
                  </c:pt>
                  <c:pt idx="6">
                    <c:v>3Q</c:v>
                  </c:pt>
                  <c:pt idx="7">
                    <c:v>4Q</c:v>
                  </c:pt>
                  <c:pt idx="8">
                    <c:v>1Q</c:v>
                  </c:pt>
                  <c:pt idx="9">
                    <c:v>2Q</c:v>
                  </c:pt>
                  <c:pt idx="10">
                    <c:v>3Q</c:v>
                  </c:pt>
                  <c:pt idx="11">
                    <c:v>4Q</c:v>
                  </c:pt>
                  <c:pt idx="12">
                    <c:v>1Q</c:v>
                  </c:pt>
                  <c:pt idx="13">
                    <c:v>2Q</c:v>
                  </c:pt>
                  <c:pt idx="14">
                    <c:v>3Q</c:v>
                  </c:pt>
                  <c:pt idx="15">
                    <c:v>4Q</c:v>
                  </c:pt>
                  <c:pt idx="16">
                    <c:v>1Q</c:v>
                  </c:pt>
                  <c:pt idx="17">
                    <c:v>2Q</c:v>
                  </c:pt>
                  <c:pt idx="18">
                    <c:v>3Q</c:v>
                  </c:pt>
                  <c:pt idx="19">
                    <c:v>4Q</c:v>
                  </c:pt>
                </c:lvl>
                <c:lvl>
                  <c:pt idx="0">
                    <c:v>1차년도</c:v>
                  </c:pt>
                  <c:pt idx="4">
                    <c:v>2차년도</c:v>
                  </c:pt>
                  <c:pt idx="8">
                    <c:v>3차년도</c:v>
                  </c:pt>
                  <c:pt idx="12">
                    <c:v>4차년도</c:v>
                  </c:pt>
                  <c:pt idx="16">
                    <c:v>5차년도</c:v>
                  </c:pt>
                </c:lvl>
              </c:multiLvlStrCache>
            </c:multiLvlStrRef>
          </c:cat>
          <c:val>
            <c:numRef>
              <c:f>'3. 기초 분석 자료'!$C$45:$V$45</c:f>
              <c:numCache>
                <c:formatCode>#,##0.00_ </c:formatCode>
                <c:ptCount val="20"/>
                <c:pt idx="0">
                  <c:v>1050</c:v>
                </c:pt>
                <c:pt idx="1">
                  <c:v>1060</c:v>
                </c:pt>
                <c:pt idx="2">
                  <c:v>1072</c:v>
                </c:pt>
                <c:pt idx="3">
                  <c:v>1080</c:v>
                </c:pt>
                <c:pt idx="4">
                  <c:v>1082</c:v>
                </c:pt>
                <c:pt idx="5">
                  <c:v>1083</c:v>
                </c:pt>
                <c:pt idx="6">
                  <c:v>1090</c:v>
                </c:pt>
                <c:pt idx="7">
                  <c:v>1098</c:v>
                </c:pt>
                <c:pt idx="8">
                  <c:v>1104</c:v>
                </c:pt>
                <c:pt idx="9">
                  <c:v>1106</c:v>
                </c:pt>
                <c:pt idx="10">
                  <c:v>1102</c:v>
                </c:pt>
                <c:pt idx="11">
                  <c:v>1100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0-FCE9-41C3-B9F2-F4A317ED67F1}"/>
            </c:ext>
          </c:extLst>
        </c:ser>
        <c:dLbls>
          <c:showLegendKey val="0"/>
          <c:showVal val="0"/>
          <c:showCatName val="0"/>
          <c:showSerName val="0"/>
          <c:showPercent val="0"/>
          <c:showBubbleSize val="0"/>
        </c:dLbls>
        <c:marker val="1"/>
        <c:smooth val="0"/>
        <c:axId val="2143094432"/>
        <c:axId val="1"/>
      </c:lineChart>
      <c:lineChart>
        <c:grouping val="standard"/>
        <c:varyColors val="0"/>
        <c:ser>
          <c:idx val="0"/>
          <c:order val="1"/>
          <c:tx>
            <c:v>중국</c:v>
          </c:tx>
          <c:cat>
            <c:multiLvlStrRef>
              <c:f>'3. 기초 분석 자료'!$C$36:$V$37</c:f>
              <c:multiLvlStrCache>
                <c:ptCount val="20"/>
                <c:lvl>
                  <c:pt idx="0">
                    <c:v>1Q</c:v>
                  </c:pt>
                  <c:pt idx="1">
                    <c:v>2Q</c:v>
                  </c:pt>
                  <c:pt idx="2">
                    <c:v>3Q</c:v>
                  </c:pt>
                  <c:pt idx="3">
                    <c:v>4Q</c:v>
                  </c:pt>
                  <c:pt idx="4">
                    <c:v>1Q</c:v>
                  </c:pt>
                  <c:pt idx="5">
                    <c:v>2Q</c:v>
                  </c:pt>
                  <c:pt idx="6">
                    <c:v>3Q</c:v>
                  </c:pt>
                  <c:pt idx="7">
                    <c:v>4Q</c:v>
                  </c:pt>
                  <c:pt idx="8">
                    <c:v>1Q</c:v>
                  </c:pt>
                  <c:pt idx="9">
                    <c:v>2Q</c:v>
                  </c:pt>
                  <c:pt idx="10">
                    <c:v>3Q</c:v>
                  </c:pt>
                  <c:pt idx="11">
                    <c:v>4Q</c:v>
                  </c:pt>
                  <c:pt idx="12">
                    <c:v>1Q</c:v>
                  </c:pt>
                  <c:pt idx="13">
                    <c:v>2Q</c:v>
                  </c:pt>
                  <c:pt idx="14">
                    <c:v>3Q</c:v>
                  </c:pt>
                  <c:pt idx="15">
                    <c:v>4Q</c:v>
                  </c:pt>
                  <c:pt idx="16">
                    <c:v>1Q</c:v>
                  </c:pt>
                  <c:pt idx="17">
                    <c:v>2Q</c:v>
                  </c:pt>
                  <c:pt idx="18">
                    <c:v>3Q</c:v>
                  </c:pt>
                  <c:pt idx="19">
                    <c:v>4Q</c:v>
                  </c:pt>
                </c:lvl>
                <c:lvl>
                  <c:pt idx="0">
                    <c:v>1차년도</c:v>
                  </c:pt>
                  <c:pt idx="4">
                    <c:v>2차년도</c:v>
                  </c:pt>
                  <c:pt idx="8">
                    <c:v>3차년도</c:v>
                  </c:pt>
                  <c:pt idx="12">
                    <c:v>4차년도</c:v>
                  </c:pt>
                  <c:pt idx="16">
                    <c:v>5차년도</c:v>
                  </c:pt>
                </c:lvl>
              </c:multiLvlStrCache>
            </c:multiLvlStrRef>
          </c:cat>
          <c:val>
            <c:numRef>
              <c:f>'3. 기초 분석 자료'!$C$46:$V$46</c:f>
              <c:numCache>
                <c:formatCode>#,##0.00_ </c:formatCode>
                <c:ptCount val="20"/>
                <c:pt idx="0">
                  <c:v>199</c:v>
                </c:pt>
                <c:pt idx="1">
                  <c:v>197</c:v>
                </c:pt>
                <c:pt idx="2">
                  <c:v>195</c:v>
                </c:pt>
                <c:pt idx="3">
                  <c:v>193</c:v>
                </c:pt>
                <c:pt idx="4">
                  <c:v>189</c:v>
                </c:pt>
                <c:pt idx="5">
                  <c:v>188</c:v>
                </c:pt>
                <c:pt idx="6">
                  <c:v>187</c:v>
                </c:pt>
                <c:pt idx="7">
                  <c:v>185</c:v>
                </c:pt>
                <c:pt idx="8">
                  <c:v>179</c:v>
                </c:pt>
                <c:pt idx="9">
                  <c:v>176</c:v>
                </c:pt>
                <c:pt idx="10">
                  <c:v>175.3</c:v>
                </c:pt>
                <c:pt idx="11">
                  <c:v>175</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1-FCE9-41C3-B9F2-F4A317ED67F1}"/>
            </c:ext>
          </c:extLst>
        </c:ser>
        <c:dLbls>
          <c:showLegendKey val="0"/>
          <c:showVal val="0"/>
          <c:showCatName val="0"/>
          <c:showSerName val="0"/>
          <c:showPercent val="0"/>
          <c:showBubbleSize val="0"/>
        </c:dLbls>
        <c:marker val="1"/>
        <c:smooth val="0"/>
        <c:axId val="3"/>
        <c:axId val="4"/>
      </c:lineChart>
      <c:catAx>
        <c:axId val="2143094432"/>
        <c:scaling>
          <c:orientation val="minMax"/>
        </c:scaling>
        <c:delete val="0"/>
        <c:axPos val="b"/>
        <c:numFmt formatCode="General" sourceLinked="1"/>
        <c:majorTickMark val="out"/>
        <c:minorTickMark val="none"/>
        <c:tickLblPos val="nextTo"/>
        <c:crossAx val="1"/>
        <c:crosses val="autoZero"/>
        <c:auto val="1"/>
        <c:lblAlgn val="ctr"/>
        <c:lblOffset val="100"/>
        <c:noMultiLvlLbl val="0"/>
      </c:catAx>
      <c:valAx>
        <c:axId val="1"/>
        <c:scaling>
          <c:orientation val="minMax"/>
          <c:max val="1200"/>
          <c:min val="1000"/>
        </c:scaling>
        <c:delete val="0"/>
        <c:axPos val="l"/>
        <c:majorGridlines/>
        <c:numFmt formatCode="#,##0.00_ " sourceLinked="1"/>
        <c:majorTickMark val="out"/>
        <c:minorTickMark val="none"/>
        <c:tickLblPos val="nextTo"/>
        <c:crossAx val="2143094432"/>
        <c:crosses val="autoZero"/>
        <c:crossBetween val="between"/>
        <c:majorUnit val="25"/>
        <c:minorUnit val="5"/>
      </c:valAx>
      <c:catAx>
        <c:axId val="3"/>
        <c:scaling>
          <c:orientation val="minMax"/>
        </c:scaling>
        <c:delete val="1"/>
        <c:axPos val="b"/>
        <c:numFmt formatCode="General" sourceLinked="1"/>
        <c:majorTickMark val="out"/>
        <c:minorTickMark val="none"/>
        <c:tickLblPos val="nextTo"/>
        <c:crossAx val="4"/>
        <c:crosses val="autoZero"/>
        <c:auto val="1"/>
        <c:lblAlgn val="ctr"/>
        <c:lblOffset val="100"/>
        <c:noMultiLvlLbl val="0"/>
      </c:catAx>
      <c:valAx>
        <c:axId val="4"/>
        <c:scaling>
          <c:orientation val="minMax"/>
          <c:max val="200"/>
          <c:min val="150"/>
        </c:scaling>
        <c:delete val="0"/>
        <c:axPos val="r"/>
        <c:numFmt formatCode="#,##0.00_ " sourceLinked="1"/>
        <c:majorTickMark val="out"/>
        <c:minorTickMark val="none"/>
        <c:tickLblPos val="nextTo"/>
        <c:crossAx val="3"/>
        <c:crosses val="max"/>
        <c:crossBetween val="between"/>
        <c:majorUnit val="10"/>
        <c:minorUnit val="2"/>
      </c:valAx>
    </c:plotArea>
    <c:legend>
      <c:legendPos val="r"/>
      <c:layout>
        <c:manualLayout>
          <c:xMode val="edge"/>
          <c:yMode val="edge"/>
          <c:x val="0.41485460191751328"/>
          <c:y val="0.90912122801281114"/>
          <c:w val="0.17032153744414036"/>
          <c:h val="6.8184092100960839E-2"/>
        </c:manualLayout>
      </c:layout>
      <c:overlay val="0"/>
    </c:legend>
    <c:plotVisOnly val="1"/>
    <c:dispBlanksAs val="gap"/>
    <c:showDLblsOverMax val="0"/>
  </c:chart>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맑은 고딕"/>
                <a:ea typeface="맑은 고딕"/>
                <a:cs typeface="맑은 고딕"/>
              </a:defRPr>
            </a:pPr>
            <a:r>
              <a:rPr lang="en-US" sz="1400" b="1" i="0" u="none" strike="noStrike" baseline="0">
                <a:solidFill>
                  <a:srgbClr val="000000"/>
                </a:solidFill>
                <a:latin typeface="맑은 고딕"/>
                <a:ea typeface="맑은 고딕"/>
              </a:rPr>
              <a:t>국가별 소비자물가지수 변화</a:t>
            </a:r>
          </a:p>
        </c:rich>
      </c:tx>
      <c:overlay val="0"/>
    </c:title>
    <c:autoTitleDeleted val="0"/>
    <c:plotArea>
      <c:layout/>
      <c:lineChart>
        <c:grouping val="standard"/>
        <c:varyColors val="0"/>
        <c:ser>
          <c:idx val="0"/>
          <c:order val="0"/>
          <c:tx>
            <c:strRef>
              <c:f>'3. 기초 분석 자료'!$B$41</c:f>
              <c:strCache>
                <c:ptCount val="1"/>
                <c:pt idx="0">
                  <c:v>한국</c:v>
                </c:pt>
              </c:strCache>
            </c:strRef>
          </c:tx>
          <c:cat>
            <c:multiLvlStrRef>
              <c:f>'3. 기초 분석 자료'!$C$36:$V$37</c:f>
              <c:multiLvlStrCache>
                <c:ptCount val="20"/>
                <c:lvl>
                  <c:pt idx="0">
                    <c:v>1Q</c:v>
                  </c:pt>
                  <c:pt idx="1">
                    <c:v>2Q</c:v>
                  </c:pt>
                  <c:pt idx="2">
                    <c:v>3Q</c:v>
                  </c:pt>
                  <c:pt idx="3">
                    <c:v>4Q</c:v>
                  </c:pt>
                  <c:pt idx="4">
                    <c:v>1Q</c:v>
                  </c:pt>
                  <c:pt idx="5">
                    <c:v>2Q</c:v>
                  </c:pt>
                  <c:pt idx="6">
                    <c:v>3Q</c:v>
                  </c:pt>
                  <c:pt idx="7">
                    <c:v>4Q</c:v>
                  </c:pt>
                  <c:pt idx="8">
                    <c:v>1Q</c:v>
                  </c:pt>
                  <c:pt idx="9">
                    <c:v>2Q</c:v>
                  </c:pt>
                  <c:pt idx="10">
                    <c:v>3Q</c:v>
                  </c:pt>
                  <c:pt idx="11">
                    <c:v>4Q</c:v>
                  </c:pt>
                  <c:pt idx="12">
                    <c:v>1Q</c:v>
                  </c:pt>
                  <c:pt idx="13">
                    <c:v>2Q</c:v>
                  </c:pt>
                  <c:pt idx="14">
                    <c:v>3Q</c:v>
                  </c:pt>
                  <c:pt idx="15">
                    <c:v>4Q</c:v>
                  </c:pt>
                  <c:pt idx="16">
                    <c:v>1Q</c:v>
                  </c:pt>
                  <c:pt idx="17">
                    <c:v>2Q</c:v>
                  </c:pt>
                  <c:pt idx="18">
                    <c:v>3Q</c:v>
                  </c:pt>
                  <c:pt idx="19">
                    <c:v>4Q</c:v>
                  </c:pt>
                </c:lvl>
                <c:lvl>
                  <c:pt idx="0">
                    <c:v>1차년도</c:v>
                  </c:pt>
                  <c:pt idx="4">
                    <c:v>2차년도</c:v>
                  </c:pt>
                  <c:pt idx="8">
                    <c:v>3차년도</c:v>
                  </c:pt>
                  <c:pt idx="12">
                    <c:v>4차년도</c:v>
                  </c:pt>
                  <c:pt idx="16">
                    <c:v>5차년도</c:v>
                  </c:pt>
                </c:lvl>
              </c:multiLvlStrCache>
            </c:multiLvlStrRef>
          </c:cat>
          <c:val>
            <c:numRef>
              <c:f>'3. 기초 분석 자료'!$C$41:$V$41</c:f>
              <c:numCache>
                <c:formatCode>#,##0.00_ </c:formatCode>
                <c:ptCount val="20"/>
                <c:pt idx="0">
                  <c:v>91.3</c:v>
                </c:pt>
                <c:pt idx="1">
                  <c:v>92.1</c:v>
                </c:pt>
                <c:pt idx="2">
                  <c:v>92.9</c:v>
                </c:pt>
                <c:pt idx="3">
                  <c:v>94.1</c:v>
                </c:pt>
                <c:pt idx="4">
                  <c:v>94.9</c:v>
                </c:pt>
                <c:pt idx="5">
                  <c:v>95.7</c:v>
                </c:pt>
                <c:pt idx="6">
                  <c:v>96.4</c:v>
                </c:pt>
                <c:pt idx="7">
                  <c:v>97</c:v>
                </c:pt>
                <c:pt idx="8">
                  <c:v>97.7</c:v>
                </c:pt>
                <c:pt idx="9">
                  <c:v>98.5</c:v>
                </c:pt>
                <c:pt idx="10">
                  <c:v>99.2</c:v>
                </c:pt>
                <c:pt idx="11">
                  <c:v>100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0-ADAA-45DA-8EA7-BA48EBE97951}"/>
            </c:ext>
          </c:extLst>
        </c:ser>
        <c:ser>
          <c:idx val="1"/>
          <c:order val="1"/>
          <c:tx>
            <c:strRef>
              <c:f>'3. 기초 분석 자료'!$B$42</c:f>
              <c:strCache>
                <c:ptCount val="1"/>
                <c:pt idx="0">
                  <c:v>U국가</c:v>
                </c:pt>
              </c:strCache>
            </c:strRef>
          </c:tx>
          <c:val>
            <c:numRef>
              <c:f>'3. 기초 분석 자료'!$C$42:$V$42</c:f>
              <c:numCache>
                <c:formatCode>#,##0.00_ </c:formatCode>
                <c:ptCount val="20"/>
                <c:pt idx="0">
                  <c:v>92.9</c:v>
                </c:pt>
                <c:pt idx="1">
                  <c:v>93.4</c:v>
                </c:pt>
                <c:pt idx="2">
                  <c:v>94.2</c:v>
                </c:pt>
                <c:pt idx="3">
                  <c:v>95</c:v>
                </c:pt>
                <c:pt idx="4">
                  <c:v>95.6</c:v>
                </c:pt>
                <c:pt idx="5">
                  <c:v>96.2</c:v>
                </c:pt>
                <c:pt idx="6">
                  <c:v>97</c:v>
                </c:pt>
                <c:pt idx="7">
                  <c:v>97.5</c:v>
                </c:pt>
                <c:pt idx="8">
                  <c:v>98.1</c:v>
                </c:pt>
                <c:pt idx="9">
                  <c:v>98.8</c:v>
                </c:pt>
                <c:pt idx="10">
                  <c:v>99.4</c:v>
                </c:pt>
                <c:pt idx="11">
                  <c:v>100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1-ADAA-45DA-8EA7-BA48EBE97951}"/>
            </c:ext>
          </c:extLst>
        </c:ser>
        <c:ser>
          <c:idx val="2"/>
          <c:order val="2"/>
          <c:tx>
            <c:strRef>
              <c:f>'3. 기초 분석 자료'!$B$43</c:f>
              <c:strCache>
                <c:ptCount val="1"/>
                <c:pt idx="0">
                  <c:v>C국가</c:v>
                </c:pt>
              </c:strCache>
            </c:strRef>
          </c:tx>
          <c:val>
            <c:numRef>
              <c:f>'3. 기초 분석 자료'!$C$43:$V$43</c:f>
              <c:numCache>
                <c:formatCode>#,##0.00_ </c:formatCode>
                <c:ptCount val="20"/>
                <c:pt idx="0">
                  <c:v>90.5</c:v>
                </c:pt>
                <c:pt idx="1">
                  <c:v>91.2</c:v>
                </c:pt>
                <c:pt idx="2">
                  <c:v>92.1</c:v>
                </c:pt>
                <c:pt idx="3">
                  <c:v>93</c:v>
                </c:pt>
                <c:pt idx="4">
                  <c:v>94</c:v>
                </c:pt>
                <c:pt idx="5">
                  <c:v>94.9</c:v>
                </c:pt>
                <c:pt idx="6">
                  <c:v>95.7</c:v>
                </c:pt>
                <c:pt idx="7">
                  <c:v>96.5</c:v>
                </c:pt>
                <c:pt idx="8">
                  <c:v>97.3</c:v>
                </c:pt>
                <c:pt idx="9">
                  <c:v>98.1</c:v>
                </c:pt>
                <c:pt idx="10">
                  <c:v>99</c:v>
                </c:pt>
                <c:pt idx="11">
                  <c:v>100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2-ADAA-45DA-8EA7-BA48EBE97951}"/>
            </c:ext>
          </c:extLst>
        </c:ser>
        <c:dLbls>
          <c:showLegendKey val="0"/>
          <c:showVal val="0"/>
          <c:showCatName val="0"/>
          <c:showSerName val="0"/>
          <c:showPercent val="0"/>
          <c:showBubbleSize val="0"/>
        </c:dLbls>
        <c:marker val="1"/>
        <c:smooth val="0"/>
        <c:axId val="2143095232"/>
        <c:axId val="1"/>
      </c:lineChart>
      <c:catAx>
        <c:axId val="2143095232"/>
        <c:scaling>
          <c:orientation val="minMax"/>
        </c:scaling>
        <c:delete val="0"/>
        <c:axPos val="b"/>
        <c:numFmt formatCode="General" sourceLinked="1"/>
        <c:majorTickMark val="out"/>
        <c:minorTickMark val="none"/>
        <c:tickLblPos val="nextTo"/>
        <c:crossAx val="1"/>
        <c:crosses val="autoZero"/>
        <c:auto val="1"/>
        <c:lblAlgn val="ctr"/>
        <c:lblOffset val="100"/>
        <c:noMultiLvlLbl val="0"/>
      </c:catAx>
      <c:valAx>
        <c:axId val="1"/>
        <c:scaling>
          <c:orientation val="minMax"/>
          <c:max val="105"/>
          <c:min val="90"/>
        </c:scaling>
        <c:delete val="0"/>
        <c:axPos val="l"/>
        <c:majorGridlines/>
        <c:numFmt formatCode="#,##0.00_ " sourceLinked="1"/>
        <c:majorTickMark val="out"/>
        <c:minorTickMark val="none"/>
        <c:tickLblPos val="nextTo"/>
        <c:crossAx val="2143095232"/>
        <c:crosses val="autoZero"/>
        <c:crossBetween val="between"/>
        <c:majorUnit val="2"/>
        <c:minorUnit val="1"/>
      </c:valAx>
    </c:plotArea>
    <c:legend>
      <c:legendPos val="r"/>
      <c:layout>
        <c:manualLayout>
          <c:xMode val="edge"/>
          <c:yMode val="edge"/>
          <c:x val="0.35891560298352743"/>
          <c:y val="0.91145781742438725"/>
          <c:w val="0.28905035202108509"/>
          <c:h val="6.8573628897132574E-2"/>
        </c:manualLayout>
      </c:layout>
      <c:overlay val="0"/>
    </c:legend>
    <c:plotVisOnly val="1"/>
    <c:dispBlanksAs val="gap"/>
    <c:showDLblsOverMax val="0"/>
  </c:chart>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맑은 고딕"/>
                <a:ea typeface="맑은 고딕"/>
                <a:cs typeface="맑은 고딕"/>
              </a:defRPr>
            </a:pPr>
            <a:r>
              <a:rPr lang="en-US" sz="1400" b="1" i="0" u="none" strike="noStrike" baseline="0">
                <a:solidFill>
                  <a:srgbClr val="000000"/>
                </a:solidFill>
                <a:latin typeface="맑은 고딕"/>
                <a:ea typeface="맑은 고딕"/>
              </a:rPr>
              <a:t>유통매장수와 판매량 변화 (한국)</a:t>
            </a:r>
          </a:p>
        </c:rich>
      </c:tx>
      <c:overlay val="0"/>
    </c:title>
    <c:autoTitleDeleted val="0"/>
    <c:plotArea>
      <c:layout/>
      <c:barChart>
        <c:barDir val="col"/>
        <c:grouping val="clustered"/>
        <c:varyColors val="0"/>
        <c:ser>
          <c:idx val="1"/>
          <c:order val="1"/>
          <c:tx>
            <c:v>판매량</c:v>
          </c:tx>
          <c:spPr>
            <a:solidFill>
              <a:schemeClr val="accent1">
                <a:lumMod val="75000"/>
              </a:schemeClr>
            </a:solidFill>
          </c:spPr>
          <c:invertIfNegative val="0"/>
          <c:val>
            <c:numRef>
              <c:f>'3. 기초 분석 자료'!$C$133:$V$133</c:f>
              <c:numCache>
                <c:formatCode>_(* #,##0_);_(* \(#,##0\);_(* "-"_);_(@_)</c:formatCode>
                <c:ptCount val="20"/>
                <c:pt idx="0">
                  <c:v>38739</c:v>
                </c:pt>
                <c:pt idx="1">
                  <c:v>49455</c:v>
                </c:pt>
                <c:pt idx="2">
                  <c:v>46095</c:v>
                </c:pt>
                <c:pt idx="3">
                  <c:v>53923</c:v>
                </c:pt>
                <c:pt idx="4">
                  <c:v>38959</c:v>
                </c:pt>
                <c:pt idx="5">
                  <c:v>59451</c:v>
                </c:pt>
                <c:pt idx="6">
                  <c:v>53746</c:v>
                </c:pt>
                <c:pt idx="7">
                  <c:v>73267</c:v>
                </c:pt>
                <c:pt idx="8">
                  <c:v>65552</c:v>
                </c:pt>
                <c:pt idx="9">
                  <c:v>80232</c:v>
                </c:pt>
                <c:pt idx="10">
                  <c:v>69981</c:v>
                </c:pt>
                <c:pt idx="11">
                  <c:v>66680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A9B2-4DCB-A196-92259962ADDE}"/>
            </c:ext>
          </c:extLst>
        </c:ser>
        <c:dLbls>
          <c:showLegendKey val="0"/>
          <c:showVal val="0"/>
          <c:showCatName val="0"/>
          <c:showSerName val="0"/>
          <c:showPercent val="0"/>
          <c:showBubbleSize val="0"/>
        </c:dLbls>
        <c:gapWidth val="150"/>
        <c:axId val="3"/>
        <c:axId val="4"/>
      </c:barChart>
      <c:lineChart>
        <c:grouping val="standard"/>
        <c:varyColors val="0"/>
        <c:ser>
          <c:idx val="0"/>
          <c:order val="0"/>
          <c:tx>
            <c:strRef>
              <c:f>'3. 기초 분석 자료'!$B$181</c:f>
              <c:strCache>
                <c:ptCount val="1"/>
                <c:pt idx="0">
                  <c:v>매장수</c:v>
                </c:pt>
              </c:strCache>
            </c:strRef>
          </c:tx>
          <c:spPr>
            <a:ln>
              <a:solidFill>
                <a:schemeClr val="accent2">
                  <a:lumMod val="75000"/>
                </a:schemeClr>
              </a:solidFill>
            </a:ln>
          </c:spPr>
          <c:marker>
            <c:spPr>
              <a:solidFill>
                <a:schemeClr val="accent2">
                  <a:lumMod val="50000"/>
                </a:schemeClr>
              </a:solidFill>
            </c:spPr>
          </c:marker>
          <c:dLbls>
            <c:dLbl>
              <c:idx val="0"/>
              <c:delete val="1"/>
              <c:extLst>
                <c:ext xmlns:c15="http://schemas.microsoft.com/office/drawing/2012/chart" uri="{CE6537A1-D6FC-4f65-9D91-7224C49458BB}"/>
                <c:ext xmlns:c16="http://schemas.microsoft.com/office/drawing/2014/chart" uri="{C3380CC4-5D6E-409C-BE32-E72D297353CC}">
                  <c16:uniqueId val="{00000001-A9B2-4DCB-A196-92259962ADDE}"/>
                </c:ext>
              </c:extLst>
            </c:dLbl>
            <c:dLbl>
              <c:idx val="2"/>
              <c:delete val="1"/>
              <c:extLst>
                <c:ext xmlns:c15="http://schemas.microsoft.com/office/drawing/2012/chart" uri="{CE6537A1-D6FC-4f65-9D91-7224C49458BB}"/>
                <c:ext xmlns:c16="http://schemas.microsoft.com/office/drawing/2014/chart" uri="{C3380CC4-5D6E-409C-BE32-E72D297353CC}">
                  <c16:uniqueId val="{00000002-A9B2-4DCB-A196-92259962ADDE}"/>
                </c:ext>
              </c:extLst>
            </c:dLbl>
            <c:dLbl>
              <c:idx val="4"/>
              <c:delete val="1"/>
              <c:extLst>
                <c:ext xmlns:c15="http://schemas.microsoft.com/office/drawing/2012/chart" uri="{CE6537A1-D6FC-4f65-9D91-7224C49458BB}"/>
                <c:ext xmlns:c16="http://schemas.microsoft.com/office/drawing/2014/chart" uri="{C3380CC4-5D6E-409C-BE32-E72D297353CC}">
                  <c16:uniqueId val="{00000003-A9B2-4DCB-A196-92259962ADDE}"/>
                </c:ext>
              </c:extLst>
            </c:dLbl>
            <c:dLbl>
              <c:idx val="6"/>
              <c:delete val="1"/>
              <c:extLst>
                <c:ext xmlns:c15="http://schemas.microsoft.com/office/drawing/2012/chart" uri="{CE6537A1-D6FC-4f65-9D91-7224C49458BB}"/>
                <c:ext xmlns:c16="http://schemas.microsoft.com/office/drawing/2014/chart" uri="{C3380CC4-5D6E-409C-BE32-E72D297353CC}">
                  <c16:uniqueId val="{00000004-A9B2-4DCB-A196-92259962ADDE}"/>
                </c:ext>
              </c:extLst>
            </c:dLbl>
            <c:dLbl>
              <c:idx val="8"/>
              <c:delete val="1"/>
              <c:extLst>
                <c:ext xmlns:c15="http://schemas.microsoft.com/office/drawing/2012/chart" uri="{CE6537A1-D6FC-4f65-9D91-7224C49458BB}"/>
                <c:ext xmlns:c16="http://schemas.microsoft.com/office/drawing/2014/chart" uri="{C3380CC4-5D6E-409C-BE32-E72D297353CC}">
                  <c16:uniqueId val="{00000005-A9B2-4DCB-A196-92259962ADDE}"/>
                </c:ext>
              </c:extLst>
            </c:dLbl>
            <c:dLbl>
              <c:idx val="10"/>
              <c:delete val="1"/>
              <c:extLst>
                <c:ext xmlns:c15="http://schemas.microsoft.com/office/drawing/2012/chart" uri="{CE6537A1-D6FC-4f65-9D91-7224C49458BB}"/>
                <c:ext xmlns:c16="http://schemas.microsoft.com/office/drawing/2014/chart" uri="{C3380CC4-5D6E-409C-BE32-E72D297353CC}">
                  <c16:uniqueId val="{00000006-A9B2-4DCB-A196-92259962ADDE}"/>
                </c:ext>
              </c:extLst>
            </c:dLbl>
            <c:spPr>
              <a:solidFill>
                <a:sysClr val="window" lastClr="FFFFFF"/>
              </a:solidFill>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'3. 기초 분석 자료'!$C$36:$V$37</c:f>
              <c:multiLvlStrCache>
                <c:ptCount val="20"/>
                <c:lvl>
                  <c:pt idx="0">
                    <c:v>1Q</c:v>
                  </c:pt>
                  <c:pt idx="1">
                    <c:v>2Q</c:v>
                  </c:pt>
                  <c:pt idx="2">
                    <c:v>3Q</c:v>
                  </c:pt>
                  <c:pt idx="3">
                    <c:v>4Q</c:v>
                  </c:pt>
                  <c:pt idx="4">
                    <c:v>1Q</c:v>
                  </c:pt>
                  <c:pt idx="5">
                    <c:v>2Q</c:v>
                  </c:pt>
                  <c:pt idx="6">
                    <c:v>3Q</c:v>
                  </c:pt>
                  <c:pt idx="7">
                    <c:v>4Q</c:v>
                  </c:pt>
                  <c:pt idx="8">
                    <c:v>1Q</c:v>
                  </c:pt>
                  <c:pt idx="9">
                    <c:v>2Q</c:v>
                  </c:pt>
                  <c:pt idx="10">
                    <c:v>3Q</c:v>
                  </c:pt>
                  <c:pt idx="11">
                    <c:v>4Q</c:v>
                  </c:pt>
                  <c:pt idx="12">
                    <c:v>1Q</c:v>
                  </c:pt>
                  <c:pt idx="13">
                    <c:v>2Q</c:v>
                  </c:pt>
                  <c:pt idx="14">
                    <c:v>3Q</c:v>
                  </c:pt>
                  <c:pt idx="15">
                    <c:v>4Q</c:v>
                  </c:pt>
                  <c:pt idx="16">
                    <c:v>1Q</c:v>
                  </c:pt>
                  <c:pt idx="17">
                    <c:v>2Q</c:v>
                  </c:pt>
                  <c:pt idx="18">
                    <c:v>3Q</c:v>
                  </c:pt>
                  <c:pt idx="19">
                    <c:v>4Q</c:v>
                  </c:pt>
                </c:lvl>
                <c:lvl>
                  <c:pt idx="0">
                    <c:v>1차년도</c:v>
                  </c:pt>
                  <c:pt idx="4">
                    <c:v>2차년도</c:v>
                  </c:pt>
                  <c:pt idx="8">
                    <c:v>3차년도</c:v>
                  </c:pt>
                  <c:pt idx="12">
                    <c:v>4차년도</c:v>
                  </c:pt>
                  <c:pt idx="16">
                    <c:v>5차년도</c:v>
                  </c:pt>
                </c:lvl>
              </c:multiLvlStrCache>
            </c:multiLvlStrRef>
          </c:cat>
          <c:val>
            <c:numRef>
              <c:f>'3. 기초 분석 자료'!$C$181:$V$181</c:f>
              <c:numCache>
                <c:formatCode>_(* #,##0_);_(* \(#,##0\);_(* "-"_);_(@_)</c:formatCode>
                <c:ptCount val="20"/>
                <c:pt idx="0">
                  <c:v>3</c:v>
                </c:pt>
                <c:pt idx="1">
                  <c:v>5</c:v>
                </c:pt>
                <c:pt idx="2">
                  <c:v>7</c:v>
                </c:pt>
                <c:pt idx="3">
                  <c:v>10</c:v>
                </c:pt>
                <c:pt idx="4">
                  <c:v>14</c:v>
                </c:pt>
                <c:pt idx="5">
                  <c:v>16</c:v>
                </c:pt>
                <c:pt idx="6">
                  <c:v>18</c:v>
                </c:pt>
                <c:pt idx="7">
                  <c:v>20</c:v>
                </c:pt>
                <c:pt idx="8">
                  <c:v>22</c:v>
                </c:pt>
                <c:pt idx="9">
                  <c:v>24</c:v>
                </c:pt>
                <c:pt idx="10">
                  <c:v>25</c:v>
                </c:pt>
                <c:pt idx="11">
                  <c:v>30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7-A9B2-4DCB-A196-92259962ADDE}"/>
            </c:ext>
          </c:extLst>
        </c:ser>
        <c:dLbls>
          <c:showLegendKey val="0"/>
          <c:showVal val="0"/>
          <c:showCatName val="0"/>
          <c:showSerName val="0"/>
          <c:showPercent val="0"/>
          <c:showBubbleSize val="0"/>
        </c:dLbls>
        <c:marker val="1"/>
        <c:smooth val="0"/>
        <c:axId val="2143097232"/>
        <c:axId val="1"/>
      </c:lineChart>
      <c:catAx>
        <c:axId val="2143097232"/>
        <c:scaling>
          <c:orientation val="minMax"/>
        </c:scaling>
        <c:delete val="0"/>
        <c:axPos val="b"/>
        <c:numFmt formatCode="General" sourceLinked="1"/>
        <c:majorTickMark val="out"/>
        <c:minorTickMark val="none"/>
        <c:tickLblPos val="nextTo"/>
        <c:crossAx val="1"/>
        <c:crosses val="autoZero"/>
        <c:auto val="1"/>
        <c:lblAlgn val="ctr"/>
        <c:lblOffset val="100"/>
        <c:noMultiLvlLbl val="0"/>
      </c:catAx>
      <c:valAx>
        <c:axId val="1"/>
        <c:scaling>
          <c:orientation val="minMax"/>
        </c:scaling>
        <c:delete val="0"/>
        <c:axPos val="l"/>
        <c:majorGridlines/>
        <c:title>
          <c:tx>
            <c:rich>
              <a:bodyPr rot="0" vert="wordArtVert"/>
              <a:lstStyle/>
              <a:p>
                <a:pPr algn="ctr">
                  <a:defRPr sz="1100" b="0" i="0" u="none" strike="noStrike" baseline="0">
                    <a:solidFill>
                      <a:srgbClr val="000000"/>
                    </a:solidFill>
                    <a:latin typeface="맑은 고딕"/>
                    <a:ea typeface="맑은 고딕"/>
                    <a:cs typeface="맑은 고딕"/>
                  </a:defRPr>
                </a:pPr>
                <a:r>
                  <a:rPr lang="en-US" sz="1000" b="1" i="0" u="none" strike="noStrike" baseline="0">
                    <a:solidFill>
                      <a:srgbClr val="000000"/>
                    </a:solidFill>
                    <a:latin typeface="맑은 고딕"/>
                    <a:ea typeface="맑은 고딕"/>
                  </a:rPr>
                  <a:t>한국 유통매장</a:t>
                </a:r>
              </a:p>
            </c:rich>
          </c:tx>
          <c:overlay val="0"/>
          <c:spPr>
            <a:solidFill>
              <a:schemeClr val="accent1">
                <a:lumMod val="20000"/>
                <a:lumOff val="80000"/>
              </a:schemeClr>
            </a:solidFill>
          </c:spPr>
        </c:title>
        <c:numFmt formatCode="_(* #,##0_);_(* \(#,##0\);_(* &quot;-&quot;_);_(@_)" sourceLinked="1"/>
        <c:majorTickMark val="out"/>
        <c:minorTickMark val="none"/>
        <c:tickLblPos val="nextTo"/>
        <c:crossAx val="2143097232"/>
        <c:crosses val="autoZero"/>
        <c:crossBetween val="between"/>
      </c:valAx>
      <c:catAx>
        <c:axId val="3"/>
        <c:scaling>
          <c:orientation val="minMax"/>
        </c:scaling>
        <c:delete val="1"/>
        <c:axPos val="b"/>
        <c:majorTickMark val="out"/>
        <c:minorTickMark val="none"/>
        <c:tickLblPos val="nextTo"/>
        <c:crossAx val="4"/>
        <c:crosses val="autoZero"/>
        <c:auto val="1"/>
        <c:lblAlgn val="ctr"/>
        <c:lblOffset val="100"/>
        <c:noMultiLvlLbl val="0"/>
      </c:catAx>
      <c:valAx>
        <c:axId val="4"/>
        <c:scaling>
          <c:orientation val="minMax"/>
        </c:scaling>
        <c:delete val="0"/>
        <c:axPos val="r"/>
        <c:title>
          <c:tx>
            <c:rich>
              <a:bodyPr rot="0" vert="wordArtVertRtl"/>
              <a:lstStyle/>
              <a:p>
                <a:pPr>
                  <a:defRPr/>
                </a:pPr>
                <a:r>
                  <a:rPr lang="ko-KR" altLang="en-US"/>
                  <a:t>판매량</a:t>
                </a:r>
              </a:p>
            </c:rich>
          </c:tx>
          <c:overlay val="0"/>
          <c:spPr>
            <a:solidFill>
              <a:schemeClr val="accent1">
                <a:lumMod val="20000"/>
                <a:lumOff val="80000"/>
              </a:schemeClr>
            </a:solidFill>
          </c:spPr>
        </c:title>
        <c:numFmt formatCode="_(* #,##0_);_(* \(#,##0\);_(* &quot;-&quot;_);_(@_)" sourceLinked="1"/>
        <c:majorTickMark val="out"/>
        <c:minorTickMark val="none"/>
        <c:tickLblPos val="nextTo"/>
        <c:crossAx val="3"/>
        <c:crosses val="max"/>
        <c:crossBetween val="between"/>
      </c:valAx>
    </c:plotArea>
    <c:legend>
      <c:legendPos val="r"/>
      <c:layout>
        <c:manualLayout>
          <c:xMode val="edge"/>
          <c:yMode val="edge"/>
          <c:x val="0.39579416597514017"/>
          <c:y val="0.92066569297805811"/>
          <c:w val="0.21340625877029501"/>
          <c:h val="6.3494185722624691E-2"/>
        </c:manualLayout>
      </c:layout>
      <c:overlay val="0"/>
    </c:legend>
    <c:plotVisOnly val="1"/>
    <c:dispBlanksAs val="gap"/>
    <c:showDLblsOverMax val="0"/>
  </c:chart>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맑은 고딕"/>
                <a:ea typeface="맑은 고딕"/>
                <a:cs typeface="맑은 고딕"/>
              </a:defRPr>
            </a:pPr>
            <a:r>
              <a:rPr lang="en-US" sz="1400" b="1" i="0" u="none" strike="noStrike" baseline="0">
                <a:solidFill>
                  <a:srgbClr val="000000"/>
                </a:solidFill>
                <a:latin typeface="맑은 고딕"/>
                <a:ea typeface="맑은 고딕"/>
              </a:rPr>
              <a:t>유통매장수와 판매량 변화 (미국)</a:t>
            </a:r>
          </a:p>
        </c:rich>
      </c:tx>
      <c:overlay val="0"/>
    </c:title>
    <c:autoTitleDeleted val="0"/>
    <c:plotArea>
      <c:layout/>
      <c:barChart>
        <c:barDir val="col"/>
        <c:grouping val="clustered"/>
        <c:varyColors val="0"/>
        <c:ser>
          <c:idx val="1"/>
          <c:order val="1"/>
          <c:tx>
            <c:v>판매량</c:v>
          </c:tx>
          <c:spPr>
            <a:solidFill>
              <a:srgbClr val="FFC000"/>
            </a:solidFill>
          </c:spPr>
          <c:invertIfNegative val="0"/>
          <c:val>
            <c:numRef>
              <c:f>'3. 기초 분석 자료'!$C$135:$V$135</c:f>
              <c:numCache>
                <c:formatCode>_(* #,##0_);_(* \(#,##0\);_(* "-"_);_(@_)</c:formatCode>
                <c:ptCount val="20"/>
                <c:pt idx="0">
                  <c:v>23963</c:v>
                </c:pt>
                <c:pt idx="1">
                  <c:v>32381</c:v>
                </c:pt>
                <c:pt idx="2">
                  <c:v>34739</c:v>
                </c:pt>
                <c:pt idx="3">
                  <c:v>39025</c:v>
                </c:pt>
                <c:pt idx="4">
                  <c:v>34074</c:v>
                </c:pt>
                <c:pt idx="5">
                  <c:v>39074</c:v>
                </c:pt>
                <c:pt idx="6">
                  <c:v>39354</c:v>
                </c:pt>
                <c:pt idx="7">
                  <c:v>40033</c:v>
                </c:pt>
                <c:pt idx="8">
                  <c:v>33564</c:v>
                </c:pt>
                <c:pt idx="9">
                  <c:v>36277</c:v>
                </c:pt>
                <c:pt idx="10">
                  <c:v>33702</c:v>
                </c:pt>
                <c:pt idx="11">
                  <c:v>32680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3B74-4841-A9F3-B084E6678CED}"/>
            </c:ext>
          </c:extLst>
        </c:ser>
        <c:dLbls>
          <c:showLegendKey val="0"/>
          <c:showVal val="0"/>
          <c:showCatName val="0"/>
          <c:showSerName val="0"/>
          <c:showPercent val="0"/>
          <c:showBubbleSize val="0"/>
        </c:dLbls>
        <c:gapWidth val="150"/>
        <c:axId val="3"/>
        <c:axId val="4"/>
      </c:barChart>
      <c:lineChart>
        <c:grouping val="standard"/>
        <c:varyColors val="0"/>
        <c:ser>
          <c:idx val="0"/>
          <c:order val="0"/>
          <c:tx>
            <c:strRef>
              <c:f>'3. 기초 분석 자료'!$B$183</c:f>
              <c:strCache>
                <c:ptCount val="1"/>
                <c:pt idx="0">
                  <c:v>매장수</c:v>
                </c:pt>
              </c:strCache>
            </c:strRef>
          </c:tx>
          <c:spPr>
            <a:ln>
              <a:solidFill>
                <a:schemeClr val="accent2">
                  <a:lumMod val="75000"/>
                </a:schemeClr>
              </a:solidFill>
            </a:ln>
          </c:spPr>
          <c:marker>
            <c:spPr>
              <a:solidFill>
                <a:schemeClr val="accent2">
                  <a:lumMod val="50000"/>
                </a:schemeClr>
              </a:solidFill>
            </c:spPr>
          </c:marker>
          <c:dLbls>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'3. 기초 분석 자료'!$C$36:$V$37</c:f>
              <c:multiLvlStrCache>
                <c:ptCount val="20"/>
                <c:lvl>
                  <c:pt idx="0">
                    <c:v>1Q</c:v>
                  </c:pt>
                  <c:pt idx="1">
                    <c:v>2Q</c:v>
                  </c:pt>
                  <c:pt idx="2">
                    <c:v>3Q</c:v>
                  </c:pt>
                  <c:pt idx="3">
                    <c:v>4Q</c:v>
                  </c:pt>
                  <c:pt idx="4">
                    <c:v>1Q</c:v>
                  </c:pt>
                  <c:pt idx="5">
                    <c:v>2Q</c:v>
                  </c:pt>
                  <c:pt idx="6">
                    <c:v>3Q</c:v>
                  </c:pt>
                  <c:pt idx="7">
                    <c:v>4Q</c:v>
                  </c:pt>
                  <c:pt idx="8">
                    <c:v>1Q</c:v>
                  </c:pt>
                  <c:pt idx="9">
                    <c:v>2Q</c:v>
                  </c:pt>
                  <c:pt idx="10">
                    <c:v>3Q</c:v>
                  </c:pt>
                  <c:pt idx="11">
                    <c:v>4Q</c:v>
                  </c:pt>
                  <c:pt idx="12">
                    <c:v>1Q</c:v>
                  </c:pt>
                  <c:pt idx="13">
                    <c:v>2Q</c:v>
                  </c:pt>
                  <c:pt idx="14">
                    <c:v>3Q</c:v>
                  </c:pt>
                  <c:pt idx="15">
                    <c:v>4Q</c:v>
                  </c:pt>
                  <c:pt idx="16">
                    <c:v>1Q</c:v>
                  </c:pt>
                  <c:pt idx="17">
                    <c:v>2Q</c:v>
                  </c:pt>
                  <c:pt idx="18">
                    <c:v>3Q</c:v>
                  </c:pt>
                  <c:pt idx="19">
                    <c:v>4Q</c:v>
                  </c:pt>
                </c:lvl>
                <c:lvl>
                  <c:pt idx="0">
                    <c:v>1차년도</c:v>
                  </c:pt>
                  <c:pt idx="4">
                    <c:v>2차년도</c:v>
                  </c:pt>
                  <c:pt idx="8">
                    <c:v>3차년도</c:v>
                  </c:pt>
                  <c:pt idx="12">
                    <c:v>4차년도</c:v>
                  </c:pt>
                  <c:pt idx="16">
                    <c:v>5차년도</c:v>
                  </c:pt>
                </c:lvl>
              </c:multiLvlStrCache>
            </c:multiLvlStrRef>
          </c:cat>
          <c:val>
            <c:numRef>
              <c:f>'3. 기초 분석 자료'!$C$183:$V$183</c:f>
              <c:numCache>
                <c:formatCode>_(* #,##0_);_(* \(#,##0\);_(* "-"_);_(@_)</c:formatCode>
                <c:ptCount val="20"/>
                <c:pt idx="0">
                  <c:v>1</c:v>
                </c:pt>
                <c:pt idx="1">
                  <c:v>2</c:v>
                </c:pt>
                <c:pt idx="2">
                  <c:v>3</c:v>
                </c:pt>
                <c:pt idx="3">
                  <c:v>4</c:v>
                </c:pt>
                <c:pt idx="4">
                  <c:v>5</c:v>
                </c:pt>
                <c:pt idx="5">
                  <c:v>7</c:v>
                </c:pt>
                <c:pt idx="6">
                  <c:v>8</c:v>
                </c:pt>
                <c:pt idx="7">
                  <c:v>9</c:v>
                </c:pt>
                <c:pt idx="8">
                  <c:v>10</c:v>
                </c:pt>
                <c:pt idx="9">
                  <c:v>11</c:v>
                </c:pt>
                <c:pt idx="10">
                  <c:v>13</c:v>
                </c:pt>
                <c:pt idx="11">
                  <c:v>15</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1-3B74-4841-A9F3-B084E6678CED}"/>
            </c:ext>
          </c:extLst>
        </c:ser>
        <c:dLbls>
          <c:showLegendKey val="0"/>
          <c:showVal val="0"/>
          <c:showCatName val="0"/>
          <c:showSerName val="0"/>
          <c:showPercent val="0"/>
          <c:showBubbleSize val="0"/>
        </c:dLbls>
        <c:marker val="1"/>
        <c:smooth val="0"/>
        <c:axId val="2143096032"/>
        <c:axId val="1"/>
      </c:lineChart>
      <c:catAx>
        <c:axId val="2143096032"/>
        <c:scaling>
          <c:orientation val="minMax"/>
        </c:scaling>
        <c:delete val="0"/>
        <c:axPos val="b"/>
        <c:numFmt formatCode="General" sourceLinked="1"/>
        <c:majorTickMark val="out"/>
        <c:minorTickMark val="none"/>
        <c:tickLblPos val="nextTo"/>
        <c:crossAx val="1"/>
        <c:crosses val="autoZero"/>
        <c:auto val="1"/>
        <c:lblAlgn val="ctr"/>
        <c:lblOffset val="100"/>
        <c:noMultiLvlLbl val="0"/>
      </c:catAx>
      <c:valAx>
        <c:axId val="1"/>
        <c:scaling>
          <c:orientation val="minMax"/>
        </c:scaling>
        <c:delete val="0"/>
        <c:axPos val="l"/>
        <c:majorGridlines/>
        <c:title>
          <c:tx>
            <c:rich>
              <a:bodyPr rot="0" vert="wordArtVert"/>
              <a:lstStyle/>
              <a:p>
                <a:pPr algn="ctr">
                  <a:defRPr sz="1100" b="0" i="0" u="none" strike="noStrike" baseline="0">
                    <a:solidFill>
                      <a:srgbClr val="000000"/>
                    </a:solidFill>
                    <a:latin typeface="맑은 고딕"/>
                    <a:ea typeface="맑은 고딕"/>
                    <a:cs typeface="맑은 고딕"/>
                  </a:defRPr>
                </a:pPr>
                <a:r>
                  <a:rPr lang="en-US" sz="1000" b="1" i="0" u="none" strike="noStrike" baseline="0">
                    <a:solidFill>
                      <a:srgbClr val="000000"/>
                    </a:solidFill>
                    <a:latin typeface="맑은 고딕"/>
                    <a:ea typeface="맑은 고딕"/>
                  </a:rPr>
                  <a:t>미국 유통매장</a:t>
                </a:r>
              </a:p>
            </c:rich>
          </c:tx>
          <c:overlay val="0"/>
          <c:spPr>
            <a:solidFill>
              <a:schemeClr val="accent1">
                <a:lumMod val="20000"/>
                <a:lumOff val="80000"/>
              </a:schemeClr>
            </a:solidFill>
          </c:spPr>
        </c:title>
        <c:numFmt formatCode="_(* #,##0_);_(* \(#,##0\);_(* &quot;-&quot;_);_(@_)" sourceLinked="1"/>
        <c:majorTickMark val="out"/>
        <c:minorTickMark val="none"/>
        <c:tickLblPos val="nextTo"/>
        <c:crossAx val="2143096032"/>
        <c:crosses val="autoZero"/>
        <c:crossBetween val="between"/>
      </c:valAx>
      <c:catAx>
        <c:axId val="3"/>
        <c:scaling>
          <c:orientation val="minMax"/>
        </c:scaling>
        <c:delete val="1"/>
        <c:axPos val="b"/>
        <c:majorTickMark val="out"/>
        <c:minorTickMark val="none"/>
        <c:tickLblPos val="nextTo"/>
        <c:crossAx val="4"/>
        <c:crosses val="autoZero"/>
        <c:auto val="1"/>
        <c:lblAlgn val="ctr"/>
        <c:lblOffset val="100"/>
        <c:noMultiLvlLbl val="0"/>
      </c:catAx>
      <c:valAx>
        <c:axId val="4"/>
        <c:scaling>
          <c:orientation val="minMax"/>
        </c:scaling>
        <c:delete val="0"/>
        <c:axPos val="r"/>
        <c:title>
          <c:tx>
            <c:rich>
              <a:bodyPr rot="0" vert="wordArtVertRtl"/>
              <a:lstStyle/>
              <a:p>
                <a:pPr>
                  <a:defRPr/>
                </a:pPr>
                <a:r>
                  <a:rPr lang="ko-KR" altLang="en-US"/>
                  <a:t>판매량</a:t>
                </a:r>
              </a:p>
            </c:rich>
          </c:tx>
          <c:overlay val="0"/>
          <c:spPr>
            <a:solidFill>
              <a:schemeClr val="accent1">
                <a:lumMod val="20000"/>
                <a:lumOff val="80000"/>
              </a:schemeClr>
            </a:solidFill>
          </c:spPr>
        </c:title>
        <c:numFmt formatCode="_(* #,##0_);_(* \(#,##0\);_(* &quot;-&quot;_);_(@_)" sourceLinked="1"/>
        <c:majorTickMark val="out"/>
        <c:minorTickMark val="none"/>
        <c:tickLblPos val="nextTo"/>
        <c:crossAx val="3"/>
        <c:crosses val="max"/>
        <c:crossBetween val="between"/>
      </c:valAx>
    </c:plotArea>
    <c:legend>
      <c:legendPos val="r"/>
      <c:layout>
        <c:manualLayout>
          <c:xMode val="edge"/>
          <c:yMode val="edge"/>
          <c:x val="0.38343161282984123"/>
          <c:y val="0.92066569297805811"/>
          <c:w val="0.22280485610382667"/>
          <c:h val="6.3494185722624691E-2"/>
        </c:manualLayout>
      </c:layout>
      <c:overlay val="0"/>
    </c:legend>
    <c:plotVisOnly val="1"/>
    <c:dispBlanksAs val="gap"/>
    <c:showDLblsOverMax val="0"/>
  </c:chart>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맑은 고딕"/>
                <a:ea typeface="맑은 고딕"/>
                <a:cs typeface="맑은 고딕"/>
              </a:defRPr>
            </a:pPr>
            <a:r>
              <a:rPr lang="en-US" sz="1400" b="1" i="0" u="none" strike="noStrike" baseline="0">
                <a:solidFill>
                  <a:srgbClr val="000000"/>
                </a:solidFill>
                <a:latin typeface="맑은 고딕"/>
                <a:ea typeface="맑은 고딕"/>
              </a:rPr>
              <a:t>유통매장수와 판매량 변화 (중국)</a:t>
            </a:r>
          </a:p>
        </c:rich>
      </c:tx>
      <c:overlay val="0"/>
    </c:title>
    <c:autoTitleDeleted val="0"/>
    <c:plotArea>
      <c:layout/>
      <c:barChart>
        <c:barDir val="col"/>
        <c:grouping val="clustered"/>
        <c:varyColors val="0"/>
        <c:ser>
          <c:idx val="1"/>
          <c:order val="1"/>
          <c:tx>
            <c:v>판매량</c:v>
          </c:tx>
          <c:spPr>
            <a:solidFill>
              <a:schemeClr val="accent6">
                <a:lumMod val="50000"/>
              </a:schemeClr>
            </a:solidFill>
          </c:spPr>
          <c:invertIfNegative val="0"/>
          <c:val>
            <c:numRef>
              <c:f>'3. 기초 분석 자료'!$C$137:$V$137</c:f>
              <c:numCache>
                <c:formatCode>_(* #,##0_);_(* \(#,##0\);_(* "-"_);_(@_)</c:formatCode>
                <c:ptCount val="20"/>
                <c:pt idx="0">
                  <c:v>5497</c:v>
                </c:pt>
                <c:pt idx="1">
                  <c:v>13894</c:v>
                </c:pt>
                <c:pt idx="2">
                  <c:v>10568</c:v>
                </c:pt>
                <c:pt idx="3">
                  <c:v>13227</c:v>
                </c:pt>
                <c:pt idx="4">
                  <c:v>4700</c:v>
                </c:pt>
                <c:pt idx="5">
                  <c:v>15478</c:v>
                </c:pt>
                <c:pt idx="6">
                  <c:v>15275</c:v>
                </c:pt>
                <c:pt idx="7">
                  <c:v>21414</c:v>
                </c:pt>
                <c:pt idx="8">
                  <c:v>17504</c:v>
                </c:pt>
                <c:pt idx="9">
                  <c:v>28354</c:v>
                </c:pt>
                <c:pt idx="10">
                  <c:v>28320</c:v>
                </c:pt>
                <c:pt idx="11">
                  <c:v>30500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2DA6-4925-9B73-D15DE73AE4D3}"/>
            </c:ext>
          </c:extLst>
        </c:ser>
        <c:dLbls>
          <c:showLegendKey val="0"/>
          <c:showVal val="0"/>
          <c:showCatName val="0"/>
          <c:showSerName val="0"/>
          <c:showPercent val="0"/>
          <c:showBubbleSize val="0"/>
        </c:dLbls>
        <c:gapWidth val="150"/>
        <c:axId val="3"/>
        <c:axId val="4"/>
      </c:barChart>
      <c:lineChart>
        <c:grouping val="standard"/>
        <c:varyColors val="0"/>
        <c:ser>
          <c:idx val="0"/>
          <c:order val="0"/>
          <c:tx>
            <c:strRef>
              <c:f>'3. 기초 분석 자료'!$B$185</c:f>
              <c:strCache>
                <c:ptCount val="1"/>
                <c:pt idx="0">
                  <c:v>매장수</c:v>
                </c:pt>
              </c:strCache>
            </c:strRef>
          </c:tx>
          <c:spPr>
            <a:ln>
              <a:solidFill>
                <a:schemeClr val="accent2">
                  <a:lumMod val="75000"/>
                </a:schemeClr>
              </a:solidFill>
            </a:ln>
          </c:spPr>
          <c:marker>
            <c:spPr>
              <a:solidFill>
                <a:schemeClr val="accent2">
                  <a:lumMod val="50000"/>
                </a:schemeClr>
              </a:solidFill>
            </c:spPr>
          </c:marker>
          <c:dLbls>
            <c:dLbl>
              <c:idx val="2"/>
              <c:delete val="1"/>
              <c:extLst>
                <c:ext xmlns:c15="http://schemas.microsoft.com/office/drawing/2012/chart" uri="{CE6537A1-D6FC-4f65-9D91-7224C49458BB}"/>
                <c:ext xmlns:c16="http://schemas.microsoft.com/office/drawing/2014/chart" uri="{C3380CC4-5D6E-409C-BE32-E72D297353CC}">
                  <c16:uniqueId val="{00000001-2DA6-4925-9B73-D15DE73AE4D3}"/>
                </c:ext>
              </c:extLst>
            </c:dLbl>
            <c:dLbl>
              <c:idx val="4"/>
              <c:delete val="1"/>
              <c:extLst>
                <c:ext xmlns:c15="http://schemas.microsoft.com/office/drawing/2012/chart" uri="{CE6537A1-D6FC-4f65-9D91-7224C49458BB}"/>
                <c:ext xmlns:c16="http://schemas.microsoft.com/office/drawing/2014/chart" uri="{C3380CC4-5D6E-409C-BE32-E72D297353CC}">
                  <c16:uniqueId val="{00000002-2DA6-4925-9B73-D15DE73AE4D3}"/>
                </c:ext>
              </c:extLst>
            </c:dLbl>
            <c:dLbl>
              <c:idx val="6"/>
              <c:delete val="1"/>
              <c:extLst>
                <c:ext xmlns:c15="http://schemas.microsoft.com/office/drawing/2012/chart" uri="{CE6537A1-D6FC-4f65-9D91-7224C49458BB}"/>
                <c:ext xmlns:c16="http://schemas.microsoft.com/office/drawing/2014/chart" uri="{C3380CC4-5D6E-409C-BE32-E72D297353CC}">
                  <c16:uniqueId val="{00000003-2DA6-4925-9B73-D15DE73AE4D3}"/>
                </c:ext>
              </c:extLst>
            </c:dLbl>
            <c:dLbl>
              <c:idx val="7"/>
              <c:delete val="1"/>
              <c:extLst>
                <c:ext xmlns:c15="http://schemas.microsoft.com/office/drawing/2012/chart" uri="{CE6537A1-D6FC-4f65-9D91-7224C49458BB}"/>
                <c:ext xmlns:c16="http://schemas.microsoft.com/office/drawing/2014/chart" uri="{C3380CC4-5D6E-409C-BE32-E72D297353CC}">
                  <c16:uniqueId val="{00000004-2DA6-4925-9B73-D15DE73AE4D3}"/>
                </c:ext>
              </c:extLst>
            </c:dLbl>
            <c:dLbl>
              <c:idx val="9"/>
              <c:delete val="1"/>
              <c:extLst>
                <c:ext xmlns:c15="http://schemas.microsoft.com/office/drawing/2012/chart" uri="{CE6537A1-D6FC-4f65-9D91-7224C49458BB}"/>
                <c:ext xmlns:c16="http://schemas.microsoft.com/office/drawing/2014/chart" uri="{C3380CC4-5D6E-409C-BE32-E72D297353CC}">
                  <c16:uniqueId val="{00000005-2DA6-4925-9B73-D15DE73AE4D3}"/>
                </c:ext>
              </c:extLst>
            </c:dLbl>
            <c:dLbl>
              <c:idx val="10"/>
              <c:delete val="1"/>
              <c:extLst>
                <c:ext xmlns:c15="http://schemas.microsoft.com/office/drawing/2012/chart" uri="{CE6537A1-D6FC-4f65-9D91-7224C49458BB}"/>
                <c:ext xmlns:c16="http://schemas.microsoft.com/office/drawing/2014/chart" uri="{C3380CC4-5D6E-409C-BE32-E72D297353CC}">
                  <c16:uniqueId val="{00000006-2DA6-4925-9B73-D15DE73AE4D3}"/>
                </c:ext>
              </c:extLst>
            </c:dLbl>
            <c:spPr>
              <a:solidFill>
                <a:sysClr val="window" lastClr="FFFFFF"/>
              </a:solidFill>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'3. 기초 분석 자료'!$C$36:$V$37</c:f>
              <c:multiLvlStrCache>
                <c:ptCount val="20"/>
                <c:lvl>
                  <c:pt idx="0">
                    <c:v>1Q</c:v>
                  </c:pt>
                  <c:pt idx="1">
                    <c:v>2Q</c:v>
                  </c:pt>
                  <c:pt idx="2">
                    <c:v>3Q</c:v>
                  </c:pt>
                  <c:pt idx="3">
                    <c:v>4Q</c:v>
                  </c:pt>
                  <c:pt idx="4">
                    <c:v>1Q</c:v>
                  </c:pt>
                  <c:pt idx="5">
                    <c:v>2Q</c:v>
                  </c:pt>
                  <c:pt idx="6">
                    <c:v>3Q</c:v>
                  </c:pt>
                  <c:pt idx="7">
                    <c:v>4Q</c:v>
                  </c:pt>
                  <c:pt idx="8">
                    <c:v>1Q</c:v>
                  </c:pt>
                  <c:pt idx="9">
                    <c:v>2Q</c:v>
                  </c:pt>
                  <c:pt idx="10">
                    <c:v>3Q</c:v>
                  </c:pt>
                  <c:pt idx="11">
                    <c:v>4Q</c:v>
                  </c:pt>
                  <c:pt idx="12">
                    <c:v>1Q</c:v>
                  </c:pt>
                  <c:pt idx="13">
                    <c:v>2Q</c:v>
                  </c:pt>
                  <c:pt idx="14">
                    <c:v>3Q</c:v>
                  </c:pt>
                  <c:pt idx="15">
                    <c:v>4Q</c:v>
                  </c:pt>
                  <c:pt idx="16">
                    <c:v>1Q</c:v>
                  </c:pt>
                  <c:pt idx="17">
                    <c:v>2Q</c:v>
                  </c:pt>
                  <c:pt idx="18">
                    <c:v>3Q</c:v>
                  </c:pt>
                  <c:pt idx="19">
                    <c:v>4Q</c:v>
                  </c:pt>
                </c:lvl>
                <c:lvl>
                  <c:pt idx="0">
                    <c:v>1차년도</c:v>
                  </c:pt>
                  <c:pt idx="4">
                    <c:v>2차년도</c:v>
                  </c:pt>
                  <c:pt idx="8">
                    <c:v>3차년도</c:v>
                  </c:pt>
                  <c:pt idx="12">
                    <c:v>4차년도</c:v>
                  </c:pt>
                  <c:pt idx="16">
                    <c:v>5차년도</c:v>
                  </c:pt>
                </c:lvl>
              </c:multiLvlStrCache>
            </c:multiLvlStrRef>
          </c:cat>
          <c:val>
            <c:numRef>
              <c:f>'3. 기초 분석 자료'!$C$185:$V$185</c:f>
              <c:numCache>
                <c:formatCode>_(* #,##0_);_(* \(#,##0\);_(* "-"_);_(@_)</c:formatCode>
                <c:ptCount val="20"/>
                <c:pt idx="0">
                  <c:v>1</c:v>
                </c:pt>
                <c:pt idx="1">
                  <c:v>2</c:v>
                </c:pt>
                <c:pt idx="2">
                  <c:v>3</c:v>
                </c:pt>
                <c:pt idx="3">
                  <c:v>4</c:v>
                </c:pt>
                <c:pt idx="4">
                  <c:v>5</c:v>
                </c:pt>
                <c:pt idx="5">
                  <c:v>7</c:v>
                </c:pt>
                <c:pt idx="6">
                  <c:v>8</c:v>
                </c:pt>
                <c:pt idx="7">
                  <c:v>9</c:v>
                </c:pt>
                <c:pt idx="8">
                  <c:v>10</c:v>
                </c:pt>
                <c:pt idx="9">
                  <c:v>11</c:v>
                </c:pt>
                <c:pt idx="10">
                  <c:v>12</c:v>
                </c:pt>
                <c:pt idx="11">
                  <c:v>15</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7-2DA6-4925-9B73-D15DE73AE4D3}"/>
            </c:ext>
          </c:extLst>
        </c:ser>
        <c:dLbls>
          <c:showLegendKey val="0"/>
          <c:showVal val="0"/>
          <c:showCatName val="0"/>
          <c:showSerName val="0"/>
          <c:showPercent val="0"/>
          <c:showBubbleSize val="0"/>
        </c:dLbls>
        <c:marker val="1"/>
        <c:smooth val="0"/>
        <c:axId val="2143087232"/>
        <c:axId val="1"/>
      </c:lineChart>
      <c:catAx>
        <c:axId val="2143087232"/>
        <c:scaling>
          <c:orientation val="minMax"/>
        </c:scaling>
        <c:delete val="0"/>
        <c:axPos val="b"/>
        <c:numFmt formatCode="General" sourceLinked="1"/>
        <c:majorTickMark val="out"/>
        <c:minorTickMark val="none"/>
        <c:tickLblPos val="nextTo"/>
        <c:crossAx val="1"/>
        <c:crosses val="autoZero"/>
        <c:auto val="1"/>
        <c:lblAlgn val="ctr"/>
        <c:lblOffset val="100"/>
        <c:noMultiLvlLbl val="0"/>
      </c:catAx>
      <c:valAx>
        <c:axId val="1"/>
        <c:scaling>
          <c:orientation val="minMax"/>
        </c:scaling>
        <c:delete val="0"/>
        <c:axPos val="l"/>
        <c:majorGridlines/>
        <c:title>
          <c:tx>
            <c:rich>
              <a:bodyPr rot="0" vert="wordArtVert"/>
              <a:lstStyle/>
              <a:p>
                <a:pPr algn="ctr">
                  <a:defRPr sz="1100" b="0" i="0" u="none" strike="noStrike" baseline="0">
                    <a:solidFill>
                      <a:srgbClr val="000000"/>
                    </a:solidFill>
                    <a:latin typeface="맑은 고딕"/>
                    <a:ea typeface="맑은 고딕"/>
                    <a:cs typeface="맑은 고딕"/>
                  </a:defRPr>
                </a:pPr>
                <a:r>
                  <a:rPr lang="en-US" sz="1000" b="1" i="0" u="none" strike="noStrike" baseline="0">
                    <a:solidFill>
                      <a:srgbClr val="000000"/>
                    </a:solidFill>
                    <a:latin typeface="맑은 고딕"/>
                    <a:ea typeface="맑은 고딕"/>
                  </a:rPr>
                  <a:t>중국 유통매장</a:t>
                </a:r>
              </a:p>
            </c:rich>
          </c:tx>
          <c:overlay val="0"/>
          <c:spPr>
            <a:solidFill>
              <a:schemeClr val="accent1">
                <a:lumMod val="20000"/>
                <a:lumOff val="80000"/>
              </a:schemeClr>
            </a:solidFill>
          </c:spPr>
        </c:title>
        <c:numFmt formatCode="_(* #,##0_);_(* \(#,##0\);_(* &quot;-&quot;_);_(@_)" sourceLinked="1"/>
        <c:majorTickMark val="out"/>
        <c:minorTickMark val="none"/>
        <c:tickLblPos val="nextTo"/>
        <c:crossAx val="2143087232"/>
        <c:crosses val="autoZero"/>
        <c:crossBetween val="between"/>
      </c:valAx>
      <c:catAx>
        <c:axId val="3"/>
        <c:scaling>
          <c:orientation val="minMax"/>
        </c:scaling>
        <c:delete val="1"/>
        <c:axPos val="b"/>
        <c:majorTickMark val="out"/>
        <c:minorTickMark val="none"/>
        <c:tickLblPos val="nextTo"/>
        <c:crossAx val="4"/>
        <c:crosses val="autoZero"/>
        <c:auto val="1"/>
        <c:lblAlgn val="ctr"/>
        <c:lblOffset val="100"/>
        <c:noMultiLvlLbl val="0"/>
      </c:catAx>
      <c:valAx>
        <c:axId val="4"/>
        <c:scaling>
          <c:orientation val="minMax"/>
        </c:scaling>
        <c:delete val="0"/>
        <c:axPos val="r"/>
        <c:title>
          <c:tx>
            <c:rich>
              <a:bodyPr rot="0" vert="wordArtVertRtl"/>
              <a:lstStyle/>
              <a:p>
                <a:pPr>
                  <a:defRPr/>
                </a:pPr>
                <a:r>
                  <a:rPr lang="ko-KR" altLang="en-US"/>
                  <a:t>판매량</a:t>
                </a:r>
              </a:p>
            </c:rich>
          </c:tx>
          <c:overlay val="0"/>
          <c:spPr>
            <a:solidFill>
              <a:schemeClr val="accent1">
                <a:lumMod val="20000"/>
                <a:lumOff val="80000"/>
              </a:schemeClr>
            </a:solidFill>
          </c:spPr>
        </c:title>
        <c:numFmt formatCode="_(* #,##0_);_(* \(#,##0\);_(* &quot;-&quot;_);_(@_)" sourceLinked="1"/>
        <c:majorTickMark val="out"/>
        <c:minorTickMark val="none"/>
        <c:tickLblPos val="nextTo"/>
        <c:crossAx val="3"/>
        <c:crosses val="max"/>
        <c:crossBetween val="between"/>
      </c:valAx>
    </c:plotArea>
    <c:legend>
      <c:legendPos val="r"/>
      <c:layout>
        <c:manualLayout>
          <c:xMode val="edge"/>
          <c:yMode val="edge"/>
          <c:x val="0.38338990442301785"/>
          <c:y val="0.92066569297805811"/>
          <c:w val="0.23057015231034639"/>
          <c:h val="6.3494185722624691E-2"/>
        </c:manualLayout>
      </c:layout>
      <c:overlay val="0"/>
    </c:legend>
    <c:plotVisOnly val="1"/>
    <c:dispBlanksAs val="gap"/>
    <c:showDLblsOverMax val="0"/>
  </c:chart>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맑은 고딕"/>
                <a:ea typeface="맑은 고딕"/>
                <a:cs typeface="맑은 고딕"/>
              </a:defRPr>
            </a:pPr>
            <a:r>
              <a:rPr lang="en-US" sz="1400" b="1" i="0" u="none" strike="noStrike" baseline="0">
                <a:solidFill>
                  <a:srgbClr val="000000"/>
                </a:solidFill>
                <a:latin typeface="맑은 고딕"/>
                <a:ea typeface="맑은 고딕"/>
              </a:rPr>
              <a:t>판매촉진비와 판매량 변화 (한국)</a:t>
            </a:r>
          </a:p>
        </c:rich>
      </c:tx>
      <c:overlay val="0"/>
    </c:title>
    <c:autoTitleDeleted val="0"/>
    <c:plotArea>
      <c:layout/>
      <c:barChart>
        <c:barDir val="col"/>
        <c:grouping val="clustered"/>
        <c:varyColors val="0"/>
        <c:ser>
          <c:idx val="1"/>
          <c:order val="1"/>
          <c:tx>
            <c:v>판매량</c:v>
          </c:tx>
          <c:spPr>
            <a:solidFill>
              <a:schemeClr val="accent1">
                <a:lumMod val="75000"/>
              </a:schemeClr>
            </a:solidFill>
          </c:spPr>
          <c:invertIfNegative val="0"/>
          <c:val>
            <c:numRef>
              <c:f>'3. 기초 분석 자료'!$C$133:$V$133</c:f>
              <c:numCache>
                <c:formatCode>_(* #,##0_);_(* \(#,##0\);_(* "-"_);_(@_)</c:formatCode>
                <c:ptCount val="20"/>
                <c:pt idx="0">
                  <c:v>38739</c:v>
                </c:pt>
                <c:pt idx="1">
                  <c:v>49455</c:v>
                </c:pt>
                <c:pt idx="2">
                  <c:v>46095</c:v>
                </c:pt>
                <c:pt idx="3">
                  <c:v>53923</c:v>
                </c:pt>
                <c:pt idx="4">
                  <c:v>38959</c:v>
                </c:pt>
                <c:pt idx="5">
                  <c:v>59451</c:v>
                </c:pt>
                <c:pt idx="6">
                  <c:v>53746</c:v>
                </c:pt>
                <c:pt idx="7">
                  <c:v>73267</c:v>
                </c:pt>
                <c:pt idx="8">
                  <c:v>65552</c:v>
                </c:pt>
                <c:pt idx="9">
                  <c:v>80232</c:v>
                </c:pt>
                <c:pt idx="10">
                  <c:v>69981</c:v>
                </c:pt>
                <c:pt idx="11">
                  <c:v>66680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A463-46E1-BE13-D140AA6ED5F8}"/>
            </c:ext>
          </c:extLst>
        </c:ser>
        <c:dLbls>
          <c:showLegendKey val="0"/>
          <c:showVal val="0"/>
          <c:showCatName val="0"/>
          <c:showSerName val="0"/>
          <c:showPercent val="0"/>
          <c:showBubbleSize val="0"/>
        </c:dLbls>
        <c:gapWidth val="150"/>
        <c:axId val="3"/>
        <c:axId val="4"/>
      </c:barChart>
      <c:lineChart>
        <c:grouping val="standard"/>
        <c:varyColors val="0"/>
        <c:ser>
          <c:idx val="0"/>
          <c:order val="0"/>
          <c:tx>
            <c:strRef>
              <c:f>'3. 기초 분석 자료'!$B$206</c:f>
              <c:strCache>
                <c:ptCount val="1"/>
                <c:pt idx="0">
                  <c:v>매장당 판매촉진비</c:v>
                </c:pt>
              </c:strCache>
            </c:strRef>
          </c:tx>
          <c:spPr>
            <a:ln>
              <a:solidFill>
                <a:schemeClr val="accent2">
                  <a:lumMod val="75000"/>
                </a:schemeClr>
              </a:solidFill>
            </a:ln>
          </c:spPr>
          <c:marker>
            <c:spPr>
              <a:solidFill>
                <a:schemeClr val="accent2">
                  <a:lumMod val="50000"/>
                </a:schemeClr>
              </a:solidFill>
            </c:spPr>
          </c:marker>
          <c:cat>
            <c:multiLvlStrRef>
              <c:f>'3. 기초 분석 자료'!$C$36:$V$37</c:f>
              <c:multiLvlStrCache>
                <c:ptCount val="20"/>
                <c:lvl>
                  <c:pt idx="0">
                    <c:v>1Q</c:v>
                  </c:pt>
                  <c:pt idx="1">
                    <c:v>2Q</c:v>
                  </c:pt>
                  <c:pt idx="2">
                    <c:v>3Q</c:v>
                  </c:pt>
                  <c:pt idx="3">
                    <c:v>4Q</c:v>
                  </c:pt>
                  <c:pt idx="4">
                    <c:v>1Q</c:v>
                  </c:pt>
                  <c:pt idx="5">
                    <c:v>2Q</c:v>
                  </c:pt>
                  <c:pt idx="6">
                    <c:v>3Q</c:v>
                  </c:pt>
                  <c:pt idx="7">
                    <c:v>4Q</c:v>
                  </c:pt>
                  <c:pt idx="8">
                    <c:v>1Q</c:v>
                  </c:pt>
                  <c:pt idx="9">
                    <c:v>2Q</c:v>
                  </c:pt>
                  <c:pt idx="10">
                    <c:v>3Q</c:v>
                  </c:pt>
                  <c:pt idx="11">
                    <c:v>4Q</c:v>
                  </c:pt>
                  <c:pt idx="12">
                    <c:v>1Q</c:v>
                  </c:pt>
                  <c:pt idx="13">
                    <c:v>2Q</c:v>
                  </c:pt>
                  <c:pt idx="14">
                    <c:v>3Q</c:v>
                  </c:pt>
                  <c:pt idx="15">
                    <c:v>4Q</c:v>
                  </c:pt>
                  <c:pt idx="16">
                    <c:v>1Q</c:v>
                  </c:pt>
                  <c:pt idx="17">
                    <c:v>2Q</c:v>
                  </c:pt>
                  <c:pt idx="18">
                    <c:v>3Q</c:v>
                  </c:pt>
                  <c:pt idx="19">
                    <c:v>4Q</c:v>
                  </c:pt>
                </c:lvl>
                <c:lvl>
                  <c:pt idx="0">
                    <c:v>1차년도</c:v>
                  </c:pt>
                  <c:pt idx="4">
                    <c:v>2차년도</c:v>
                  </c:pt>
                  <c:pt idx="8">
                    <c:v>3차년도</c:v>
                  </c:pt>
                  <c:pt idx="12">
                    <c:v>4차년도</c:v>
                  </c:pt>
                  <c:pt idx="16">
                    <c:v>5차년도</c:v>
                  </c:pt>
                </c:lvl>
              </c:multiLvlStrCache>
            </c:multiLvlStrRef>
          </c:cat>
          <c:val>
            <c:numRef>
              <c:f>'3. 기초 분석 자료'!$C$206:$V$206</c:f>
              <c:numCache>
                <c:formatCode>_(* #,##0_);_(* \(#,##0\);_(* "-"_);_(@_)</c:formatCode>
                <c:ptCount val="20"/>
                <c:pt idx="0">
                  <c:v>25000000</c:v>
                </c:pt>
                <c:pt idx="1">
                  <c:v>26000000</c:v>
                </c:pt>
                <c:pt idx="2">
                  <c:v>27500000</c:v>
                </c:pt>
                <c:pt idx="3">
                  <c:v>28000000</c:v>
                </c:pt>
                <c:pt idx="4">
                  <c:v>31000000</c:v>
                </c:pt>
                <c:pt idx="5">
                  <c:v>32000000</c:v>
                </c:pt>
                <c:pt idx="6">
                  <c:v>33000000</c:v>
                </c:pt>
                <c:pt idx="7">
                  <c:v>36500000</c:v>
                </c:pt>
                <c:pt idx="8">
                  <c:v>37000000</c:v>
                </c:pt>
                <c:pt idx="9">
                  <c:v>38000000</c:v>
                </c:pt>
                <c:pt idx="10">
                  <c:v>39000000</c:v>
                </c:pt>
                <c:pt idx="11">
                  <c:v>40000000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1-A463-46E1-BE13-D140AA6ED5F8}"/>
            </c:ext>
          </c:extLst>
        </c:ser>
        <c:dLbls>
          <c:showLegendKey val="0"/>
          <c:showVal val="0"/>
          <c:showCatName val="0"/>
          <c:showSerName val="0"/>
          <c:showPercent val="0"/>
          <c:showBubbleSize val="0"/>
        </c:dLbls>
        <c:marker val="1"/>
        <c:smooth val="0"/>
        <c:axId val="2143094832"/>
        <c:axId val="1"/>
      </c:lineChart>
      <c:catAx>
        <c:axId val="2143094832"/>
        <c:scaling>
          <c:orientation val="minMax"/>
        </c:scaling>
        <c:delete val="0"/>
        <c:axPos val="b"/>
        <c:numFmt formatCode="General" sourceLinked="1"/>
        <c:majorTickMark val="out"/>
        <c:minorTickMark val="none"/>
        <c:tickLblPos val="nextTo"/>
        <c:crossAx val="1"/>
        <c:crosses val="autoZero"/>
        <c:auto val="1"/>
        <c:lblAlgn val="ctr"/>
        <c:lblOffset val="100"/>
        <c:noMultiLvlLbl val="0"/>
      </c:catAx>
      <c:valAx>
        <c:axId val="1"/>
        <c:scaling>
          <c:orientation val="minMax"/>
        </c:scaling>
        <c:delete val="0"/>
        <c:axPos val="l"/>
        <c:majorGridlines/>
        <c:title>
          <c:tx>
            <c:rich>
              <a:bodyPr rot="0" vert="wordArtVert"/>
              <a:lstStyle/>
              <a:p>
                <a:pPr algn="ctr">
                  <a:defRPr sz="1100" b="0" i="0" u="none" strike="noStrike" baseline="0">
                    <a:solidFill>
                      <a:srgbClr val="000000"/>
                    </a:solidFill>
                    <a:latin typeface="맑은 고딕"/>
                    <a:ea typeface="맑은 고딕"/>
                    <a:cs typeface="맑은 고딕"/>
                  </a:defRPr>
                </a:pPr>
                <a:r>
                  <a:rPr lang="en-US" sz="1000" b="1" i="0" u="none" strike="noStrike" baseline="0">
                    <a:solidFill>
                      <a:srgbClr val="000000"/>
                    </a:solidFill>
                    <a:latin typeface="맑은 고딕"/>
                    <a:ea typeface="맑은 고딕"/>
                  </a:rPr>
                  <a:t>한국 판매촉진비</a:t>
                </a:r>
              </a:p>
            </c:rich>
          </c:tx>
          <c:overlay val="0"/>
          <c:spPr>
            <a:solidFill>
              <a:schemeClr val="accent1">
                <a:lumMod val="20000"/>
                <a:lumOff val="80000"/>
              </a:schemeClr>
            </a:solidFill>
          </c:spPr>
        </c:title>
        <c:numFmt formatCode="_(* #,##0_);_(* \(#,##0\);_(* &quot;-&quot;_);_(@_)" sourceLinked="1"/>
        <c:majorTickMark val="out"/>
        <c:minorTickMark val="none"/>
        <c:tickLblPos val="nextTo"/>
        <c:crossAx val="2143094832"/>
        <c:crosses val="autoZero"/>
        <c:crossBetween val="between"/>
      </c:valAx>
      <c:catAx>
        <c:axId val="3"/>
        <c:scaling>
          <c:orientation val="minMax"/>
        </c:scaling>
        <c:delete val="1"/>
        <c:axPos val="b"/>
        <c:majorTickMark val="out"/>
        <c:minorTickMark val="none"/>
        <c:tickLblPos val="nextTo"/>
        <c:crossAx val="4"/>
        <c:crosses val="autoZero"/>
        <c:auto val="1"/>
        <c:lblAlgn val="ctr"/>
        <c:lblOffset val="100"/>
        <c:noMultiLvlLbl val="0"/>
      </c:catAx>
      <c:valAx>
        <c:axId val="4"/>
        <c:scaling>
          <c:orientation val="minMax"/>
        </c:scaling>
        <c:delete val="0"/>
        <c:axPos val="r"/>
        <c:title>
          <c:tx>
            <c:rich>
              <a:bodyPr rot="0" vert="wordArtVertRtl"/>
              <a:lstStyle/>
              <a:p>
                <a:pPr>
                  <a:defRPr/>
                </a:pPr>
                <a:r>
                  <a:rPr lang="ko-KR" altLang="en-US"/>
                  <a:t>판매량</a:t>
                </a:r>
              </a:p>
            </c:rich>
          </c:tx>
          <c:overlay val="0"/>
          <c:spPr>
            <a:solidFill>
              <a:schemeClr val="accent1">
                <a:lumMod val="20000"/>
                <a:lumOff val="80000"/>
              </a:schemeClr>
            </a:solidFill>
          </c:spPr>
        </c:title>
        <c:numFmt formatCode="_(* #,##0_);_(* \(#,##0\);_(* &quot;-&quot;_);_(@_)" sourceLinked="1"/>
        <c:majorTickMark val="out"/>
        <c:minorTickMark val="none"/>
        <c:tickLblPos val="nextTo"/>
        <c:crossAx val="3"/>
        <c:crosses val="max"/>
        <c:crossBetween val="between"/>
      </c:valAx>
    </c:plotArea>
    <c:legend>
      <c:legendPos val="r"/>
      <c:layout>
        <c:manualLayout>
          <c:xMode val="edge"/>
          <c:yMode val="edge"/>
          <c:x val="0.33996113315733045"/>
          <c:y val="0.92066569297805811"/>
          <c:w val="0.31762792003020657"/>
          <c:h val="6.3494185722624691E-2"/>
        </c:manualLayout>
      </c:layout>
      <c:overlay val="0"/>
    </c:legend>
    <c:plotVisOnly val="1"/>
    <c:dispBlanksAs val="gap"/>
    <c:showDLblsOverMax val="0"/>
  </c:chart>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맑은 고딕"/>
                <a:ea typeface="맑은 고딕"/>
                <a:cs typeface="맑은 고딕"/>
              </a:defRPr>
            </a:pPr>
            <a:r>
              <a:rPr lang="en-US" sz="1400" b="1" i="0" u="none" strike="noStrike" baseline="0">
                <a:solidFill>
                  <a:srgbClr val="000000"/>
                </a:solidFill>
                <a:latin typeface="맑은 고딕"/>
                <a:ea typeface="맑은 고딕"/>
              </a:rPr>
              <a:t>판매촉진비와 판매량 변화 (미국)</a:t>
            </a:r>
          </a:p>
        </c:rich>
      </c:tx>
      <c:overlay val="0"/>
    </c:title>
    <c:autoTitleDeleted val="0"/>
    <c:plotArea>
      <c:layout/>
      <c:barChart>
        <c:barDir val="col"/>
        <c:grouping val="clustered"/>
        <c:varyColors val="0"/>
        <c:ser>
          <c:idx val="1"/>
          <c:order val="1"/>
          <c:tx>
            <c:v>판매량</c:v>
          </c:tx>
          <c:spPr>
            <a:solidFill>
              <a:srgbClr val="FFC000"/>
            </a:solidFill>
          </c:spPr>
          <c:invertIfNegative val="0"/>
          <c:val>
            <c:numRef>
              <c:f>'3. 기초 분석 자료'!$C$135:$V$135</c:f>
              <c:numCache>
                <c:formatCode>_(* #,##0_);_(* \(#,##0\);_(* "-"_);_(@_)</c:formatCode>
                <c:ptCount val="20"/>
                <c:pt idx="0">
                  <c:v>23963</c:v>
                </c:pt>
                <c:pt idx="1">
                  <c:v>32381</c:v>
                </c:pt>
                <c:pt idx="2">
                  <c:v>34739</c:v>
                </c:pt>
                <c:pt idx="3">
                  <c:v>39025</c:v>
                </c:pt>
                <c:pt idx="4">
                  <c:v>34074</c:v>
                </c:pt>
                <c:pt idx="5">
                  <c:v>39074</c:v>
                </c:pt>
                <c:pt idx="6">
                  <c:v>39354</c:v>
                </c:pt>
                <c:pt idx="7">
                  <c:v>40033</c:v>
                </c:pt>
                <c:pt idx="8">
                  <c:v>33564</c:v>
                </c:pt>
                <c:pt idx="9">
                  <c:v>36277</c:v>
                </c:pt>
                <c:pt idx="10">
                  <c:v>33702</c:v>
                </c:pt>
                <c:pt idx="11">
                  <c:v>32680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C375-4C19-AFB5-2B41527F81D4}"/>
            </c:ext>
          </c:extLst>
        </c:ser>
        <c:dLbls>
          <c:showLegendKey val="0"/>
          <c:showVal val="0"/>
          <c:showCatName val="0"/>
          <c:showSerName val="0"/>
          <c:showPercent val="0"/>
          <c:showBubbleSize val="0"/>
        </c:dLbls>
        <c:gapWidth val="150"/>
        <c:axId val="3"/>
        <c:axId val="4"/>
      </c:barChart>
      <c:lineChart>
        <c:grouping val="standard"/>
        <c:varyColors val="0"/>
        <c:ser>
          <c:idx val="0"/>
          <c:order val="0"/>
          <c:tx>
            <c:strRef>
              <c:f>'3. 기초 분석 자료'!$B$208</c:f>
              <c:strCache>
                <c:ptCount val="1"/>
                <c:pt idx="0">
                  <c:v>매장당 판매촉진비</c:v>
                </c:pt>
              </c:strCache>
            </c:strRef>
          </c:tx>
          <c:spPr>
            <a:ln>
              <a:solidFill>
                <a:schemeClr val="accent2">
                  <a:lumMod val="75000"/>
                </a:schemeClr>
              </a:solidFill>
            </a:ln>
          </c:spPr>
          <c:marker>
            <c:spPr>
              <a:solidFill>
                <a:schemeClr val="accent2">
                  <a:lumMod val="50000"/>
                </a:schemeClr>
              </a:solidFill>
            </c:spPr>
          </c:marker>
          <c:cat>
            <c:multiLvlStrRef>
              <c:f>'3. 기초 분석 자료'!$C$36:$V$37</c:f>
              <c:multiLvlStrCache>
                <c:ptCount val="20"/>
                <c:lvl>
                  <c:pt idx="0">
                    <c:v>1Q</c:v>
                  </c:pt>
                  <c:pt idx="1">
                    <c:v>2Q</c:v>
                  </c:pt>
                  <c:pt idx="2">
                    <c:v>3Q</c:v>
                  </c:pt>
                  <c:pt idx="3">
                    <c:v>4Q</c:v>
                  </c:pt>
                  <c:pt idx="4">
                    <c:v>1Q</c:v>
                  </c:pt>
                  <c:pt idx="5">
                    <c:v>2Q</c:v>
                  </c:pt>
                  <c:pt idx="6">
                    <c:v>3Q</c:v>
                  </c:pt>
                  <c:pt idx="7">
                    <c:v>4Q</c:v>
                  </c:pt>
                  <c:pt idx="8">
                    <c:v>1Q</c:v>
                  </c:pt>
                  <c:pt idx="9">
                    <c:v>2Q</c:v>
                  </c:pt>
                  <c:pt idx="10">
                    <c:v>3Q</c:v>
                  </c:pt>
                  <c:pt idx="11">
                    <c:v>4Q</c:v>
                  </c:pt>
                  <c:pt idx="12">
                    <c:v>1Q</c:v>
                  </c:pt>
                  <c:pt idx="13">
                    <c:v>2Q</c:v>
                  </c:pt>
                  <c:pt idx="14">
                    <c:v>3Q</c:v>
                  </c:pt>
                  <c:pt idx="15">
                    <c:v>4Q</c:v>
                  </c:pt>
                  <c:pt idx="16">
                    <c:v>1Q</c:v>
                  </c:pt>
                  <c:pt idx="17">
                    <c:v>2Q</c:v>
                  </c:pt>
                  <c:pt idx="18">
                    <c:v>3Q</c:v>
                  </c:pt>
                  <c:pt idx="19">
                    <c:v>4Q</c:v>
                  </c:pt>
                </c:lvl>
                <c:lvl>
                  <c:pt idx="0">
                    <c:v>1차년도</c:v>
                  </c:pt>
                  <c:pt idx="4">
                    <c:v>2차년도</c:v>
                  </c:pt>
                  <c:pt idx="8">
                    <c:v>3차년도</c:v>
                  </c:pt>
                  <c:pt idx="12">
                    <c:v>4차년도</c:v>
                  </c:pt>
                  <c:pt idx="16">
                    <c:v>5차년도</c:v>
                  </c:pt>
                </c:lvl>
              </c:multiLvlStrCache>
            </c:multiLvlStrRef>
          </c:cat>
          <c:val>
            <c:numRef>
              <c:f>'3. 기초 분석 자료'!$C$208:$V$208</c:f>
              <c:numCache>
                <c:formatCode>_(* #,##0_);_(* \(#,##0\);_(* "-"_);_(@_)</c:formatCode>
                <c:ptCount val="20"/>
                <c:pt idx="0">
                  <c:v>25000</c:v>
                </c:pt>
                <c:pt idx="1">
                  <c:v>26500</c:v>
                </c:pt>
                <c:pt idx="2">
                  <c:v>26000</c:v>
                </c:pt>
                <c:pt idx="3">
                  <c:v>29000</c:v>
                </c:pt>
                <c:pt idx="4">
                  <c:v>30500</c:v>
                </c:pt>
                <c:pt idx="5">
                  <c:v>31000</c:v>
                </c:pt>
                <c:pt idx="6">
                  <c:v>34000</c:v>
                </c:pt>
                <c:pt idx="7">
                  <c:v>35000</c:v>
                </c:pt>
                <c:pt idx="8">
                  <c:v>37000</c:v>
                </c:pt>
                <c:pt idx="9">
                  <c:v>38000</c:v>
                </c:pt>
                <c:pt idx="10">
                  <c:v>39000</c:v>
                </c:pt>
                <c:pt idx="11">
                  <c:v>40000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1-C375-4C19-AFB5-2B41527F81D4}"/>
            </c:ext>
          </c:extLst>
        </c:ser>
        <c:dLbls>
          <c:showLegendKey val="0"/>
          <c:showVal val="0"/>
          <c:showCatName val="0"/>
          <c:showSerName val="0"/>
          <c:showPercent val="0"/>
          <c:showBubbleSize val="0"/>
        </c:dLbls>
        <c:marker val="1"/>
        <c:smooth val="0"/>
        <c:axId val="2143090832"/>
        <c:axId val="1"/>
      </c:lineChart>
      <c:catAx>
        <c:axId val="2143090832"/>
        <c:scaling>
          <c:orientation val="minMax"/>
        </c:scaling>
        <c:delete val="0"/>
        <c:axPos val="b"/>
        <c:numFmt formatCode="General" sourceLinked="1"/>
        <c:majorTickMark val="out"/>
        <c:minorTickMark val="none"/>
        <c:tickLblPos val="nextTo"/>
        <c:crossAx val="1"/>
        <c:crosses val="autoZero"/>
        <c:auto val="1"/>
        <c:lblAlgn val="ctr"/>
        <c:lblOffset val="100"/>
        <c:noMultiLvlLbl val="0"/>
      </c:catAx>
      <c:valAx>
        <c:axId val="1"/>
        <c:scaling>
          <c:orientation val="minMax"/>
        </c:scaling>
        <c:delete val="0"/>
        <c:axPos val="l"/>
        <c:majorGridlines/>
        <c:title>
          <c:tx>
            <c:rich>
              <a:bodyPr rot="0" vert="wordArtVert"/>
              <a:lstStyle/>
              <a:p>
                <a:pPr algn="ctr">
                  <a:defRPr sz="1100" b="0" i="0" u="none" strike="noStrike" baseline="0">
                    <a:solidFill>
                      <a:srgbClr val="000000"/>
                    </a:solidFill>
                    <a:latin typeface="맑은 고딕"/>
                    <a:ea typeface="맑은 고딕"/>
                    <a:cs typeface="맑은 고딕"/>
                  </a:defRPr>
                </a:pPr>
                <a:r>
                  <a:rPr lang="en-US" sz="1000" b="1" i="0" u="none" strike="noStrike" baseline="0">
                    <a:solidFill>
                      <a:srgbClr val="000000"/>
                    </a:solidFill>
                    <a:latin typeface="맑은 고딕"/>
                    <a:ea typeface="맑은 고딕"/>
                  </a:rPr>
                  <a:t>미국 판매촉진비</a:t>
                </a:r>
              </a:p>
            </c:rich>
          </c:tx>
          <c:overlay val="0"/>
          <c:spPr>
            <a:solidFill>
              <a:schemeClr val="accent1">
                <a:lumMod val="20000"/>
                <a:lumOff val="80000"/>
              </a:schemeClr>
            </a:solidFill>
          </c:spPr>
        </c:title>
        <c:numFmt formatCode="_(* #,##0_);_(* \(#,##0\);_(* &quot;-&quot;_);_(@_)" sourceLinked="1"/>
        <c:majorTickMark val="out"/>
        <c:minorTickMark val="none"/>
        <c:tickLblPos val="nextTo"/>
        <c:crossAx val="2143090832"/>
        <c:crosses val="autoZero"/>
        <c:crossBetween val="between"/>
      </c:valAx>
      <c:catAx>
        <c:axId val="3"/>
        <c:scaling>
          <c:orientation val="minMax"/>
        </c:scaling>
        <c:delete val="1"/>
        <c:axPos val="b"/>
        <c:majorTickMark val="out"/>
        <c:minorTickMark val="none"/>
        <c:tickLblPos val="nextTo"/>
        <c:crossAx val="4"/>
        <c:crosses val="autoZero"/>
        <c:auto val="1"/>
        <c:lblAlgn val="ctr"/>
        <c:lblOffset val="100"/>
        <c:noMultiLvlLbl val="0"/>
      </c:catAx>
      <c:valAx>
        <c:axId val="4"/>
        <c:scaling>
          <c:orientation val="minMax"/>
        </c:scaling>
        <c:delete val="0"/>
        <c:axPos val="r"/>
        <c:title>
          <c:tx>
            <c:rich>
              <a:bodyPr rot="0" vert="wordArtVertRtl"/>
              <a:lstStyle/>
              <a:p>
                <a:pPr>
                  <a:defRPr/>
                </a:pPr>
                <a:r>
                  <a:rPr lang="ko-KR" altLang="en-US"/>
                  <a:t>판매량</a:t>
                </a:r>
              </a:p>
            </c:rich>
          </c:tx>
          <c:overlay val="0"/>
          <c:spPr>
            <a:solidFill>
              <a:schemeClr val="accent1">
                <a:lumMod val="20000"/>
                <a:lumOff val="80000"/>
              </a:schemeClr>
            </a:solidFill>
          </c:spPr>
        </c:title>
        <c:numFmt formatCode="_(* #,##0_);_(* \(#,##0\);_(* &quot;-&quot;_);_(@_)" sourceLinked="1"/>
        <c:majorTickMark val="out"/>
        <c:minorTickMark val="none"/>
        <c:tickLblPos val="nextTo"/>
        <c:crossAx val="3"/>
        <c:crosses val="max"/>
        <c:crossBetween val="between"/>
      </c:valAx>
    </c:plotArea>
    <c:legend>
      <c:legendPos val="r"/>
      <c:layout>
        <c:manualLayout>
          <c:xMode val="edge"/>
          <c:yMode val="edge"/>
          <c:x val="0.33032115294462672"/>
          <c:y val="0.92066569297805811"/>
          <c:w val="0.3316165300149978"/>
          <c:h val="6.3494185722624691E-2"/>
        </c:manualLayout>
      </c:layout>
      <c:overlay val="0"/>
    </c:legend>
    <c:plotVisOnly val="1"/>
    <c:dispBlanksAs val="gap"/>
    <c:showDLblsOverMax val="0"/>
  </c:chart>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맑은 고딕"/>
                <a:ea typeface="맑은 고딕"/>
                <a:cs typeface="맑은 고딕"/>
              </a:defRPr>
            </a:pPr>
            <a:r>
              <a:rPr lang="en-US" sz="1400" b="1" i="0" u="none" strike="noStrike" baseline="0">
                <a:solidFill>
                  <a:srgbClr val="000000"/>
                </a:solidFill>
                <a:latin typeface="맑은 고딕"/>
                <a:ea typeface="맑은 고딕"/>
              </a:rPr>
              <a:t>판매촉진비와 판매량 변화 (중국)</a:t>
            </a:r>
          </a:p>
        </c:rich>
      </c:tx>
      <c:overlay val="0"/>
    </c:title>
    <c:autoTitleDeleted val="0"/>
    <c:plotArea>
      <c:layout/>
      <c:barChart>
        <c:barDir val="col"/>
        <c:grouping val="clustered"/>
        <c:varyColors val="0"/>
        <c:ser>
          <c:idx val="1"/>
          <c:order val="1"/>
          <c:tx>
            <c:v>판매량</c:v>
          </c:tx>
          <c:spPr>
            <a:solidFill>
              <a:schemeClr val="accent6">
                <a:lumMod val="50000"/>
              </a:schemeClr>
            </a:solidFill>
          </c:spPr>
          <c:invertIfNegative val="0"/>
          <c:val>
            <c:numRef>
              <c:f>'3. 기초 분석 자료'!$C$137:$V$137</c:f>
              <c:numCache>
                <c:formatCode>_(* #,##0_);_(* \(#,##0\);_(* "-"_);_(@_)</c:formatCode>
                <c:ptCount val="20"/>
                <c:pt idx="0">
                  <c:v>5497</c:v>
                </c:pt>
                <c:pt idx="1">
                  <c:v>13894</c:v>
                </c:pt>
                <c:pt idx="2">
                  <c:v>10568</c:v>
                </c:pt>
                <c:pt idx="3">
                  <c:v>13227</c:v>
                </c:pt>
                <c:pt idx="4">
                  <c:v>4700</c:v>
                </c:pt>
                <c:pt idx="5">
                  <c:v>15478</c:v>
                </c:pt>
                <c:pt idx="6">
                  <c:v>15275</c:v>
                </c:pt>
                <c:pt idx="7">
                  <c:v>21414</c:v>
                </c:pt>
                <c:pt idx="8">
                  <c:v>17504</c:v>
                </c:pt>
                <c:pt idx="9">
                  <c:v>28354</c:v>
                </c:pt>
                <c:pt idx="10">
                  <c:v>28320</c:v>
                </c:pt>
                <c:pt idx="11">
                  <c:v>30500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97B8-42C1-AD5C-C073C05C0F92}"/>
            </c:ext>
          </c:extLst>
        </c:ser>
        <c:dLbls>
          <c:showLegendKey val="0"/>
          <c:showVal val="0"/>
          <c:showCatName val="0"/>
          <c:showSerName val="0"/>
          <c:showPercent val="0"/>
          <c:showBubbleSize val="0"/>
        </c:dLbls>
        <c:gapWidth val="150"/>
        <c:axId val="3"/>
        <c:axId val="4"/>
      </c:barChart>
      <c:lineChart>
        <c:grouping val="standard"/>
        <c:varyColors val="0"/>
        <c:ser>
          <c:idx val="0"/>
          <c:order val="0"/>
          <c:tx>
            <c:strRef>
              <c:f>'3. 기초 분석 자료'!$B$210</c:f>
              <c:strCache>
                <c:ptCount val="1"/>
                <c:pt idx="0">
                  <c:v>매장당 판매촉진비</c:v>
                </c:pt>
              </c:strCache>
            </c:strRef>
          </c:tx>
          <c:spPr>
            <a:ln>
              <a:solidFill>
                <a:schemeClr val="accent2">
                  <a:lumMod val="75000"/>
                </a:schemeClr>
              </a:solidFill>
            </a:ln>
          </c:spPr>
          <c:marker>
            <c:spPr>
              <a:solidFill>
                <a:schemeClr val="accent2">
                  <a:lumMod val="50000"/>
                </a:schemeClr>
              </a:solidFill>
            </c:spPr>
          </c:marker>
          <c:cat>
            <c:multiLvlStrRef>
              <c:f>'3. 기초 분석 자료'!$C$36:$V$37</c:f>
              <c:multiLvlStrCache>
                <c:ptCount val="20"/>
                <c:lvl>
                  <c:pt idx="0">
                    <c:v>1Q</c:v>
                  </c:pt>
                  <c:pt idx="1">
                    <c:v>2Q</c:v>
                  </c:pt>
                  <c:pt idx="2">
                    <c:v>3Q</c:v>
                  </c:pt>
                  <c:pt idx="3">
                    <c:v>4Q</c:v>
                  </c:pt>
                  <c:pt idx="4">
                    <c:v>1Q</c:v>
                  </c:pt>
                  <c:pt idx="5">
                    <c:v>2Q</c:v>
                  </c:pt>
                  <c:pt idx="6">
                    <c:v>3Q</c:v>
                  </c:pt>
                  <c:pt idx="7">
                    <c:v>4Q</c:v>
                  </c:pt>
                  <c:pt idx="8">
                    <c:v>1Q</c:v>
                  </c:pt>
                  <c:pt idx="9">
                    <c:v>2Q</c:v>
                  </c:pt>
                  <c:pt idx="10">
                    <c:v>3Q</c:v>
                  </c:pt>
                  <c:pt idx="11">
                    <c:v>4Q</c:v>
                  </c:pt>
                  <c:pt idx="12">
                    <c:v>1Q</c:v>
                  </c:pt>
                  <c:pt idx="13">
                    <c:v>2Q</c:v>
                  </c:pt>
                  <c:pt idx="14">
                    <c:v>3Q</c:v>
                  </c:pt>
                  <c:pt idx="15">
                    <c:v>4Q</c:v>
                  </c:pt>
                  <c:pt idx="16">
                    <c:v>1Q</c:v>
                  </c:pt>
                  <c:pt idx="17">
                    <c:v>2Q</c:v>
                  </c:pt>
                  <c:pt idx="18">
                    <c:v>3Q</c:v>
                  </c:pt>
                  <c:pt idx="19">
                    <c:v>4Q</c:v>
                  </c:pt>
                </c:lvl>
                <c:lvl>
                  <c:pt idx="0">
                    <c:v>1차년도</c:v>
                  </c:pt>
                  <c:pt idx="4">
                    <c:v>2차년도</c:v>
                  </c:pt>
                  <c:pt idx="8">
                    <c:v>3차년도</c:v>
                  </c:pt>
                  <c:pt idx="12">
                    <c:v>4차년도</c:v>
                  </c:pt>
                  <c:pt idx="16">
                    <c:v>5차년도</c:v>
                  </c:pt>
                </c:lvl>
              </c:multiLvlStrCache>
            </c:multiLvlStrRef>
          </c:cat>
          <c:val>
            <c:numRef>
              <c:f>'3. 기초 분석 자료'!$C$210:$V$210</c:f>
              <c:numCache>
                <c:formatCode>_(* #,##0_);_(* \(#,##0\);_(* "-"_);_(@_)</c:formatCode>
                <c:ptCount val="20"/>
                <c:pt idx="0">
                  <c:v>80000</c:v>
                </c:pt>
                <c:pt idx="1">
                  <c:v>95000</c:v>
                </c:pt>
                <c:pt idx="2">
                  <c:v>100000</c:v>
                </c:pt>
                <c:pt idx="3">
                  <c:v>105000</c:v>
                </c:pt>
                <c:pt idx="4">
                  <c:v>115000</c:v>
                </c:pt>
                <c:pt idx="5">
                  <c:v>120000</c:v>
                </c:pt>
                <c:pt idx="6">
                  <c:v>125000</c:v>
                </c:pt>
                <c:pt idx="7">
                  <c:v>130000</c:v>
                </c:pt>
                <c:pt idx="8">
                  <c:v>135000</c:v>
                </c:pt>
                <c:pt idx="9">
                  <c:v>140000</c:v>
                </c:pt>
                <c:pt idx="10">
                  <c:v>145000</c:v>
                </c:pt>
                <c:pt idx="11">
                  <c:v>150000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1-97B8-42C1-AD5C-C073C05C0F92}"/>
            </c:ext>
          </c:extLst>
        </c:ser>
        <c:dLbls>
          <c:showLegendKey val="0"/>
          <c:showVal val="0"/>
          <c:showCatName val="0"/>
          <c:showSerName val="0"/>
          <c:showPercent val="0"/>
          <c:showBubbleSize val="0"/>
        </c:dLbls>
        <c:marker val="1"/>
        <c:smooth val="0"/>
        <c:axId val="2143100032"/>
        <c:axId val="1"/>
      </c:lineChart>
      <c:catAx>
        <c:axId val="2143100032"/>
        <c:scaling>
          <c:orientation val="minMax"/>
        </c:scaling>
        <c:delete val="0"/>
        <c:axPos val="b"/>
        <c:numFmt formatCode="General" sourceLinked="1"/>
        <c:majorTickMark val="out"/>
        <c:minorTickMark val="none"/>
        <c:tickLblPos val="nextTo"/>
        <c:crossAx val="1"/>
        <c:crosses val="autoZero"/>
        <c:auto val="1"/>
        <c:lblAlgn val="ctr"/>
        <c:lblOffset val="100"/>
        <c:noMultiLvlLbl val="0"/>
      </c:catAx>
      <c:valAx>
        <c:axId val="1"/>
        <c:scaling>
          <c:orientation val="minMax"/>
        </c:scaling>
        <c:delete val="0"/>
        <c:axPos val="l"/>
        <c:majorGridlines/>
        <c:title>
          <c:tx>
            <c:rich>
              <a:bodyPr rot="0" vert="wordArtVert"/>
              <a:lstStyle/>
              <a:p>
                <a:pPr algn="ctr">
                  <a:defRPr sz="1100" b="0" i="0" u="none" strike="noStrike" baseline="0">
                    <a:solidFill>
                      <a:srgbClr val="000000"/>
                    </a:solidFill>
                    <a:latin typeface="맑은 고딕"/>
                    <a:ea typeface="맑은 고딕"/>
                    <a:cs typeface="맑은 고딕"/>
                  </a:defRPr>
                </a:pPr>
                <a:r>
                  <a:rPr lang="en-US" sz="1000" b="1" i="0" u="none" strike="noStrike" baseline="0">
                    <a:solidFill>
                      <a:srgbClr val="000000"/>
                    </a:solidFill>
                    <a:latin typeface="맑은 고딕"/>
                    <a:ea typeface="맑은 고딕"/>
                  </a:rPr>
                  <a:t>중국 판매촉진비</a:t>
                </a:r>
              </a:p>
            </c:rich>
          </c:tx>
          <c:overlay val="0"/>
          <c:spPr>
            <a:solidFill>
              <a:schemeClr val="accent1">
                <a:lumMod val="20000"/>
                <a:lumOff val="80000"/>
              </a:schemeClr>
            </a:solidFill>
          </c:spPr>
        </c:title>
        <c:numFmt formatCode="_(* #,##0_);_(* \(#,##0\);_(* &quot;-&quot;_);_(@_)" sourceLinked="1"/>
        <c:majorTickMark val="out"/>
        <c:minorTickMark val="none"/>
        <c:tickLblPos val="nextTo"/>
        <c:crossAx val="2143100032"/>
        <c:crosses val="autoZero"/>
        <c:crossBetween val="between"/>
      </c:valAx>
      <c:catAx>
        <c:axId val="3"/>
        <c:scaling>
          <c:orientation val="minMax"/>
        </c:scaling>
        <c:delete val="1"/>
        <c:axPos val="b"/>
        <c:majorTickMark val="out"/>
        <c:minorTickMark val="none"/>
        <c:tickLblPos val="nextTo"/>
        <c:crossAx val="4"/>
        <c:crosses val="autoZero"/>
        <c:auto val="1"/>
        <c:lblAlgn val="ctr"/>
        <c:lblOffset val="100"/>
        <c:noMultiLvlLbl val="0"/>
      </c:catAx>
      <c:valAx>
        <c:axId val="4"/>
        <c:scaling>
          <c:orientation val="minMax"/>
        </c:scaling>
        <c:delete val="0"/>
        <c:axPos val="r"/>
        <c:title>
          <c:tx>
            <c:rich>
              <a:bodyPr rot="0" vert="wordArtVertRtl"/>
              <a:lstStyle/>
              <a:p>
                <a:pPr>
                  <a:defRPr/>
                </a:pPr>
                <a:r>
                  <a:rPr lang="ko-KR" altLang="en-US"/>
                  <a:t>판매량</a:t>
                </a:r>
              </a:p>
            </c:rich>
          </c:tx>
          <c:overlay val="0"/>
          <c:spPr>
            <a:solidFill>
              <a:schemeClr val="accent1">
                <a:lumMod val="20000"/>
                <a:lumOff val="80000"/>
              </a:schemeClr>
            </a:solidFill>
          </c:spPr>
        </c:title>
        <c:numFmt formatCode="_(* #,##0_);_(* \(#,##0\);_(* &quot;-&quot;_);_(@_)" sourceLinked="1"/>
        <c:majorTickMark val="out"/>
        <c:minorTickMark val="none"/>
        <c:tickLblPos val="nextTo"/>
        <c:crossAx val="3"/>
        <c:crosses val="max"/>
        <c:crossBetween val="between"/>
      </c:valAx>
    </c:plotArea>
    <c:legend>
      <c:legendPos val="r"/>
      <c:layout>
        <c:manualLayout>
          <c:xMode val="edge"/>
          <c:yMode val="edge"/>
          <c:x val="0.32842841462810968"/>
          <c:y val="0.92066569297805811"/>
          <c:w val="0.34317418018284113"/>
          <c:h val="6.3494185722624691E-2"/>
        </c:manualLayout>
      </c:layout>
      <c:overlay val="0"/>
    </c:legend>
    <c:plotVisOnly val="1"/>
    <c:dispBlanksAs val="gap"/>
    <c:showDLblsOverMax val="0"/>
  </c:chart>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맑은 고딕"/>
                <a:ea typeface="맑은 고딕"/>
                <a:cs typeface="맑은 고딕"/>
              </a:defRPr>
            </a:pPr>
            <a:r>
              <a:rPr lang="en-US" sz="1600" b="1" i="0" u="none" strike="noStrike" baseline="0">
                <a:solidFill>
                  <a:srgbClr val="000000"/>
                </a:solidFill>
                <a:latin typeface="Calibri"/>
                <a:cs typeface="Calibri"/>
              </a:rPr>
              <a:t>CSR</a:t>
            </a:r>
            <a:r>
              <a:rPr lang="en-US" sz="1600" b="1" i="0" u="none" strike="noStrike" baseline="0">
                <a:solidFill>
                  <a:srgbClr val="000000"/>
                </a:solidFill>
                <a:latin typeface="맑은 고딕"/>
                <a:ea typeface="맑은 고딕"/>
                <a:cs typeface="Calibri"/>
              </a:rPr>
              <a:t>활동비와 브랜드 등급변화</a:t>
            </a:r>
            <a:endParaRPr lang="en-US" sz="1600" b="1" i="0" u="none" strike="noStrike" baseline="0">
              <a:solidFill>
                <a:srgbClr val="000000"/>
              </a:solidFill>
              <a:latin typeface="맑은 고딕"/>
              <a:ea typeface="맑은 고딕"/>
            </a:endParaRPr>
          </a:p>
        </c:rich>
      </c:tx>
      <c:overlay val="0"/>
    </c:title>
    <c:autoTitleDeleted val="0"/>
    <c:plotArea>
      <c:layout/>
      <c:barChart>
        <c:barDir val="col"/>
        <c:grouping val="clustered"/>
        <c:varyColors val="0"/>
        <c:ser>
          <c:idx val="1"/>
          <c:order val="1"/>
          <c:tx>
            <c:strRef>
              <c:f>'3. 기초 분석 자료'!$B$283</c:f>
              <c:strCache>
                <c:ptCount val="1"/>
                <c:pt idx="0">
                  <c:v>CSR 활동비</c:v>
                </c:pt>
              </c:strCache>
            </c:strRef>
          </c:tx>
          <c:spPr>
            <a:solidFill>
              <a:schemeClr val="accent5">
                <a:lumMod val="75000"/>
              </a:schemeClr>
            </a:solidFill>
          </c:spPr>
          <c:invertIfNegative val="0"/>
          <c:cat>
            <c:multiLvlStrRef>
              <c:f>'3. 기초 분석 자료'!$C$106:$V$107</c:f>
              <c:multiLvlStrCache>
                <c:ptCount val="20"/>
                <c:lvl>
                  <c:pt idx="0">
                    <c:v>1Q</c:v>
                  </c:pt>
                  <c:pt idx="1">
                    <c:v>2Q</c:v>
                  </c:pt>
                  <c:pt idx="2">
                    <c:v>3Q</c:v>
                  </c:pt>
                  <c:pt idx="3">
                    <c:v>4Q</c:v>
                  </c:pt>
                  <c:pt idx="4">
                    <c:v>1Q</c:v>
                  </c:pt>
                  <c:pt idx="5">
                    <c:v>2Q</c:v>
                  </c:pt>
                  <c:pt idx="6">
                    <c:v>3Q</c:v>
                  </c:pt>
                  <c:pt idx="7">
                    <c:v>4Q</c:v>
                  </c:pt>
                  <c:pt idx="8">
                    <c:v>1Q</c:v>
                  </c:pt>
                  <c:pt idx="9">
                    <c:v>2Q</c:v>
                  </c:pt>
                  <c:pt idx="10">
                    <c:v>3Q</c:v>
                  </c:pt>
                  <c:pt idx="11">
                    <c:v>4Q</c:v>
                  </c:pt>
                  <c:pt idx="12">
                    <c:v>1Q</c:v>
                  </c:pt>
                  <c:pt idx="13">
                    <c:v>2Q</c:v>
                  </c:pt>
                  <c:pt idx="14">
                    <c:v>3Q</c:v>
                  </c:pt>
                  <c:pt idx="15">
                    <c:v>4Q</c:v>
                  </c:pt>
                  <c:pt idx="16">
                    <c:v>1Q</c:v>
                  </c:pt>
                  <c:pt idx="17">
                    <c:v>2Q</c:v>
                  </c:pt>
                  <c:pt idx="18">
                    <c:v>3Q</c:v>
                  </c:pt>
                  <c:pt idx="19">
                    <c:v>4Q</c:v>
                  </c:pt>
                </c:lvl>
                <c:lvl>
                  <c:pt idx="0">
                    <c:v>1차년도</c:v>
                  </c:pt>
                  <c:pt idx="4">
                    <c:v>2차년도</c:v>
                  </c:pt>
                  <c:pt idx="8">
                    <c:v>3차년도</c:v>
                  </c:pt>
                  <c:pt idx="12">
                    <c:v>4차년도</c:v>
                  </c:pt>
                  <c:pt idx="16">
                    <c:v>5차년도</c:v>
                  </c:pt>
                </c:lvl>
              </c:multiLvlStrCache>
            </c:multiLvlStrRef>
          </c:cat>
          <c:val>
            <c:numRef>
              <c:f>'3. 기초 분석 자료'!$C$283:$V$283</c:f>
              <c:numCache>
                <c:formatCode>_(* #,##0_);_(* \(#,##0\);_(* "-"_);_(@_)</c:formatCode>
                <c:ptCount val="20"/>
                <c:pt idx="0">
                  <c:v>0</c:v>
                </c:pt>
                <c:pt idx="1">
                  <c:v>0</c:v>
                </c:pt>
                <c:pt idx="2">
                  <c:v>0</c:v>
                </c:pt>
                <c:pt idx="3">
                  <c:v>100000000</c:v>
                </c:pt>
                <c:pt idx="4">
                  <c:v>150000000</c:v>
                </c:pt>
                <c:pt idx="5">
                  <c:v>250000000</c:v>
                </c:pt>
                <c:pt idx="6">
                  <c:v>280000000</c:v>
                </c:pt>
                <c:pt idx="7">
                  <c:v>350000000</c:v>
                </c:pt>
                <c:pt idx="8">
                  <c:v>420000000</c:v>
                </c:pt>
                <c:pt idx="9">
                  <c:v>460000000</c:v>
                </c:pt>
                <c:pt idx="10">
                  <c:v>480000000</c:v>
                </c:pt>
                <c:pt idx="11">
                  <c:v>500000000</c:v>
                </c:pt>
                <c:pt idx="12" formatCode="General">
                  <c:v>0</c:v>
                </c:pt>
                <c:pt idx="13" formatCode="General">
                  <c:v>0</c:v>
                </c:pt>
                <c:pt idx="14" formatCode="General">
                  <c:v>0</c:v>
                </c:pt>
                <c:pt idx="15" formatCode="General">
                  <c:v>0</c:v>
                </c:pt>
                <c:pt idx="16" formatCode="General">
                  <c:v>0</c:v>
                </c:pt>
                <c:pt idx="17" formatCode="General">
                  <c:v>0</c:v>
                </c:pt>
                <c:pt idx="18" formatCode="General">
                  <c:v>0</c:v>
                </c:pt>
                <c:pt idx="19" formatCode="General">
                  <c:v>0</c:v>
                </c:pt>
              </c:numCache>
            </c:numRef>
          </c:val>
          <c:extLst>
            <c:ext xmlns:c16="http://schemas.microsoft.com/office/drawing/2014/chart" uri="{C3380CC4-5D6E-409C-BE32-E72D297353CC}">
              <c16:uniqueId val="{00000000-0FE0-48BF-AAB9-745EE098A717}"/>
            </c:ext>
          </c:extLst>
        </c:ser>
        <c:dLbls>
          <c:showLegendKey val="0"/>
          <c:showVal val="0"/>
          <c:showCatName val="0"/>
          <c:showSerName val="0"/>
          <c:showPercent val="0"/>
          <c:showBubbleSize val="0"/>
        </c:dLbls>
        <c:gapWidth val="150"/>
        <c:axId val="2143086832"/>
        <c:axId val="1"/>
      </c:barChart>
      <c:lineChart>
        <c:grouping val="standard"/>
        <c:varyColors val="0"/>
        <c:ser>
          <c:idx val="0"/>
          <c:order val="0"/>
          <c:tx>
            <c:strRef>
              <c:f>'3. 기초 분석 자료'!$B$284</c:f>
              <c:strCache>
                <c:ptCount val="1"/>
                <c:pt idx="0">
                  <c:v>브랜드 등급</c:v>
                </c:pt>
              </c:strCache>
            </c:strRef>
          </c:tx>
          <c:spPr>
            <a:ln>
              <a:solidFill>
                <a:srgbClr val="FF0000"/>
              </a:solidFill>
            </a:ln>
          </c:spPr>
          <c:marker>
            <c:symbol val="diamond"/>
            <c:size val="7"/>
            <c:spPr>
              <a:solidFill>
                <a:srgbClr val="FF0000"/>
              </a:solidFill>
            </c:spPr>
          </c:marker>
          <c:dLbls>
            <c:spPr>
              <a:solidFill>
                <a:schemeClr val="bg1"/>
              </a:solidFill>
            </c:spPr>
            <c:txPr>
              <a:bodyPr/>
              <a:lstStyle/>
              <a:p>
                <a:pPr>
                  <a:defRPr sz="1000" b="1"/>
                </a:pPr>
                <a:endParaRPr lang="ko-K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'3. 기초 분석 자료'!$C$106:$V$107</c:f>
              <c:multiLvlStrCache>
                <c:ptCount val="20"/>
                <c:lvl>
                  <c:pt idx="0">
                    <c:v>1Q</c:v>
                  </c:pt>
                  <c:pt idx="1">
                    <c:v>2Q</c:v>
                  </c:pt>
                  <c:pt idx="2">
                    <c:v>3Q</c:v>
                  </c:pt>
                  <c:pt idx="3">
                    <c:v>4Q</c:v>
                  </c:pt>
                  <c:pt idx="4">
                    <c:v>1Q</c:v>
                  </c:pt>
                  <c:pt idx="5">
                    <c:v>2Q</c:v>
                  </c:pt>
                  <c:pt idx="6">
                    <c:v>3Q</c:v>
                  </c:pt>
                  <c:pt idx="7">
                    <c:v>4Q</c:v>
                  </c:pt>
                  <c:pt idx="8">
                    <c:v>1Q</c:v>
                  </c:pt>
                  <c:pt idx="9">
                    <c:v>2Q</c:v>
                  </c:pt>
                  <c:pt idx="10">
                    <c:v>3Q</c:v>
                  </c:pt>
                  <c:pt idx="11">
                    <c:v>4Q</c:v>
                  </c:pt>
                  <c:pt idx="12">
                    <c:v>1Q</c:v>
                  </c:pt>
                  <c:pt idx="13">
                    <c:v>2Q</c:v>
                  </c:pt>
                  <c:pt idx="14">
                    <c:v>3Q</c:v>
                  </c:pt>
                  <c:pt idx="15">
                    <c:v>4Q</c:v>
                  </c:pt>
                  <c:pt idx="16">
                    <c:v>1Q</c:v>
                  </c:pt>
                  <c:pt idx="17">
                    <c:v>2Q</c:v>
                  </c:pt>
                  <c:pt idx="18">
                    <c:v>3Q</c:v>
                  </c:pt>
                  <c:pt idx="19">
                    <c:v>4Q</c:v>
                  </c:pt>
                </c:lvl>
                <c:lvl>
                  <c:pt idx="0">
                    <c:v>1차년도</c:v>
                  </c:pt>
                  <c:pt idx="4">
                    <c:v>2차년도</c:v>
                  </c:pt>
                  <c:pt idx="8">
                    <c:v>3차년도</c:v>
                  </c:pt>
                  <c:pt idx="12">
                    <c:v>4차년도</c:v>
                  </c:pt>
                  <c:pt idx="16">
                    <c:v>5차년도</c:v>
                  </c:pt>
                </c:lvl>
              </c:multiLvlStrCache>
            </c:multiLvlStrRef>
          </c:cat>
          <c:val>
            <c:numRef>
              <c:f>'3. 기초 분석 자료'!$C$284:$V$284</c:f>
              <c:numCache>
                <c:formatCode>_(* #,##0_);_(* \(#,##0\);_(* "-"_);_(@_)</c:formatCode>
                <c:ptCount val="20"/>
                <c:pt idx="0">
                  <c:v>7</c:v>
                </c:pt>
                <c:pt idx="1">
                  <c:v>7</c:v>
                </c:pt>
                <c:pt idx="2">
                  <c:v>6</c:v>
                </c:pt>
                <c:pt idx="3">
                  <c:v>6</c:v>
                </c:pt>
                <c:pt idx="4">
                  <c:v>6</c:v>
                </c:pt>
                <c:pt idx="5">
                  <c:v>5</c:v>
                </c:pt>
                <c:pt idx="6">
                  <c:v>5</c:v>
                </c:pt>
                <c:pt idx="7">
                  <c:v>5</c:v>
                </c:pt>
                <c:pt idx="8">
                  <c:v>4</c:v>
                </c:pt>
                <c:pt idx="9">
                  <c:v>4</c:v>
                </c:pt>
                <c:pt idx="10">
                  <c:v>4</c:v>
                </c:pt>
                <c:pt idx="11">
                  <c:v>4</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1-0FE0-48BF-AAB9-745EE098A717}"/>
            </c:ext>
          </c:extLst>
        </c:ser>
        <c:dLbls>
          <c:showLegendKey val="0"/>
          <c:showVal val="0"/>
          <c:showCatName val="0"/>
          <c:showSerName val="0"/>
          <c:showPercent val="0"/>
          <c:showBubbleSize val="0"/>
        </c:dLbls>
        <c:marker val="1"/>
        <c:smooth val="0"/>
        <c:axId val="3"/>
        <c:axId val="4"/>
      </c:lineChart>
      <c:catAx>
        <c:axId val="2143086832"/>
        <c:scaling>
          <c:orientation val="minMax"/>
        </c:scaling>
        <c:delete val="0"/>
        <c:axPos val="b"/>
        <c:numFmt formatCode="General" sourceLinked="1"/>
        <c:majorTickMark val="out"/>
        <c:minorTickMark val="none"/>
        <c:tickLblPos val="nextTo"/>
        <c:crossAx val="1"/>
        <c:crosses val="autoZero"/>
        <c:auto val="1"/>
        <c:lblAlgn val="ctr"/>
        <c:lblOffset val="100"/>
        <c:noMultiLvlLbl val="0"/>
      </c:catAx>
      <c:valAx>
        <c:axId val="1"/>
        <c:scaling>
          <c:orientation val="minMax"/>
        </c:scaling>
        <c:delete val="0"/>
        <c:axPos val="l"/>
        <c:majorGridlines/>
        <c:title>
          <c:tx>
            <c:rich>
              <a:bodyPr rot="0" vert="wordArtVert"/>
              <a:lstStyle/>
              <a:p>
                <a:pPr algn="ctr">
                  <a:defRPr sz="1100" b="0" i="0" u="none" strike="noStrike" baseline="0">
                    <a:solidFill>
                      <a:srgbClr val="000000"/>
                    </a:solidFill>
                    <a:latin typeface="맑은 고딕"/>
                    <a:ea typeface="맑은 고딕"/>
                    <a:cs typeface="맑은 고딕"/>
                  </a:defRPr>
                </a:pPr>
                <a:r>
                  <a:rPr lang="en-US" sz="1000" b="1" i="0" u="none" strike="noStrike" baseline="0">
                    <a:solidFill>
                      <a:srgbClr val="000000"/>
                    </a:solidFill>
                    <a:latin typeface="Calibri"/>
                    <a:cs typeface="Calibri"/>
                  </a:rPr>
                  <a:t>CSR </a:t>
                </a:r>
                <a:r>
                  <a:rPr lang="en-US" sz="1000" b="1" i="0" u="none" strike="noStrike" baseline="0">
                    <a:solidFill>
                      <a:srgbClr val="000000"/>
                    </a:solidFill>
                    <a:latin typeface="맑은 고딕"/>
                    <a:ea typeface="맑은 고딕"/>
                    <a:cs typeface="Calibri"/>
                  </a:rPr>
                  <a:t>활동비</a:t>
                </a:r>
                <a:endParaRPr lang="en-US" sz="1000" b="1" i="0" u="none" strike="noStrike" baseline="0">
                  <a:solidFill>
                    <a:srgbClr val="000000"/>
                  </a:solidFill>
                  <a:latin typeface="맑은 고딕"/>
                  <a:ea typeface="맑은 고딕"/>
                </a:endParaRPr>
              </a:p>
            </c:rich>
          </c:tx>
          <c:overlay val="0"/>
          <c:spPr>
            <a:solidFill>
              <a:schemeClr val="accent5">
                <a:lumMod val="20000"/>
                <a:lumOff val="80000"/>
              </a:schemeClr>
            </a:solidFill>
          </c:spPr>
        </c:title>
        <c:numFmt formatCode="_(* #,##0_);_(* \(#,##0\);_(* &quot;-&quot;_);_(@_)" sourceLinked="1"/>
        <c:majorTickMark val="out"/>
        <c:minorTickMark val="none"/>
        <c:tickLblPos val="nextTo"/>
        <c:crossAx val="2143086832"/>
        <c:crosses val="autoZero"/>
        <c:crossBetween val="between"/>
      </c:valAx>
      <c:catAx>
        <c:axId val="3"/>
        <c:scaling>
          <c:orientation val="minMax"/>
        </c:scaling>
        <c:delete val="1"/>
        <c:axPos val="b"/>
        <c:numFmt formatCode="General" sourceLinked="1"/>
        <c:majorTickMark val="out"/>
        <c:minorTickMark val="none"/>
        <c:tickLblPos val="nextTo"/>
        <c:crossAx val="4"/>
        <c:crosses val="autoZero"/>
        <c:auto val="1"/>
        <c:lblAlgn val="ctr"/>
        <c:lblOffset val="100"/>
        <c:noMultiLvlLbl val="0"/>
      </c:catAx>
      <c:valAx>
        <c:axId val="4"/>
        <c:scaling>
          <c:orientation val="minMax"/>
        </c:scaling>
        <c:delete val="0"/>
        <c:axPos val="r"/>
        <c:title>
          <c:tx>
            <c:rich>
              <a:bodyPr rot="0" vert="wordArtVert"/>
              <a:lstStyle/>
              <a:p>
                <a:pPr algn="ctr">
                  <a:defRPr sz="1000" b="0" i="0" u="none" strike="noStrike" baseline="0">
                    <a:solidFill>
                      <a:srgbClr val="000000"/>
                    </a:solidFill>
                    <a:latin typeface="맑은 고딕"/>
                    <a:ea typeface="맑은 고딕"/>
                    <a:cs typeface="맑은 고딕"/>
                  </a:defRPr>
                </a:pPr>
                <a:r>
                  <a:rPr lang="en-US" sz="1000" b="1" i="0" u="none" strike="noStrike" baseline="0">
                    <a:solidFill>
                      <a:srgbClr val="000000"/>
                    </a:solidFill>
                    <a:latin typeface="맑은 고딕"/>
                    <a:ea typeface="맑은 고딕"/>
                  </a:rPr>
                  <a:t>브랜드 등급</a:t>
                </a:r>
              </a:p>
            </c:rich>
          </c:tx>
          <c:overlay val="0"/>
          <c:spPr>
            <a:solidFill>
              <a:schemeClr val="accent5">
                <a:lumMod val="20000"/>
                <a:lumOff val="80000"/>
              </a:schemeClr>
            </a:solidFill>
          </c:spPr>
        </c:title>
        <c:numFmt formatCode="_(* #,##0_);_(* \(#,##0\);_(* &quot;-&quot;_);_(@_)" sourceLinked="1"/>
        <c:majorTickMark val="out"/>
        <c:minorTickMark val="none"/>
        <c:tickLblPos val="nextTo"/>
        <c:crossAx val="3"/>
        <c:crosses val="max"/>
        <c:crossBetween val="between"/>
        <c:majorUnit val="1"/>
      </c:valAx>
    </c:plotArea>
    <c:legend>
      <c:legendPos val="r"/>
      <c:layout>
        <c:manualLayout>
          <c:xMode val="edge"/>
          <c:yMode val="edge"/>
          <c:x val="0.40337396487034755"/>
          <c:y val="0.91446685769848546"/>
          <c:w val="0.19832553272792086"/>
          <c:h val="6.4173112820946343E-2"/>
        </c:manualLayout>
      </c:layout>
      <c:overlay val="0"/>
    </c:legend>
    <c:plotVisOnly val="1"/>
    <c:dispBlanksAs val="gap"/>
    <c:showDLblsOverMax val="0"/>
  </c:chart>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맑은 고딕"/>
                <a:ea typeface="맑은 고딕"/>
                <a:cs typeface="맑은 고딕"/>
              </a:defRPr>
            </a:pPr>
            <a:r>
              <a:rPr lang="en-US" sz="1600" b="1" i="0" u="none" strike="noStrike" baseline="0">
                <a:solidFill>
                  <a:srgbClr val="000000"/>
                </a:solidFill>
                <a:latin typeface="맑은 고딕"/>
                <a:ea typeface="맑은 고딕"/>
              </a:rPr>
              <a:t>브랜드 등급 변화와 영업본부별 판매량</a:t>
            </a:r>
          </a:p>
        </c:rich>
      </c:tx>
      <c:overlay val="0"/>
    </c:title>
    <c:autoTitleDeleted val="0"/>
    <c:plotArea>
      <c:layout/>
      <c:barChart>
        <c:barDir val="col"/>
        <c:grouping val="clustered"/>
        <c:varyColors val="0"/>
        <c:ser>
          <c:idx val="0"/>
          <c:order val="0"/>
          <c:tx>
            <c:strRef>
              <c:f>'3. 기초 분석 자료'!$B$110</c:f>
              <c:strCache>
                <c:ptCount val="1"/>
                <c:pt idx="0">
                  <c:v> 한국 판매량 </c:v>
                </c:pt>
              </c:strCache>
            </c:strRef>
          </c:tx>
          <c:invertIfNegative val="0"/>
          <c:cat>
            <c:multiLvlStrRef>
              <c:f>'3. 기초 분석 자료'!$C$106:$V$107</c:f>
              <c:multiLvlStrCache>
                <c:ptCount val="20"/>
                <c:lvl>
                  <c:pt idx="0">
                    <c:v>1Q</c:v>
                  </c:pt>
                  <c:pt idx="1">
                    <c:v>2Q</c:v>
                  </c:pt>
                  <c:pt idx="2">
                    <c:v>3Q</c:v>
                  </c:pt>
                  <c:pt idx="3">
                    <c:v>4Q</c:v>
                  </c:pt>
                  <c:pt idx="4">
                    <c:v>1Q</c:v>
                  </c:pt>
                  <c:pt idx="5">
                    <c:v>2Q</c:v>
                  </c:pt>
                  <c:pt idx="6">
                    <c:v>3Q</c:v>
                  </c:pt>
                  <c:pt idx="7">
                    <c:v>4Q</c:v>
                  </c:pt>
                  <c:pt idx="8">
                    <c:v>1Q</c:v>
                  </c:pt>
                  <c:pt idx="9">
                    <c:v>2Q</c:v>
                  </c:pt>
                  <c:pt idx="10">
                    <c:v>3Q</c:v>
                  </c:pt>
                  <c:pt idx="11">
                    <c:v>4Q</c:v>
                  </c:pt>
                  <c:pt idx="12">
                    <c:v>1Q</c:v>
                  </c:pt>
                  <c:pt idx="13">
                    <c:v>2Q</c:v>
                  </c:pt>
                  <c:pt idx="14">
                    <c:v>3Q</c:v>
                  </c:pt>
                  <c:pt idx="15">
                    <c:v>4Q</c:v>
                  </c:pt>
                  <c:pt idx="16">
                    <c:v>1Q</c:v>
                  </c:pt>
                  <c:pt idx="17">
                    <c:v>2Q</c:v>
                  </c:pt>
                  <c:pt idx="18">
                    <c:v>3Q</c:v>
                  </c:pt>
                  <c:pt idx="19">
                    <c:v>4Q</c:v>
                  </c:pt>
                </c:lvl>
                <c:lvl>
                  <c:pt idx="0">
                    <c:v>1차년도</c:v>
                  </c:pt>
                  <c:pt idx="4">
                    <c:v>2차년도</c:v>
                  </c:pt>
                  <c:pt idx="8">
                    <c:v>3차년도</c:v>
                  </c:pt>
                  <c:pt idx="12">
                    <c:v>4차년도</c:v>
                  </c:pt>
                  <c:pt idx="16">
                    <c:v>5차년도</c:v>
                  </c:pt>
                </c:lvl>
              </c:multiLvlStrCache>
            </c:multiLvlStrRef>
          </c:cat>
          <c:val>
            <c:numRef>
              <c:f>'3. 기초 분석 자료'!$C$110:$V$110</c:f>
              <c:numCache>
                <c:formatCode>_(* #,##0_);_(* \(#,##0\);_(* "-"_);_(@_)</c:formatCode>
                <c:ptCount val="20"/>
                <c:pt idx="0">
                  <c:v>38739</c:v>
                </c:pt>
                <c:pt idx="1">
                  <c:v>49455</c:v>
                </c:pt>
                <c:pt idx="2">
                  <c:v>46095</c:v>
                </c:pt>
                <c:pt idx="3">
                  <c:v>53923</c:v>
                </c:pt>
                <c:pt idx="4">
                  <c:v>38959</c:v>
                </c:pt>
                <c:pt idx="5">
                  <c:v>59451</c:v>
                </c:pt>
                <c:pt idx="6">
                  <c:v>53746</c:v>
                </c:pt>
                <c:pt idx="7">
                  <c:v>73267</c:v>
                </c:pt>
                <c:pt idx="8">
                  <c:v>65552</c:v>
                </c:pt>
                <c:pt idx="9">
                  <c:v>80232</c:v>
                </c:pt>
                <c:pt idx="10">
                  <c:v>69981</c:v>
                </c:pt>
                <c:pt idx="11">
                  <c:v>66680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DBB8-4C9B-B08A-DB96BD30C6AB}"/>
            </c:ext>
          </c:extLst>
        </c:ser>
        <c:ser>
          <c:idx val="1"/>
          <c:order val="1"/>
          <c:tx>
            <c:strRef>
              <c:f>'3. 기초 분석 자료'!$B$111</c:f>
              <c:strCache>
                <c:ptCount val="1"/>
                <c:pt idx="0">
                  <c:v> U국가 판매량 </c:v>
                </c:pt>
              </c:strCache>
            </c:strRef>
          </c:tx>
          <c:spPr>
            <a:solidFill>
              <a:srgbClr val="FFC000"/>
            </a:solidFill>
          </c:spPr>
          <c:invertIfNegative val="0"/>
          <c:cat>
            <c:multiLvlStrRef>
              <c:f>'3. 기초 분석 자료'!$C$106:$V$107</c:f>
              <c:multiLvlStrCache>
                <c:ptCount val="20"/>
                <c:lvl>
                  <c:pt idx="0">
                    <c:v>1Q</c:v>
                  </c:pt>
                  <c:pt idx="1">
                    <c:v>2Q</c:v>
                  </c:pt>
                  <c:pt idx="2">
                    <c:v>3Q</c:v>
                  </c:pt>
                  <c:pt idx="3">
                    <c:v>4Q</c:v>
                  </c:pt>
                  <c:pt idx="4">
                    <c:v>1Q</c:v>
                  </c:pt>
                  <c:pt idx="5">
                    <c:v>2Q</c:v>
                  </c:pt>
                  <c:pt idx="6">
                    <c:v>3Q</c:v>
                  </c:pt>
                  <c:pt idx="7">
                    <c:v>4Q</c:v>
                  </c:pt>
                  <c:pt idx="8">
                    <c:v>1Q</c:v>
                  </c:pt>
                  <c:pt idx="9">
                    <c:v>2Q</c:v>
                  </c:pt>
                  <c:pt idx="10">
                    <c:v>3Q</c:v>
                  </c:pt>
                  <c:pt idx="11">
                    <c:v>4Q</c:v>
                  </c:pt>
                  <c:pt idx="12">
                    <c:v>1Q</c:v>
                  </c:pt>
                  <c:pt idx="13">
                    <c:v>2Q</c:v>
                  </c:pt>
                  <c:pt idx="14">
                    <c:v>3Q</c:v>
                  </c:pt>
                  <c:pt idx="15">
                    <c:v>4Q</c:v>
                  </c:pt>
                  <c:pt idx="16">
                    <c:v>1Q</c:v>
                  </c:pt>
                  <c:pt idx="17">
                    <c:v>2Q</c:v>
                  </c:pt>
                  <c:pt idx="18">
                    <c:v>3Q</c:v>
                  </c:pt>
                  <c:pt idx="19">
                    <c:v>4Q</c:v>
                  </c:pt>
                </c:lvl>
                <c:lvl>
                  <c:pt idx="0">
                    <c:v>1차년도</c:v>
                  </c:pt>
                  <c:pt idx="4">
                    <c:v>2차년도</c:v>
                  </c:pt>
                  <c:pt idx="8">
                    <c:v>3차년도</c:v>
                  </c:pt>
                  <c:pt idx="12">
                    <c:v>4차년도</c:v>
                  </c:pt>
                  <c:pt idx="16">
                    <c:v>5차년도</c:v>
                  </c:pt>
                </c:lvl>
              </c:multiLvlStrCache>
            </c:multiLvlStrRef>
          </c:cat>
          <c:val>
            <c:numRef>
              <c:f>'3. 기초 분석 자료'!$C$111:$V$111</c:f>
              <c:numCache>
                <c:formatCode>_(* #,##0_);_(* \(#,##0\);_(* "-"_);_(@_)</c:formatCode>
                <c:ptCount val="20"/>
                <c:pt idx="0">
                  <c:v>23963</c:v>
                </c:pt>
                <c:pt idx="1">
                  <c:v>32381</c:v>
                </c:pt>
                <c:pt idx="2">
                  <c:v>34739</c:v>
                </c:pt>
                <c:pt idx="3">
                  <c:v>39025</c:v>
                </c:pt>
                <c:pt idx="4">
                  <c:v>34074</c:v>
                </c:pt>
                <c:pt idx="5">
                  <c:v>39074</c:v>
                </c:pt>
                <c:pt idx="6">
                  <c:v>39354</c:v>
                </c:pt>
                <c:pt idx="7">
                  <c:v>40033</c:v>
                </c:pt>
                <c:pt idx="8">
                  <c:v>33564</c:v>
                </c:pt>
                <c:pt idx="9">
                  <c:v>36277</c:v>
                </c:pt>
                <c:pt idx="10">
                  <c:v>33702</c:v>
                </c:pt>
                <c:pt idx="11">
                  <c:v>32680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DBB8-4C9B-B08A-DB96BD30C6AB}"/>
            </c:ext>
          </c:extLst>
        </c:ser>
        <c:ser>
          <c:idx val="2"/>
          <c:order val="2"/>
          <c:tx>
            <c:strRef>
              <c:f>'3. 기초 분석 자료'!$B$112</c:f>
              <c:strCache>
                <c:ptCount val="1"/>
                <c:pt idx="0">
                  <c:v> C국가 판매량 </c:v>
                </c:pt>
              </c:strCache>
            </c:strRef>
          </c:tx>
          <c:spPr>
            <a:solidFill>
              <a:schemeClr val="accent6">
                <a:lumMod val="50000"/>
              </a:schemeClr>
            </a:solidFill>
          </c:spPr>
          <c:invertIfNegative val="0"/>
          <c:cat>
            <c:multiLvlStrRef>
              <c:f>'3. 기초 분석 자료'!$C$106:$V$107</c:f>
              <c:multiLvlStrCache>
                <c:ptCount val="20"/>
                <c:lvl>
                  <c:pt idx="0">
                    <c:v>1Q</c:v>
                  </c:pt>
                  <c:pt idx="1">
                    <c:v>2Q</c:v>
                  </c:pt>
                  <c:pt idx="2">
                    <c:v>3Q</c:v>
                  </c:pt>
                  <c:pt idx="3">
                    <c:v>4Q</c:v>
                  </c:pt>
                  <c:pt idx="4">
                    <c:v>1Q</c:v>
                  </c:pt>
                  <c:pt idx="5">
                    <c:v>2Q</c:v>
                  </c:pt>
                  <c:pt idx="6">
                    <c:v>3Q</c:v>
                  </c:pt>
                  <c:pt idx="7">
                    <c:v>4Q</c:v>
                  </c:pt>
                  <c:pt idx="8">
                    <c:v>1Q</c:v>
                  </c:pt>
                  <c:pt idx="9">
                    <c:v>2Q</c:v>
                  </c:pt>
                  <c:pt idx="10">
                    <c:v>3Q</c:v>
                  </c:pt>
                  <c:pt idx="11">
                    <c:v>4Q</c:v>
                  </c:pt>
                  <c:pt idx="12">
                    <c:v>1Q</c:v>
                  </c:pt>
                  <c:pt idx="13">
                    <c:v>2Q</c:v>
                  </c:pt>
                  <c:pt idx="14">
                    <c:v>3Q</c:v>
                  </c:pt>
                  <c:pt idx="15">
                    <c:v>4Q</c:v>
                  </c:pt>
                  <c:pt idx="16">
                    <c:v>1Q</c:v>
                  </c:pt>
                  <c:pt idx="17">
                    <c:v>2Q</c:v>
                  </c:pt>
                  <c:pt idx="18">
                    <c:v>3Q</c:v>
                  </c:pt>
                  <c:pt idx="19">
                    <c:v>4Q</c:v>
                  </c:pt>
                </c:lvl>
                <c:lvl>
                  <c:pt idx="0">
                    <c:v>1차년도</c:v>
                  </c:pt>
                  <c:pt idx="4">
                    <c:v>2차년도</c:v>
                  </c:pt>
                  <c:pt idx="8">
                    <c:v>3차년도</c:v>
                  </c:pt>
                  <c:pt idx="12">
                    <c:v>4차년도</c:v>
                  </c:pt>
                  <c:pt idx="16">
                    <c:v>5차년도</c:v>
                  </c:pt>
                </c:lvl>
              </c:multiLvlStrCache>
            </c:multiLvlStrRef>
          </c:cat>
          <c:val>
            <c:numRef>
              <c:f>'3. 기초 분석 자료'!$C$112:$V$112</c:f>
              <c:numCache>
                <c:formatCode>_(* #,##0_);_(* \(#,##0\);_(* "-"_);_(@_)</c:formatCode>
                <c:ptCount val="20"/>
                <c:pt idx="0">
                  <c:v>5497</c:v>
                </c:pt>
                <c:pt idx="1">
                  <c:v>13894</c:v>
                </c:pt>
                <c:pt idx="2">
                  <c:v>10568</c:v>
                </c:pt>
                <c:pt idx="3">
                  <c:v>13227</c:v>
                </c:pt>
                <c:pt idx="4">
                  <c:v>4700</c:v>
                </c:pt>
                <c:pt idx="5">
                  <c:v>15478</c:v>
                </c:pt>
                <c:pt idx="6">
                  <c:v>15275</c:v>
                </c:pt>
                <c:pt idx="7">
                  <c:v>21414</c:v>
                </c:pt>
                <c:pt idx="8">
                  <c:v>17504</c:v>
                </c:pt>
                <c:pt idx="9">
                  <c:v>28354</c:v>
                </c:pt>
                <c:pt idx="10">
                  <c:v>28320</c:v>
                </c:pt>
                <c:pt idx="11">
                  <c:v>30500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DBB8-4C9B-B08A-DB96BD30C6AB}"/>
            </c:ext>
          </c:extLst>
        </c:ser>
        <c:dLbls>
          <c:showLegendKey val="0"/>
          <c:showVal val="0"/>
          <c:showCatName val="0"/>
          <c:showSerName val="0"/>
          <c:showPercent val="0"/>
          <c:showBubbleSize val="0"/>
        </c:dLbls>
        <c:gapWidth val="150"/>
        <c:overlap val="-26"/>
        <c:axId val="2143089632"/>
        <c:axId val="1"/>
      </c:barChart>
      <c:lineChart>
        <c:grouping val="standard"/>
        <c:varyColors val="0"/>
        <c:ser>
          <c:idx val="3"/>
          <c:order val="3"/>
          <c:tx>
            <c:strRef>
              <c:f>'3. 기초 분석 자료'!$B$284</c:f>
              <c:strCache>
                <c:ptCount val="1"/>
                <c:pt idx="0">
                  <c:v>브랜드 등급</c:v>
                </c:pt>
              </c:strCache>
            </c:strRef>
          </c:tx>
          <c:spPr>
            <a:ln>
              <a:solidFill>
                <a:srgbClr val="FF0000"/>
              </a:solidFill>
            </a:ln>
          </c:spPr>
          <c:marker>
            <c:symbol val="diamond"/>
            <c:size val="8"/>
            <c:spPr>
              <a:solidFill>
                <a:srgbClr val="FF0000"/>
              </a:solidFill>
            </c:spPr>
          </c:marker>
          <c:dLbls>
            <c:spPr>
              <a:solidFill>
                <a:sysClr val="window" lastClr="FFFFFF"/>
              </a:solidFill>
            </c:sp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'3. 기초 분석 자료'!$C$284:$V$284</c:f>
              <c:numCache>
                <c:formatCode>_(* #,##0_);_(* \(#,##0\);_(* "-"_);_(@_)</c:formatCode>
                <c:ptCount val="20"/>
                <c:pt idx="0">
                  <c:v>7</c:v>
                </c:pt>
                <c:pt idx="1">
                  <c:v>7</c:v>
                </c:pt>
                <c:pt idx="2">
                  <c:v>6</c:v>
                </c:pt>
                <c:pt idx="3">
                  <c:v>6</c:v>
                </c:pt>
                <c:pt idx="4">
                  <c:v>6</c:v>
                </c:pt>
                <c:pt idx="5">
                  <c:v>5</c:v>
                </c:pt>
                <c:pt idx="6">
                  <c:v>5</c:v>
                </c:pt>
                <c:pt idx="7">
                  <c:v>5</c:v>
                </c:pt>
                <c:pt idx="8">
                  <c:v>4</c:v>
                </c:pt>
                <c:pt idx="9">
                  <c:v>4</c:v>
                </c:pt>
                <c:pt idx="10">
                  <c:v>4</c:v>
                </c:pt>
                <c:pt idx="11">
                  <c:v>4</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3-DBB8-4C9B-B08A-DB96BD30C6AB}"/>
            </c:ext>
          </c:extLst>
        </c:ser>
        <c:dLbls>
          <c:showLegendKey val="0"/>
          <c:showVal val="0"/>
          <c:showCatName val="0"/>
          <c:showSerName val="0"/>
          <c:showPercent val="0"/>
          <c:showBubbleSize val="0"/>
        </c:dLbls>
        <c:marker val="1"/>
        <c:smooth val="0"/>
        <c:axId val="3"/>
        <c:axId val="4"/>
      </c:lineChart>
      <c:catAx>
        <c:axId val="2143089632"/>
        <c:scaling>
          <c:orientation val="minMax"/>
        </c:scaling>
        <c:delete val="0"/>
        <c:axPos val="b"/>
        <c:numFmt formatCode="General" sourceLinked="1"/>
        <c:majorTickMark val="out"/>
        <c:minorTickMark val="none"/>
        <c:tickLblPos val="nextTo"/>
        <c:crossAx val="1"/>
        <c:crosses val="autoZero"/>
        <c:auto val="1"/>
        <c:lblAlgn val="ctr"/>
        <c:lblOffset val="100"/>
        <c:noMultiLvlLbl val="0"/>
      </c:catAx>
      <c:valAx>
        <c:axId val="1"/>
        <c:scaling>
          <c:orientation val="minMax"/>
        </c:scaling>
        <c:delete val="0"/>
        <c:axPos val="l"/>
        <c:majorGridlines/>
        <c:title>
          <c:tx>
            <c:rich>
              <a:bodyPr rot="0" vert="wordArtVert"/>
              <a:lstStyle/>
              <a:p>
                <a:pPr algn="ctr">
                  <a:defRPr sz="1100" b="0" i="0" u="none" strike="noStrike" baseline="0">
                    <a:solidFill>
                      <a:srgbClr val="000000"/>
                    </a:solidFill>
                    <a:latin typeface="맑은 고딕"/>
                    <a:ea typeface="맑은 고딕"/>
                    <a:cs typeface="맑은 고딕"/>
                  </a:defRPr>
                </a:pPr>
                <a:r>
                  <a:rPr lang="en-US" sz="1000" b="1" i="0" u="none" strike="noStrike" baseline="0">
                    <a:solidFill>
                      <a:srgbClr val="000000"/>
                    </a:solidFill>
                    <a:latin typeface="맑은 고딕"/>
                    <a:ea typeface="맑은 고딕"/>
                  </a:rPr>
                  <a:t>국가별 판매량</a:t>
                </a:r>
              </a:p>
            </c:rich>
          </c:tx>
          <c:overlay val="0"/>
          <c:spPr>
            <a:solidFill>
              <a:schemeClr val="accent5">
                <a:lumMod val="20000"/>
                <a:lumOff val="80000"/>
              </a:schemeClr>
            </a:solidFill>
          </c:spPr>
        </c:title>
        <c:numFmt formatCode="_(* #,##0_);_(* \(#,##0\);_(* &quot;-&quot;_);_(@_)" sourceLinked="1"/>
        <c:majorTickMark val="out"/>
        <c:minorTickMark val="none"/>
        <c:tickLblPos val="nextTo"/>
        <c:crossAx val="2143089632"/>
        <c:crosses val="autoZero"/>
        <c:crossBetween val="between"/>
      </c:valAx>
      <c:catAx>
        <c:axId val="3"/>
        <c:scaling>
          <c:orientation val="minMax"/>
        </c:scaling>
        <c:delete val="1"/>
        <c:axPos val="b"/>
        <c:majorTickMark val="out"/>
        <c:minorTickMark val="none"/>
        <c:tickLblPos val="nextTo"/>
        <c:crossAx val="4"/>
        <c:crosses val="autoZero"/>
        <c:auto val="1"/>
        <c:lblAlgn val="ctr"/>
        <c:lblOffset val="100"/>
        <c:noMultiLvlLbl val="0"/>
      </c:catAx>
      <c:valAx>
        <c:axId val="4"/>
        <c:scaling>
          <c:orientation val="minMax"/>
        </c:scaling>
        <c:delete val="0"/>
        <c:axPos val="r"/>
        <c:title>
          <c:tx>
            <c:rich>
              <a:bodyPr rot="0" vert="wordArtVert"/>
              <a:lstStyle/>
              <a:p>
                <a:pPr algn="ctr">
                  <a:defRPr sz="1000" b="0" i="0" u="none" strike="noStrike" baseline="0">
                    <a:solidFill>
                      <a:srgbClr val="000000"/>
                    </a:solidFill>
                    <a:latin typeface="맑은 고딕"/>
                    <a:ea typeface="맑은 고딕"/>
                    <a:cs typeface="맑은 고딕"/>
                  </a:defRPr>
                </a:pPr>
                <a:r>
                  <a:rPr lang="en-US" sz="1000" b="1" i="0" u="none" strike="noStrike" baseline="0">
                    <a:solidFill>
                      <a:srgbClr val="000000"/>
                    </a:solidFill>
                    <a:latin typeface="맑은 고딕"/>
                    <a:ea typeface="맑은 고딕"/>
                  </a:rPr>
                  <a:t>브랜드 등급</a:t>
                </a:r>
              </a:p>
            </c:rich>
          </c:tx>
          <c:overlay val="0"/>
          <c:spPr>
            <a:solidFill>
              <a:schemeClr val="accent5">
                <a:lumMod val="20000"/>
                <a:lumOff val="80000"/>
              </a:schemeClr>
            </a:solidFill>
          </c:spPr>
        </c:title>
        <c:numFmt formatCode="_(* #,##0_);_(* \(#,##0\);_(* &quot;-&quot;_);_(@_)" sourceLinked="1"/>
        <c:majorTickMark val="out"/>
        <c:minorTickMark val="none"/>
        <c:tickLblPos val="nextTo"/>
        <c:crossAx val="3"/>
        <c:crosses val="max"/>
        <c:crossBetween val="between"/>
        <c:majorUnit val="1"/>
      </c:valAx>
    </c:plotArea>
    <c:legend>
      <c:legendPos val="r"/>
      <c:layout>
        <c:manualLayout>
          <c:xMode val="edge"/>
          <c:yMode val="edge"/>
          <c:x val="0.2942778961486836"/>
          <c:y val="0.91400928728225139"/>
          <c:w val="0.41746399221092328"/>
          <c:h val="6.4518302631688326E-2"/>
        </c:manualLayout>
      </c:layout>
      <c:overlay val="0"/>
    </c:legend>
    <c:plotVisOnly val="1"/>
    <c:dispBlanksAs val="gap"/>
    <c:showDLblsOverMax val="0"/>
  </c:chart>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맑은 고딕"/>
                <a:ea typeface="맑은 고딕"/>
                <a:cs typeface="맑은 고딕"/>
              </a:defRPr>
            </a:pPr>
            <a:r>
              <a:rPr lang="en-US" sz="1600" b="1" i="0" u="none" strike="noStrike" baseline="0">
                <a:solidFill>
                  <a:srgbClr val="000000"/>
                </a:solidFill>
                <a:latin typeface="맑은 고딕"/>
                <a:ea typeface="맑은 고딕"/>
              </a:rPr>
              <a:t>품질개선비와 품질 등급변화</a:t>
            </a:r>
          </a:p>
        </c:rich>
      </c:tx>
      <c:overlay val="0"/>
    </c:title>
    <c:autoTitleDeleted val="0"/>
    <c:plotArea>
      <c:layout/>
      <c:barChart>
        <c:barDir val="col"/>
        <c:grouping val="clustered"/>
        <c:varyColors val="0"/>
        <c:ser>
          <c:idx val="1"/>
          <c:order val="1"/>
          <c:tx>
            <c:strRef>
              <c:f>'3. 기초 분석 자료'!$B$308</c:f>
              <c:strCache>
                <c:ptCount val="1"/>
                <c:pt idx="0">
                  <c:v>양산R&amp;D투자비</c:v>
                </c:pt>
              </c:strCache>
            </c:strRef>
          </c:tx>
          <c:spPr>
            <a:solidFill>
              <a:schemeClr val="accent5">
                <a:lumMod val="75000"/>
              </a:schemeClr>
            </a:solidFill>
          </c:spPr>
          <c:invertIfNegative val="0"/>
          <c:cat>
            <c:multiLvlStrRef>
              <c:f>'3. 기초 분석 자료'!$C$106:$V$107</c:f>
              <c:multiLvlStrCache>
                <c:ptCount val="20"/>
                <c:lvl>
                  <c:pt idx="0">
                    <c:v>1Q</c:v>
                  </c:pt>
                  <c:pt idx="1">
                    <c:v>2Q</c:v>
                  </c:pt>
                  <c:pt idx="2">
                    <c:v>3Q</c:v>
                  </c:pt>
                  <c:pt idx="3">
                    <c:v>4Q</c:v>
                  </c:pt>
                  <c:pt idx="4">
                    <c:v>1Q</c:v>
                  </c:pt>
                  <c:pt idx="5">
                    <c:v>2Q</c:v>
                  </c:pt>
                  <c:pt idx="6">
                    <c:v>3Q</c:v>
                  </c:pt>
                  <c:pt idx="7">
                    <c:v>4Q</c:v>
                  </c:pt>
                  <c:pt idx="8">
                    <c:v>1Q</c:v>
                  </c:pt>
                  <c:pt idx="9">
                    <c:v>2Q</c:v>
                  </c:pt>
                  <c:pt idx="10">
                    <c:v>3Q</c:v>
                  </c:pt>
                  <c:pt idx="11">
                    <c:v>4Q</c:v>
                  </c:pt>
                  <c:pt idx="12">
                    <c:v>1Q</c:v>
                  </c:pt>
                  <c:pt idx="13">
                    <c:v>2Q</c:v>
                  </c:pt>
                  <c:pt idx="14">
                    <c:v>3Q</c:v>
                  </c:pt>
                  <c:pt idx="15">
                    <c:v>4Q</c:v>
                  </c:pt>
                  <c:pt idx="16">
                    <c:v>1Q</c:v>
                  </c:pt>
                  <c:pt idx="17">
                    <c:v>2Q</c:v>
                  </c:pt>
                  <c:pt idx="18">
                    <c:v>3Q</c:v>
                  </c:pt>
                  <c:pt idx="19">
                    <c:v>4Q</c:v>
                  </c:pt>
                </c:lvl>
                <c:lvl>
                  <c:pt idx="0">
                    <c:v>1차년도</c:v>
                  </c:pt>
                  <c:pt idx="4">
                    <c:v>2차년도</c:v>
                  </c:pt>
                  <c:pt idx="8">
                    <c:v>3차년도</c:v>
                  </c:pt>
                  <c:pt idx="12">
                    <c:v>4차년도</c:v>
                  </c:pt>
                  <c:pt idx="16">
                    <c:v>5차년도</c:v>
                  </c:pt>
                </c:lvl>
              </c:multiLvlStrCache>
            </c:multiLvlStrRef>
          </c:cat>
          <c:val>
            <c:numRef>
              <c:f>'3. 기초 분석 자료'!$C$308:$V$308</c:f>
              <c:numCache>
                <c:formatCode>_(* #,##0_);_(* \(#,##0\);_(* "-"_);_(@_)</c:formatCode>
                <c:ptCount val="20"/>
                <c:pt idx="0">
                  <c:v>640000000</c:v>
                </c:pt>
                <c:pt idx="1">
                  <c:v>650000000</c:v>
                </c:pt>
                <c:pt idx="2">
                  <c:v>750000000</c:v>
                </c:pt>
                <c:pt idx="3">
                  <c:v>810000000</c:v>
                </c:pt>
                <c:pt idx="4">
                  <c:v>920000000</c:v>
                </c:pt>
                <c:pt idx="5">
                  <c:v>980000000</c:v>
                </c:pt>
                <c:pt idx="6">
                  <c:v>1000000000</c:v>
                </c:pt>
                <c:pt idx="7">
                  <c:v>1100000000</c:v>
                </c:pt>
                <c:pt idx="8">
                  <c:v>1080000000</c:v>
                </c:pt>
                <c:pt idx="9">
                  <c:v>1100000000</c:v>
                </c:pt>
                <c:pt idx="10">
                  <c:v>1160000000</c:v>
                </c:pt>
                <c:pt idx="11">
                  <c:v>1200000000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31B8-4391-AEEA-BD34860326BB}"/>
            </c:ext>
          </c:extLst>
        </c:ser>
        <c:dLbls>
          <c:showLegendKey val="0"/>
          <c:showVal val="0"/>
          <c:showCatName val="0"/>
          <c:showSerName val="0"/>
          <c:showPercent val="0"/>
          <c:showBubbleSize val="0"/>
        </c:dLbls>
        <c:gapWidth val="150"/>
        <c:axId val="2143096832"/>
        <c:axId val="1"/>
      </c:barChart>
      <c:lineChart>
        <c:grouping val="standard"/>
        <c:varyColors val="0"/>
        <c:ser>
          <c:idx val="0"/>
          <c:order val="0"/>
          <c:tx>
            <c:strRef>
              <c:f>'3. 기초 분석 자료'!$B$309</c:f>
              <c:strCache>
                <c:ptCount val="1"/>
                <c:pt idx="0">
                  <c:v>품질등급</c:v>
                </c:pt>
              </c:strCache>
            </c:strRef>
          </c:tx>
          <c:spPr>
            <a:ln>
              <a:solidFill>
                <a:srgbClr val="FF0000"/>
              </a:solidFill>
            </a:ln>
          </c:spPr>
          <c:marker>
            <c:symbol val="diamond"/>
            <c:size val="7"/>
            <c:spPr>
              <a:solidFill>
                <a:srgbClr val="FF0000"/>
              </a:solidFill>
            </c:spPr>
          </c:marker>
          <c:dLbls>
            <c:spPr>
              <a:solidFill>
                <a:sysClr val="window" lastClr="FFFFFF"/>
              </a:solidFill>
            </c:spPr>
            <c:txPr>
              <a:bodyPr/>
              <a:lstStyle/>
              <a:p>
                <a:pPr>
                  <a:defRPr sz="1000" b="1"/>
                </a:pPr>
                <a:endParaRPr lang="ko-K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'3. 기초 분석 자료'!$C$106:$V$107</c:f>
              <c:multiLvlStrCache>
                <c:ptCount val="20"/>
                <c:lvl>
                  <c:pt idx="0">
                    <c:v>1Q</c:v>
                  </c:pt>
                  <c:pt idx="1">
                    <c:v>2Q</c:v>
                  </c:pt>
                  <c:pt idx="2">
                    <c:v>3Q</c:v>
                  </c:pt>
                  <c:pt idx="3">
                    <c:v>4Q</c:v>
                  </c:pt>
                  <c:pt idx="4">
                    <c:v>1Q</c:v>
                  </c:pt>
                  <c:pt idx="5">
                    <c:v>2Q</c:v>
                  </c:pt>
                  <c:pt idx="6">
                    <c:v>3Q</c:v>
                  </c:pt>
                  <c:pt idx="7">
                    <c:v>4Q</c:v>
                  </c:pt>
                  <c:pt idx="8">
                    <c:v>1Q</c:v>
                  </c:pt>
                  <c:pt idx="9">
                    <c:v>2Q</c:v>
                  </c:pt>
                  <c:pt idx="10">
                    <c:v>3Q</c:v>
                  </c:pt>
                  <c:pt idx="11">
                    <c:v>4Q</c:v>
                  </c:pt>
                  <c:pt idx="12">
                    <c:v>1Q</c:v>
                  </c:pt>
                  <c:pt idx="13">
                    <c:v>2Q</c:v>
                  </c:pt>
                  <c:pt idx="14">
                    <c:v>3Q</c:v>
                  </c:pt>
                  <c:pt idx="15">
                    <c:v>4Q</c:v>
                  </c:pt>
                  <c:pt idx="16">
                    <c:v>1Q</c:v>
                  </c:pt>
                  <c:pt idx="17">
                    <c:v>2Q</c:v>
                  </c:pt>
                  <c:pt idx="18">
                    <c:v>3Q</c:v>
                  </c:pt>
                  <c:pt idx="19">
                    <c:v>4Q</c:v>
                  </c:pt>
                </c:lvl>
                <c:lvl>
                  <c:pt idx="0">
                    <c:v>1차년도</c:v>
                  </c:pt>
                  <c:pt idx="4">
                    <c:v>2차년도</c:v>
                  </c:pt>
                  <c:pt idx="8">
                    <c:v>3차년도</c:v>
                  </c:pt>
                  <c:pt idx="12">
                    <c:v>4차년도</c:v>
                  </c:pt>
                  <c:pt idx="16">
                    <c:v>5차년도</c:v>
                  </c:pt>
                </c:lvl>
              </c:multiLvlStrCache>
            </c:multiLvlStrRef>
          </c:cat>
          <c:val>
            <c:numRef>
              <c:f>'3. 기초 분석 자료'!$C$309:$V$309</c:f>
              <c:numCache>
                <c:formatCode>_(* #,##0_);_(* \(#,##0\);_(* "-"_);_(@_)</c:formatCode>
                <c:ptCount val="20"/>
                <c:pt idx="0">
                  <c:v>7</c:v>
                </c:pt>
                <c:pt idx="1">
                  <c:v>7</c:v>
                </c:pt>
                <c:pt idx="2">
                  <c:v>7</c:v>
                </c:pt>
                <c:pt idx="3">
                  <c:v>6</c:v>
                </c:pt>
                <c:pt idx="4">
                  <c:v>6</c:v>
                </c:pt>
                <c:pt idx="5">
                  <c:v>5</c:v>
                </c:pt>
                <c:pt idx="6">
                  <c:v>5</c:v>
                </c:pt>
                <c:pt idx="7">
                  <c:v>5</c:v>
                </c:pt>
                <c:pt idx="8">
                  <c:v>5</c:v>
                </c:pt>
                <c:pt idx="9">
                  <c:v>4</c:v>
                </c:pt>
                <c:pt idx="10">
                  <c:v>4</c:v>
                </c:pt>
                <c:pt idx="11">
                  <c:v>4</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1-31B8-4391-AEEA-BD34860326BB}"/>
            </c:ext>
          </c:extLst>
        </c:ser>
        <c:dLbls>
          <c:showLegendKey val="0"/>
          <c:showVal val="0"/>
          <c:showCatName val="0"/>
          <c:showSerName val="0"/>
          <c:showPercent val="0"/>
          <c:showBubbleSize val="0"/>
        </c:dLbls>
        <c:marker val="1"/>
        <c:smooth val="0"/>
        <c:axId val="3"/>
        <c:axId val="4"/>
      </c:lineChart>
      <c:catAx>
        <c:axId val="2143096832"/>
        <c:scaling>
          <c:orientation val="minMax"/>
        </c:scaling>
        <c:delete val="0"/>
        <c:axPos val="b"/>
        <c:numFmt formatCode="General" sourceLinked="1"/>
        <c:majorTickMark val="out"/>
        <c:minorTickMark val="none"/>
        <c:tickLblPos val="nextTo"/>
        <c:crossAx val="1"/>
        <c:crosses val="autoZero"/>
        <c:auto val="1"/>
        <c:lblAlgn val="ctr"/>
        <c:lblOffset val="100"/>
        <c:noMultiLvlLbl val="0"/>
      </c:catAx>
      <c:valAx>
        <c:axId val="1"/>
        <c:scaling>
          <c:orientation val="minMax"/>
        </c:scaling>
        <c:delete val="0"/>
        <c:axPos val="l"/>
        <c:majorGridlines/>
        <c:title>
          <c:tx>
            <c:rich>
              <a:bodyPr rot="0" vert="wordArtVertRtl"/>
              <a:lstStyle/>
              <a:p>
                <a:pPr>
                  <a:defRPr/>
                </a:pPr>
                <a:r>
                  <a:rPr lang="ko-KR" altLang="en-US"/>
                  <a:t>품질개선비</a:t>
                </a:r>
              </a:p>
            </c:rich>
          </c:tx>
          <c:overlay val="0"/>
          <c:spPr>
            <a:solidFill>
              <a:schemeClr val="accent5">
                <a:lumMod val="20000"/>
                <a:lumOff val="80000"/>
              </a:schemeClr>
            </a:solidFill>
          </c:spPr>
        </c:title>
        <c:numFmt formatCode="_(* #,##0_);_(* \(#,##0\);_(* &quot;-&quot;_);_(@_)" sourceLinked="1"/>
        <c:majorTickMark val="out"/>
        <c:minorTickMark val="none"/>
        <c:tickLblPos val="nextTo"/>
        <c:crossAx val="2143096832"/>
        <c:crosses val="autoZero"/>
        <c:crossBetween val="between"/>
      </c:valAx>
      <c:catAx>
        <c:axId val="3"/>
        <c:scaling>
          <c:orientation val="minMax"/>
        </c:scaling>
        <c:delete val="1"/>
        <c:axPos val="b"/>
        <c:numFmt formatCode="General" sourceLinked="1"/>
        <c:majorTickMark val="out"/>
        <c:minorTickMark val="none"/>
        <c:tickLblPos val="nextTo"/>
        <c:crossAx val="4"/>
        <c:crosses val="autoZero"/>
        <c:auto val="1"/>
        <c:lblAlgn val="ctr"/>
        <c:lblOffset val="100"/>
        <c:noMultiLvlLbl val="0"/>
      </c:catAx>
      <c:valAx>
        <c:axId val="4"/>
        <c:scaling>
          <c:orientation val="minMax"/>
        </c:scaling>
        <c:delete val="0"/>
        <c:axPos val="r"/>
        <c:title>
          <c:tx>
            <c:rich>
              <a:bodyPr rot="0" vert="wordArtVertRtl"/>
              <a:lstStyle/>
              <a:p>
                <a:pPr>
                  <a:defRPr/>
                </a:pPr>
                <a:r>
                  <a:rPr lang="ko-KR" altLang="en-US"/>
                  <a:t>품질등급</a:t>
                </a:r>
              </a:p>
            </c:rich>
          </c:tx>
          <c:overlay val="0"/>
          <c:spPr>
            <a:solidFill>
              <a:schemeClr val="accent5">
                <a:lumMod val="20000"/>
                <a:lumOff val="80000"/>
              </a:schemeClr>
            </a:solidFill>
          </c:spPr>
        </c:title>
        <c:numFmt formatCode="_(* #,##0_);_(* \(#,##0\);_(* &quot;-&quot;_);_(@_)" sourceLinked="1"/>
        <c:majorTickMark val="out"/>
        <c:minorTickMark val="none"/>
        <c:tickLblPos val="nextTo"/>
        <c:crossAx val="3"/>
        <c:crosses val="max"/>
        <c:crossBetween val="between"/>
        <c:majorUnit val="1"/>
      </c:valAx>
    </c:plotArea>
    <c:legend>
      <c:legendPos val="r"/>
      <c:layout>
        <c:manualLayout>
          <c:xMode val="edge"/>
          <c:yMode val="edge"/>
          <c:x val="0.41093722671166655"/>
          <c:y val="0.91446685769848546"/>
          <c:w val="0.18487973389890927"/>
          <c:h val="6.4173112820946343E-2"/>
        </c:manualLayout>
      </c:layout>
      <c:overlay val="0"/>
    </c:legend>
    <c:plotVisOnly val="1"/>
    <c:dispBlanksAs val="gap"/>
    <c:showDLblsOverMax val="0"/>
  </c:chart>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맑은 고딕"/>
                <a:ea typeface="맑은 고딕"/>
                <a:cs typeface="맑은 고딕"/>
              </a:defRPr>
            </a:pPr>
            <a:r>
              <a:rPr lang="en-US" sz="1600" b="1" i="0" u="none" strike="noStrike" baseline="0">
                <a:solidFill>
                  <a:srgbClr val="000000"/>
                </a:solidFill>
                <a:latin typeface="맑은 고딕"/>
                <a:ea typeface="맑은 고딕"/>
              </a:rPr>
              <a:t>품질 등급 변화와 영업본부별 판매량</a:t>
            </a:r>
          </a:p>
        </c:rich>
      </c:tx>
      <c:overlay val="0"/>
    </c:title>
    <c:autoTitleDeleted val="0"/>
    <c:plotArea>
      <c:layout/>
      <c:barChart>
        <c:barDir val="col"/>
        <c:grouping val="clustered"/>
        <c:varyColors val="0"/>
        <c:ser>
          <c:idx val="0"/>
          <c:order val="0"/>
          <c:tx>
            <c:strRef>
              <c:f>'3. 기초 분석 자료'!$B$110</c:f>
              <c:strCache>
                <c:ptCount val="1"/>
                <c:pt idx="0">
                  <c:v> 한국 판매량 </c:v>
                </c:pt>
              </c:strCache>
            </c:strRef>
          </c:tx>
          <c:invertIfNegative val="0"/>
          <c:cat>
            <c:multiLvlStrRef>
              <c:f>'3. 기초 분석 자료'!$C$106:$V$107</c:f>
              <c:multiLvlStrCache>
                <c:ptCount val="20"/>
                <c:lvl>
                  <c:pt idx="0">
                    <c:v>1Q</c:v>
                  </c:pt>
                  <c:pt idx="1">
                    <c:v>2Q</c:v>
                  </c:pt>
                  <c:pt idx="2">
                    <c:v>3Q</c:v>
                  </c:pt>
                  <c:pt idx="3">
                    <c:v>4Q</c:v>
                  </c:pt>
                  <c:pt idx="4">
                    <c:v>1Q</c:v>
                  </c:pt>
                  <c:pt idx="5">
                    <c:v>2Q</c:v>
                  </c:pt>
                  <c:pt idx="6">
                    <c:v>3Q</c:v>
                  </c:pt>
                  <c:pt idx="7">
                    <c:v>4Q</c:v>
                  </c:pt>
                  <c:pt idx="8">
                    <c:v>1Q</c:v>
                  </c:pt>
                  <c:pt idx="9">
                    <c:v>2Q</c:v>
                  </c:pt>
                  <c:pt idx="10">
                    <c:v>3Q</c:v>
                  </c:pt>
                  <c:pt idx="11">
                    <c:v>4Q</c:v>
                  </c:pt>
                  <c:pt idx="12">
                    <c:v>1Q</c:v>
                  </c:pt>
                  <c:pt idx="13">
                    <c:v>2Q</c:v>
                  </c:pt>
                  <c:pt idx="14">
                    <c:v>3Q</c:v>
                  </c:pt>
                  <c:pt idx="15">
                    <c:v>4Q</c:v>
                  </c:pt>
                  <c:pt idx="16">
                    <c:v>1Q</c:v>
                  </c:pt>
                  <c:pt idx="17">
                    <c:v>2Q</c:v>
                  </c:pt>
                  <c:pt idx="18">
                    <c:v>3Q</c:v>
                  </c:pt>
                  <c:pt idx="19">
                    <c:v>4Q</c:v>
                  </c:pt>
                </c:lvl>
                <c:lvl>
                  <c:pt idx="0">
                    <c:v>1차년도</c:v>
                  </c:pt>
                  <c:pt idx="4">
                    <c:v>2차년도</c:v>
                  </c:pt>
                  <c:pt idx="8">
                    <c:v>3차년도</c:v>
                  </c:pt>
                  <c:pt idx="12">
                    <c:v>4차년도</c:v>
                  </c:pt>
                  <c:pt idx="16">
                    <c:v>5차년도</c:v>
                  </c:pt>
                </c:lvl>
              </c:multiLvlStrCache>
            </c:multiLvlStrRef>
          </c:cat>
          <c:val>
            <c:numRef>
              <c:f>'3. 기초 분석 자료'!$C$110:$V$110</c:f>
              <c:numCache>
                <c:formatCode>_(* #,##0_);_(* \(#,##0\);_(* "-"_);_(@_)</c:formatCode>
                <c:ptCount val="20"/>
                <c:pt idx="0">
                  <c:v>38739</c:v>
                </c:pt>
                <c:pt idx="1">
                  <c:v>49455</c:v>
                </c:pt>
                <c:pt idx="2">
                  <c:v>46095</c:v>
                </c:pt>
                <c:pt idx="3">
                  <c:v>53923</c:v>
                </c:pt>
                <c:pt idx="4">
                  <c:v>38959</c:v>
                </c:pt>
                <c:pt idx="5">
                  <c:v>59451</c:v>
                </c:pt>
                <c:pt idx="6">
                  <c:v>53746</c:v>
                </c:pt>
                <c:pt idx="7">
                  <c:v>73267</c:v>
                </c:pt>
                <c:pt idx="8">
                  <c:v>65552</c:v>
                </c:pt>
                <c:pt idx="9">
                  <c:v>80232</c:v>
                </c:pt>
                <c:pt idx="10">
                  <c:v>69981</c:v>
                </c:pt>
                <c:pt idx="11">
                  <c:v>66680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B8B4-445F-870D-F7E0BE803263}"/>
            </c:ext>
          </c:extLst>
        </c:ser>
        <c:ser>
          <c:idx val="1"/>
          <c:order val="1"/>
          <c:tx>
            <c:strRef>
              <c:f>'3. 기초 분석 자료'!$B$111</c:f>
              <c:strCache>
                <c:ptCount val="1"/>
                <c:pt idx="0">
                  <c:v> U국가 판매량 </c:v>
                </c:pt>
              </c:strCache>
            </c:strRef>
          </c:tx>
          <c:spPr>
            <a:solidFill>
              <a:srgbClr val="FFC000"/>
            </a:solidFill>
          </c:spPr>
          <c:invertIfNegative val="0"/>
          <c:cat>
            <c:multiLvlStrRef>
              <c:f>'3. 기초 분석 자료'!$C$106:$V$107</c:f>
              <c:multiLvlStrCache>
                <c:ptCount val="20"/>
                <c:lvl>
                  <c:pt idx="0">
                    <c:v>1Q</c:v>
                  </c:pt>
                  <c:pt idx="1">
                    <c:v>2Q</c:v>
                  </c:pt>
                  <c:pt idx="2">
                    <c:v>3Q</c:v>
                  </c:pt>
                  <c:pt idx="3">
                    <c:v>4Q</c:v>
                  </c:pt>
                  <c:pt idx="4">
                    <c:v>1Q</c:v>
                  </c:pt>
                  <c:pt idx="5">
                    <c:v>2Q</c:v>
                  </c:pt>
                  <c:pt idx="6">
                    <c:v>3Q</c:v>
                  </c:pt>
                  <c:pt idx="7">
                    <c:v>4Q</c:v>
                  </c:pt>
                  <c:pt idx="8">
                    <c:v>1Q</c:v>
                  </c:pt>
                  <c:pt idx="9">
                    <c:v>2Q</c:v>
                  </c:pt>
                  <c:pt idx="10">
                    <c:v>3Q</c:v>
                  </c:pt>
                  <c:pt idx="11">
                    <c:v>4Q</c:v>
                  </c:pt>
                  <c:pt idx="12">
                    <c:v>1Q</c:v>
                  </c:pt>
                  <c:pt idx="13">
                    <c:v>2Q</c:v>
                  </c:pt>
                  <c:pt idx="14">
                    <c:v>3Q</c:v>
                  </c:pt>
                  <c:pt idx="15">
                    <c:v>4Q</c:v>
                  </c:pt>
                  <c:pt idx="16">
                    <c:v>1Q</c:v>
                  </c:pt>
                  <c:pt idx="17">
                    <c:v>2Q</c:v>
                  </c:pt>
                  <c:pt idx="18">
                    <c:v>3Q</c:v>
                  </c:pt>
                  <c:pt idx="19">
                    <c:v>4Q</c:v>
                  </c:pt>
                </c:lvl>
                <c:lvl>
                  <c:pt idx="0">
                    <c:v>1차년도</c:v>
                  </c:pt>
                  <c:pt idx="4">
                    <c:v>2차년도</c:v>
                  </c:pt>
                  <c:pt idx="8">
                    <c:v>3차년도</c:v>
                  </c:pt>
                  <c:pt idx="12">
                    <c:v>4차년도</c:v>
                  </c:pt>
                  <c:pt idx="16">
                    <c:v>5차년도</c:v>
                  </c:pt>
                </c:lvl>
              </c:multiLvlStrCache>
            </c:multiLvlStrRef>
          </c:cat>
          <c:val>
            <c:numRef>
              <c:f>'3. 기초 분석 자료'!$C$111:$V$111</c:f>
              <c:numCache>
                <c:formatCode>_(* #,##0_);_(* \(#,##0\);_(* "-"_);_(@_)</c:formatCode>
                <c:ptCount val="20"/>
                <c:pt idx="0">
                  <c:v>23963</c:v>
                </c:pt>
                <c:pt idx="1">
                  <c:v>32381</c:v>
                </c:pt>
                <c:pt idx="2">
                  <c:v>34739</c:v>
                </c:pt>
                <c:pt idx="3">
                  <c:v>39025</c:v>
                </c:pt>
                <c:pt idx="4">
                  <c:v>34074</c:v>
                </c:pt>
                <c:pt idx="5">
                  <c:v>39074</c:v>
                </c:pt>
                <c:pt idx="6">
                  <c:v>39354</c:v>
                </c:pt>
                <c:pt idx="7">
                  <c:v>40033</c:v>
                </c:pt>
                <c:pt idx="8">
                  <c:v>33564</c:v>
                </c:pt>
                <c:pt idx="9">
                  <c:v>36277</c:v>
                </c:pt>
                <c:pt idx="10">
                  <c:v>33702</c:v>
                </c:pt>
                <c:pt idx="11">
                  <c:v>32680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B8B4-445F-870D-F7E0BE803263}"/>
            </c:ext>
          </c:extLst>
        </c:ser>
        <c:ser>
          <c:idx val="2"/>
          <c:order val="2"/>
          <c:tx>
            <c:strRef>
              <c:f>'3. 기초 분석 자료'!$B$112</c:f>
              <c:strCache>
                <c:ptCount val="1"/>
                <c:pt idx="0">
                  <c:v> C국가 판매량 </c:v>
                </c:pt>
              </c:strCache>
            </c:strRef>
          </c:tx>
          <c:spPr>
            <a:solidFill>
              <a:schemeClr val="accent6">
                <a:lumMod val="50000"/>
              </a:schemeClr>
            </a:solidFill>
          </c:spPr>
          <c:invertIfNegative val="0"/>
          <c:cat>
            <c:multiLvlStrRef>
              <c:f>'3. 기초 분석 자료'!$C$106:$V$107</c:f>
              <c:multiLvlStrCache>
                <c:ptCount val="20"/>
                <c:lvl>
                  <c:pt idx="0">
                    <c:v>1Q</c:v>
                  </c:pt>
                  <c:pt idx="1">
                    <c:v>2Q</c:v>
                  </c:pt>
                  <c:pt idx="2">
                    <c:v>3Q</c:v>
                  </c:pt>
                  <c:pt idx="3">
                    <c:v>4Q</c:v>
                  </c:pt>
                  <c:pt idx="4">
                    <c:v>1Q</c:v>
                  </c:pt>
                  <c:pt idx="5">
                    <c:v>2Q</c:v>
                  </c:pt>
                  <c:pt idx="6">
                    <c:v>3Q</c:v>
                  </c:pt>
                  <c:pt idx="7">
                    <c:v>4Q</c:v>
                  </c:pt>
                  <c:pt idx="8">
                    <c:v>1Q</c:v>
                  </c:pt>
                  <c:pt idx="9">
                    <c:v>2Q</c:v>
                  </c:pt>
                  <c:pt idx="10">
                    <c:v>3Q</c:v>
                  </c:pt>
                  <c:pt idx="11">
                    <c:v>4Q</c:v>
                  </c:pt>
                  <c:pt idx="12">
                    <c:v>1Q</c:v>
                  </c:pt>
                  <c:pt idx="13">
                    <c:v>2Q</c:v>
                  </c:pt>
                  <c:pt idx="14">
                    <c:v>3Q</c:v>
                  </c:pt>
                  <c:pt idx="15">
                    <c:v>4Q</c:v>
                  </c:pt>
                  <c:pt idx="16">
                    <c:v>1Q</c:v>
                  </c:pt>
                  <c:pt idx="17">
                    <c:v>2Q</c:v>
                  </c:pt>
                  <c:pt idx="18">
                    <c:v>3Q</c:v>
                  </c:pt>
                  <c:pt idx="19">
                    <c:v>4Q</c:v>
                  </c:pt>
                </c:lvl>
                <c:lvl>
                  <c:pt idx="0">
                    <c:v>1차년도</c:v>
                  </c:pt>
                  <c:pt idx="4">
                    <c:v>2차년도</c:v>
                  </c:pt>
                  <c:pt idx="8">
                    <c:v>3차년도</c:v>
                  </c:pt>
                  <c:pt idx="12">
                    <c:v>4차년도</c:v>
                  </c:pt>
                  <c:pt idx="16">
                    <c:v>5차년도</c:v>
                  </c:pt>
                </c:lvl>
              </c:multiLvlStrCache>
            </c:multiLvlStrRef>
          </c:cat>
          <c:val>
            <c:numRef>
              <c:f>'3. 기초 분석 자료'!$C$112:$V$112</c:f>
              <c:numCache>
                <c:formatCode>_(* #,##0_);_(* \(#,##0\);_(* "-"_);_(@_)</c:formatCode>
                <c:ptCount val="20"/>
                <c:pt idx="0">
                  <c:v>5497</c:v>
                </c:pt>
                <c:pt idx="1">
                  <c:v>13894</c:v>
                </c:pt>
                <c:pt idx="2">
                  <c:v>10568</c:v>
                </c:pt>
                <c:pt idx="3">
                  <c:v>13227</c:v>
                </c:pt>
                <c:pt idx="4">
                  <c:v>4700</c:v>
                </c:pt>
                <c:pt idx="5">
                  <c:v>15478</c:v>
                </c:pt>
                <c:pt idx="6">
                  <c:v>15275</c:v>
                </c:pt>
                <c:pt idx="7">
                  <c:v>21414</c:v>
                </c:pt>
                <c:pt idx="8">
                  <c:v>17504</c:v>
                </c:pt>
                <c:pt idx="9">
                  <c:v>28354</c:v>
                </c:pt>
                <c:pt idx="10">
                  <c:v>28320</c:v>
                </c:pt>
                <c:pt idx="11">
                  <c:v>30500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B8B4-445F-870D-F7E0BE803263}"/>
            </c:ext>
          </c:extLst>
        </c:ser>
        <c:dLbls>
          <c:showLegendKey val="0"/>
          <c:showVal val="0"/>
          <c:showCatName val="0"/>
          <c:showSerName val="0"/>
          <c:showPercent val="0"/>
          <c:showBubbleSize val="0"/>
        </c:dLbls>
        <c:gapWidth val="150"/>
        <c:overlap val="-26"/>
        <c:axId val="2143092032"/>
        <c:axId val="1"/>
      </c:barChart>
      <c:lineChart>
        <c:grouping val="standard"/>
        <c:varyColors val="0"/>
        <c:ser>
          <c:idx val="3"/>
          <c:order val="3"/>
          <c:tx>
            <c:strRef>
              <c:f>'3. 기초 분석 자료'!$B$309</c:f>
              <c:strCache>
                <c:ptCount val="1"/>
                <c:pt idx="0">
                  <c:v>품질등급</c:v>
                </c:pt>
              </c:strCache>
            </c:strRef>
          </c:tx>
          <c:spPr>
            <a:ln>
              <a:solidFill>
                <a:srgbClr val="FF0000"/>
              </a:solidFill>
            </a:ln>
          </c:spPr>
          <c:marker>
            <c:symbol val="diamond"/>
            <c:size val="8"/>
            <c:spPr>
              <a:solidFill>
                <a:srgbClr val="FF0000"/>
              </a:solidFill>
            </c:spPr>
          </c:marker>
          <c:dLbls>
            <c:spPr>
              <a:solidFill>
                <a:schemeClr val="bg1"/>
              </a:solidFill>
            </c:sp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'3. 기초 분석 자료'!$C$309:$V$309</c:f>
              <c:numCache>
                <c:formatCode>_(* #,##0_);_(* \(#,##0\);_(* "-"_);_(@_)</c:formatCode>
                <c:ptCount val="20"/>
                <c:pt idx="0">
                  <c:v>7</c:v>
                </c:pt>
                <c:pt idx="1">
                  <c:v>7</c:v>
                </c:pt>
                <c:pt idx="2">
                  <c:v>7</c:v>
                </c:pt>
                <c:pt idx="3">
                  <c:v>6</c:v>
                </c:pt>
                <c:pt idx="4">
                  <c:v>6</c:v>
                </c:pt>
                <c:pt idx="5">
                  <c:v>5</c:v>
                </c:pt>
                <c:pt idx="6">
                  <c:v>5</c:v>
                </c:pt>
                <c:pt idx="7">
                  <c:v>5</c:v>
                </c:pt>
                <c:pt idx="8">
                  <c:v>5</c:v>
                </c:pt>
                <c:pt idx="9">
                  <c:v>4</c:v>
                </c:pt>
                <c:pt idx="10">
                  <c:v>4</c:v>
                </c:pt>
                <c:pt idx="11">
                  <c:v>4</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3-B8B4-445F-870D-F7E0BE803263}"/>
            </c:ext>
          </c:extLst>
        </c:ser>
        <c:dLbls>
          <c:showLegendKey val="0"/>
          <c:showVal val="0"/>
          <c:showCatName val="0"/>
          <c:showSerName val="0"/>
          <c:showPercent val="0"/>
          <c:showBubbleSize val="0"/>
        </c:dLbls>
        <c:marker val="1"/>
        <c:smooth val="0"/>
        <c:axId val="3"/>
        <c:axId val="4"/>
      </c:lineChart>
      <c:catAx>
        <c:axId val="2143092032"/>
        <c:scaling>
          <c:orientation val="minMax"/>
        </c:scaling>
        <c:delete val="0"/>
        <c:axPos val="b"/>
        <c:numFmt formatCode="General" sourceLinked="1"/>
        <c:majorTickMark val="out"/>
        <c:minorTickMark val="none"/>
        <c:tickLblPos val="nextTo"/>
        <c:crossAx val="1"/>
        <c:crosses val="autoZero"/>
        <c:auto val="1"/>
        <c:lblAlgn val="ctr"/>
        <c:lblOffset val="100"/>
        <c:noMultiLvlLbl val="0"/>
      </c:catAx>
      <c:valAx>
        <c:axId val="1"/>
        <c:scaling>
          <c:orientation val="minMax"/>
        </c:scaling>
        <c:delete val="0"/>
        <c:axPos val="l"/>
        <c:majorGridlines/>
        <c:title>
          <c:tx>
            <c:rich>
              <a:bodyPr rot="0" vert="wordArtVert"/>
              <a:lstStyle/>
              <a:p>
                <a:pPr algn="ctr">
                  <a:defRPr sz="1100" b="0" i="0" u="none" strike="noStrike" baseline="0">
                    <a:solidFill>
                      <a:srgbClr val="000000"/>
                    </a:solidFill>
                    <a:latin typeface="맑은 고딕"/>
                    <a:ea typeface="맑은 고딕"/>
                    <a:cs typeface="맑은 고딕"/>
                  </a:defRPr>
                </a:pPr>
                <a:r>
                  <a:rPr lang="en-US" sz="1000" b="1" i="0" u="none" strike="noStrike" baseline="0">
                    <a:solidFill>
                      <a:srgbClr val="000000"/>
                    </a:solidFill>
                    <a:latin typeface="맑은 고딕"/>
                    <a:ea typeface="맑은 고딕"/>
                  </a:rPr>
                  <a:t>국가별 판매량</a:t>
                </a:r>
              </a:p>
            </c:rich>
          </c:tx>
          <c:overlay val="0"/>
          <c:spPr>
            <a:solidFill>
              <a:schemeClr val="accent5">
                <a:lumMod val="20000"/>
                <a:lumOff val="80000"/>
              </a:schemeClr>
            </a:solidFill>
          </c:spPr>
        </c:title>
        <c:numFmt formatCode="_(* #,##0_);_(* \(#,##0\);_(* &quot;-&quot;_);_(@_)" sourceLinked="1"/>
        <c:majorTickMark val="out"/>
        <c:minorTickMark val="none"/>
        <c:tickLblPos val="nextTo"/>
        <c:crossAx val="2143092032"/>
        <c:crosses val="autoZero"/>
        <c:crossBetween val="between"/>
      </c:valAx>
      <c:catAx>
        <c:axId val="3"/>
        <c:scaling>
          <c:orientation val="minMax"/>
        </c:scaling>
        <c:delete val="1"/>
        <c:axPos val="b"/>
        <c:majorTickMark val="out"/>
        <c:minorTickMark val="none"/>
        <c:tickLblPos val="nextTo"/>
        <c:crossAx val="4"/>
        <c:crosses val="autoZero"/>
        <c:auto val="1"/>
        <c:lblAlgn val="ctr"/>
        <c:lblOffset val="100"/>
        <c:noMultiLvlLbl val="0"/>
      </c:catAx>
      <c:valAx>
        <c:axId val="4"/>
        <c:scaling>
          <c:orientation val="minMax"/>
        </c:scaling>
        <c:delete val="0"/>
        <c:axPos val="r"/>
        <c:title>
          <c:tx>
            <c:rich>
              <a:bodyPr rot="0" vert="wordArtVertRtl"/>
              <a:lstStyle/>
              <a:p>
                <a:pPr>
                  <a:defRPr/>
                </a:pPr>
                <a:r>
                  <a:rPr lang="ko-KR" altLang="en-US"/>
                  <a:t>품질등급</a:t>
                </a:r>
              </a:p>
            </c:rich>
          </c:tx>
          <c:overlay val="0"/>
          <c:spPr>
            <a:solidFill>
              <a:schemeClr val="accent5">
                <a:lumMod val="20000"/>
                <a:lumOff val="80000"/>
              </a:schemeClr>
            </a:solidFill>
          </c:spPr>
        </c:title>
        <c:numFmt formatCode="_(* #,##0_);_(* \(#,##0\);_(* &quot;-&quot;_);_(@_)" sourceLinked="1"/>
        <c:majorTickMark val="out"/>
        <c:minorTickMark val="none"/>
        <c:tickLblPos val="nextTo"/>
        <c:crossAx val="3"/>
        <c:crosses val="max"/>
        <c:crossBetween val="between"/>
        <c:majorUnit val="1"/>
      </c:valAx>
    </c:plotArea>
    <c:legend>
      <c:legendPos val="r"/>
      <c:layout>
        <c:manualLayout>
          <c:xMode val="edge"/>
          <c:yMode val="edge"/>
          <c:x val="0.30283248615300584"/>
          <c:y val="0.91400928728225139"/>
          <c:w val="0.40035481220227886"/>
          <c:h val="6.4518302631688326E-2"/>
        </c:manualLayout>
      </c:layout>
      <c:overlay val="0"/>
    </c:legend>
    <c:plotVisOnly val="1"/>
    <c:dispBlanksAs val="gap"/>
    <c:showDLblsOverMax val="0"/>
  </c:chart>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맑은 고딕"/>
                <a:ea typeface="맑은 고딕"/>
                <a:cs typeface="맑은 고딕"/>
              </a:defRPr>
            </a:pPr>
            <a:r>
              <a:rPr lang="en-US" sz="1600" b="1" i="0" u="none" strike="noStrike" baseline="0">
                <a:solidFill>
                  <a:srgbClr val="000000"/>
                </a:solidFill>
                <a:latin typeface="맑은 고딕"/>
                <a:ea typeface="맑은 고딕"/>
              </a:rPr>
              <a:t>임직원 인센티브/교육훈련비와  영업 직원만족도 등급변화</a:t>
            </a:r>
          </a:p>
        </c:rich>
      </c:tx>
      <c:overlay val="0"/>
    </c:title>
    <c:autoTitleDeleted val="0"/>
    <c:plotArea>
      <c:layout/>
      <c:barChart>
        <c:barDir val="col"/>
        <c:grouping val="clustered"/>
        <c:varyColors val="0"/>
        <c:ser>
          <c:idx val="1"/>
          <c:order val="1"/>
          <c:tx>
            <c:strRef>
              <c:f>'3. 기초 분석 자료'!$B$333</c:f>
              <c:strCache>
                <c:ptCount val="1"/>
                <c:pt idx="0">
                  <c:v>임직원 인센티브</c:v>
                </c:pt>
              </c:strCache>
            </c:strRef>
          </c:tx>
          <c:spPr>
            <a:solidFill>
              <a:schemeClr val="accent5">
                <a:lumMod val="75000"/>
              </a:schemeClr>
            </a:solidFill>
          </c:spPr>
          <c:invertIfNegative val="0"/>
          <c:cat>
            <c:multiLvlStrRef>
              <c:f>'3. 기초 분석 자료'!$C$106:$V$107</c:f>
              <c:multiLvlStrCache>
                <c:ptCount val="20"/>
                <c:lvl>
                  <c:pt idx="0">
                    <c:v>1Q</c:v>
                  </c:pt>
                  <c:pt idx="1">
                    <c:v>2Q</c:v>
                  </c:pt>
                  <c:pt idx="2">
                    <c:v>3Q</c:v>
                  </c:pt>
                  <c:pt idx="3">
                    <c:v>4Q</c:v>
                  </c:pt>
                  <c:pt idx="4">
                    <c:v>1Q</c:v>
                  </c:pt>
                  <c:pt idx="5">
                    <c:v>2Q</c:v>
                  </c:pt>
                  <c:pt idx="6">
                    <c:v>3Q</c:v>
                  </c:pt>
                  <c:pt idx="7">
                    <c:v>4Q</c:v>
                  </c:pt>
                  <c:pt idx="8">
                    <c:v>1Q</c:v>
                  </c:pt>
                  <c:pt idx="9">
                    <c:v>2Q</c:v>
                  </c:pt>
                  <c:pt idx="10">
                    <c:v>3Q</c:v>
                  </c:pt>
                  <c:pt idx="11">
                    <c:v>4Q</c:v>
                  </c:pt>
                  <c:pt idx="12">
                    <c:v>1Q</c:v>
                  </c:pt>
                  <c:pt idx="13">
                    <c:v>2Q</c:v>
                  </c:pt>
                  <c:pt idx="14">
                    <c:v>3Q</c:v>
                  </c:pt>
                  <c:pt idx="15">
                    <c:v>4Q</c:v>
                  </c:pt>
                  <c:pt idx="16">
                    <c:v>1Q</c:v>
                  </c:pt>
                  <c:pt idx="17">
                    <c:v>2Q</c:v>
                  </c:pt>
                  <c:pt idx="18">
                    <c:v>3Q</c:v>
                  </c:pt>
                  <c:pt idx="19">
                    <c:v>4Q</c:v>
                  </c:pt>
                </c:lvl>
                <c:lvl>
                  <c:pt idx="0">
                    <c:v>1차년도</c:v>
                  </c:pt>
                  <c:pt idx="4">
                    <c:v>2차년도</c:v>
                  </c:pt>
                  <c:pt idx="8">
                    <c:v>3차년도</c:v>
                  </c:pt>
                  <c:pt idx="12">
                    <c:v>4차년도</c:v>
                  </c:pt>
                  <c:pt idx="16">
                    <c:v>5차년도</c:v>
                  </c:pt>
                </c:lvl>
              </c:multiLvlStrCache>
            </c:multiLvlStrRef>
          </c:cat>
          <c:val>
            <c:numRef>
              <c:f>'3. 기초 분석 자료'!$C$333:$V$333</c:f>
              <c:numCache>
                <c:formatCode>_(* #,##0_);_(* \(#,##0\);_(* "-"_);_(@_)</c:formatCode>
                <c:ptCount val="20"/>
                <c:pt idx="0">
                  <c:v>0</c:v>
                </c:pt>
                <c:pt idx="1">
                  <c:v>0</c:v>
                </c:pt>
                <c:pt idx="2">
                  <c:v>200000000</c:v>
                </c:pt>
                <c:pt idx="3">
                  <c:v>300000000</c:v>
                </c:pt>
                <c:pt idx="4">
                  <c:v>500000000</c:v>
                </c:pt>
                <c:pt idx="5">
                  <c:v>900000000</c:v>
                </c:pt>
                <c:pt idx="6">
                  <c:v>950000000</c:v>
                </c:pt>
                <c:pt idx="7">
                  <c:v>1000000000</c:v>
                </c:pt>
                <c:pt idx="8">
                  <c:v>1100000000</c:v>
                </c:pt>
                <c:pt idx="9">
                  <c:v>1350000000</c:v>
                </c:pt>
                <c:pt idx="10">
                  <c:v>1400000000</c:v>
                </c:pt>
                <c:pt idx="11">
                  <c:v>1500000000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185E-40F6-A968-0548B477E230}"/>
            </c:ext>
          </c:extLst>
        </c:ser>
        <c:ser>
          <c:idx val="2"/>
          <c:order val="2"/>
          <c:tx>
            <c:strRef>
              <c:f>'3. 기초 분석 자료'!$B$334</c:f>
              <c:strCache>
                <c:ptCount val="1"/>
                <c:pt idx="0">
                  <c:v>영업교육훈련비</c:v>
                </c:pt>
              </c:strCache>
            </c:strRef>
          </c:tx>
          <c:invertIfNegative val="0"/>
          <c:cat>
            <c:multiLvlStrRef>
              <c:f>'3. 기초 분석 자료'!$C$331:$V$332</c:f>
              <c:multiLvlStrCache>
                <c:ptCount val="20"/>
                <c:lvl>
                  <c:pt idx="0">
                    <c:v>1Q</c:v>
                  </c:pt>
                  <c:pt idx="1">
                    <c:v>2Q</c:v>
                  </c:pt>
                  <c:pt idx="2">
                    <c:v>3Q</c:v>
                  </c:pt>
                  <c:pt idx="3">
                    <c:v>4Q</c:v>
                  </c:pt>
                  <c:pt idx="4">
                    <c:v>1Q</c:v>
                  </c:pt>
                  <c:pt idx="5">
                    <c:v>2Q</c:v>
                  </c:pt>
                  <c:pt idx="6">
                    <c:v>3Q</c:v>
                  </c:pt>
                  <c:pt idx="7">
                    <c:v>4Q</c:v>
                  </c:pt>
                  <c:pt idx="8">
                    <c:v>1Q</c:v>
                  </c:pt>
                  <c:pt idx="9">
                    <c:v>2Q</c:v>
                  </c:pt>
                  <c:pt idx="10">
                    <c:v>3Q</c:v>
                  </c:pt>
                  <c:pt idx="11">
                    <c:v>4Q</c:v>
                  </c:pt>
                  <c:pt idx="12">
                    <c:v>1Q</c:v>
                  </c:pt>
                  <c:pt idx="13">
                    <c:v>2Q</c:v>
                  </c:pt>
                  <c:pt idx="14">
                    <c:v>3Q</c:v>
                  </c:pt>
                  <c:pt idx="15">
                    <c:v>4Q</c:v>
                  </c:pt>
                  <c:pt idx="16">
                    <c:v>1Q</c:v>
                  </c:pt>
                  <c:pt idx="17">
                    <c:v>2Q</c:v>
                  </c:pt>
                  <c:pt idx="18">
                    <c:v>3Q</c:v>
                  </c:pt>
                  <c:pt idx="19">
                    <c:v>4Q</c:v>
                  </c:pt>
                </c:lvl>
                <c:lvl>
                  <c:pt idx="0">
                    <c:v>1차년도</c:v>
                  </c:pt>
                  <c:pt idx="4">
                    <c:v>2차년도</c:v>
                  </c:pt>
                  <c:pt idx="8">
                    <c:v>3차년도</c:v>
                  </c:pt>
                  <c:pt idx="12">
                    <c:v>4차년도</c:v>
                  </c:pt>
                  <c:pt idx="16">
                    <c:v>5차년도</c:v>
                  </c:pt>
                </c:lvl>
              </c:multiLvlStrCache>
            </c:multiLvlStrRef>
          </c:cat>
          <c:val>
            <c:numRef>
              <c:f>'3. 기초 분석 자료'!$C$334:$V$334</c:f>
              <c:numCache>
                <c:formatCode>_(* #,##0_);_(* \(#,##0\);_(* "-"_);_(@_)</c:formatCode>
                <c:ptCount val="20"/>
                <c:pt idx="0">
                  <c:v>307420000</c:v>
                </c:pt>
                <c:pt idx="1">
                  <c:v>355960000</c:v>
                </c:pt>
                <c:pt idx="2">
                  <c:v>509922000</c:v>
                </c:pt>
                <c:pt idx="3">
                  <c:v>509670000</c:v>
                </c:pt>
                <c:pt idx="4">
                  <c:v>402700000</c:v>
                </c:pt>
                <c:pt idx="5">
                  <c:v>555174000</c:v>
                </c:pt>
                <c:pt idx="6">
                  <c:v>652050000</c:v>
                </c:pt>
                <c:pt idx="7">
                  <c:v>675864000</c:v>
                </c:pt>
                <c:pt idx="8">
                  <c:v>694826250</c:v>
                </c:pt>
                <c:pt idx="9">
                  <c:v>697550000</c:v>
                </c:pt>
                <c:pt idx="10">
                  <c:v>775807500</c:v>
                </c:pt>
                <c:pt idx="11">
                  <c:v>795000000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185E-40F6-A968-0548B477E230}"/>
            </c:ext>
          </c:extLst>
        </c:ser>
        <c:dLbls>
          <c:showLegendKey val="0"/>
          <c:showVal val="0"/>
          <c:showCatName val="0"/>
          <c:showSerName val="0"/>
          <c:showPercent val="0"/>
          <c:showBubbleSize val="0"/>
        </c:dLbls>
        <c:gapWidth val="66"/>
        <c:axId val="2143088832"/>
        <c:axId val="1"/>
      </c:barChart>
      <c:lineChart>
        <c:grouping val="standard"/>
        <c:varyColors val="0"/>
        <c:ser>
          <c:idx val="0"/>
          <c:order val="0"/>
          <c:tx>
            <c:strRef>
              <c:f>'3. 기초 분석 자료'!$B$338</c:f>
              <c:strCache>
                <c:ptCount val="1"/>
                <c:pt idx="0">
                  <c:v>영업직원만족도등급</c:v>
                </c:pt>
              </c:strCache>
            </c:strRef>
          </c:tx>
          <c:spPr>
            <a:ln>
              <a:solidFill>
                <a:srgbClr val="FF0000"/>
              </a:solidFill>
            </a:ln>
          </c:spPr>
          <c:marker>
            <c:symbol val="diamond"/>
            <c:size val="7"/>
            <c:spPr>
              <a:solidFill>
                <a:srgbClr val="FF0000"/>
              </a:solidFill>
            </c:spPr>
          </c:marker>
          <c:dLbls>
            <c:spPr>
              <a:solidFill>
                <a:schemeClr val="bg1"/>
              </a:solidFill>
            </c:spPr>
            <c:txPr>
              <a:bodyPr/>
              <a:lstStyle/>
              <a:p>
                <a:pPr>
                  <a:defRPr sz="1200"/>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'3. 기초 분석 자료'!$C$331:$V$332</c:f>
              <c:multiLvlStrCache>
                <c:ptCount val="20"/>
                <c:lvl>
                  <c:pt idx="0">
                    <c:v>1Q</c:v>
                  </c:pt>
                  <c:pt idx="1">
                    <c:v>2Q</c:v>
                  </c:pt>
                  <c:pt idx="2">
                    <c:v>3Q</c:v>
                  </c:pt>
                  <c:pt idx="3">
                    <c:v>4Q</c:v>
                  </c:pt>
                  <c:pt idx="4">
                    <c:v>1Q</c:v>
                  </c:pt>
                  <c:pt idx="5">
                    <c:v>2Q</c:v>
                  </c:pt>
                  <c:pt idx="6">
                    <c:v>3Q</c:v>
                  </c:pt>
                  <c:pt idx="7">
                    <c:v>4Q</c:v>
                  </c:pt>
                  <c:pt idx="8">
                    <c:v>1Q</c:v>
                  </c:pt>
                  <c:pt idx="9">
                    <c:v>2Q</c:v>
                  </c:pt>
                  <c:pt idx="10">
                    <c:v>3Q</c:v>
                  </c:pt>
                  <c:pt idx="11">
                    <c:v>4Q</c:v>
                  </c:pt>
                  <c:pt idx="12">
                    <c:v>1Q</c:v>
                  </c:pt>
                  <c:pt idx="13">
                    <c:v>2Q</c:v>
                  </c:pt>
                  <c:pt idx="14">
                    <c:v>3Q</c:v>
                  </c:pt>
                  <c:pt idx="15">
                    <c:v>4Q</c:v>
                  </c:pt>
                  <c:pt idx="16">
                    <c:v>1Q</c:v>
                  </c:pt>
                  <c:pt idx="17">
                    <c:v>2Q</c:v>
                  </c:pt>
                  <c:pt idx="18">
                    <c:v>3Q</c:v>
                  </c:pt>
                  <c:pt idx="19">
                    <c:v>4Q</c:v>
                  </c:pt>
                </c:lvl>
                <c:lvl>
                  <c:pt idx="0">
                    <c:v>1차년도</c:v>
                  </c:pt>
                  <c:pt idx="4">
                    <c:v>2차년도</c:v>
                  </c:pt>
                  <c:pt idx="8">
                    <c:v>3차년도</c:v>
                  </c:pt>
                  <c:pt idx="12">
                    <c:v>4차년도</c:v>
                  </c:pt>
                  <c:pt idx="16">
                    <c:v>5차년도</c:v>
                  </c:pt>
                </c:lvl>
              </c:multiLvlStrCache>
            </c:multiLvlStrRef>
          </c:cat>
          <c:val>
            <c:numRef>
              <c:f>'3. 기초 분석 자료'!$C$338:$V$338</c:f>
              <c:numCache>
                <c:formatCode>_(* #,##0_);_(* \(#,##0\);_(* "-"_);_(@_)</c:formatCode>
                <c:ptCount val="20"/>
                <c:pt idx="0">
                  <c:v>7</c:v>
                </c:pt>
                <c:pt idx="1">
                  <c:v>6</c:v>
                </c:pt>
                <c:pt idx="2">
                  <c:v>6</c:v>
                </c:pt>
                <c:pt idx="3">
                  <c:v>5</c:v>
                </c:pt>
                <c:pt idx="4">
                  <c:v>5</c:v>
                </c:pt>
                <c:pt idx="5">
                  <c:v>5</c:v>
                </c:pt>
                <c:pt idx="6">
                  <c:v>5</c:v>
                </c:pt>
                <c:pt idx="7">
                  <c:v>5</c:v>
                </c:pt>
                <c:pt idx="8">
                  <c:v>5</c:v>
                </c:pt>
                <c:pt idx="9">
                  <c:v>4</c:v>
                </c:pt>
                <c:pt idx="10">
                  <c:v>4</c:v>
                </c:pt>
                <c:pt idx="11">
                  <c:v>4</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2-185E-40F6-A968-0548B477E230}"/>
            </c:ext>
          </c:extLst>
        </c:ser>
        <c:dLbls>
          <c:showLegendKey val="0"/>
          <c:showVal val="0"/>
          <c:showCatName val="0"/>
          <c:showSerName val="0"/>
          <c:showPercent val="0"/>
          <c:showBubbleSize val="0"/>
        </c:dLbls>
        <c:marker val="1"/>
        <c:smooth val="0"/>
        <c:axId val="3"/>
        <c:axId val="4"/>
      </c:lineChart>
      <c:catAx>
        <c:axId val="2143088832"/>
        <c:scaling>
          <c:orientation val="minMax"/>
        </c:scaling>
        <c:delete val="0"/>
        <c:axPos val="b"/>
        <c:numFmt formatCode="General" sourceLinked="1"/>
        <c:majorTickMark val="out"/>
        <c:minorTickMark val="none"/>
        <c:tickLblPos val="nextTo"/>
        <c:crossAx val="1"/>
        <c:crosses val="autoZero"/>
        <c:auto val="1"/>
        <c:lblAlgn val="ctr"/>
        <c:lblOffset val="100"/>
        <c:noMultiLvlLbl val="0"/>
      </c:catAx>
      <c:valAx>
        <c:axId val="1"/>
        <c:scaling>
          <c:orientation val="minMax"/>
        </c:scaling>
        <c:delete val="0"/>
        <c:axPos val="l"/>
        <c:majorGridlines/>
        <c:numFmt formatCode="_(* #,##0_);_(* \(#,##0\);_(* &quot;-&quot;_);_(@_)" sourceLinked="1"/>
        <c:majorTickMark val="out"/>
        <c:minorTickMark val="none"/>
        <c:tickLblPos val="nextTo"/>
        <c:crossAx val="2143088832"/>
        <c:crosses val="autoZero"/>
        <c:crossBetween val="between"/>
      </c:valAx>
      <c:catAx>
        <c:axId val="3"/>
        <c:scaling>
          <c:orientation val="minMax"/>
        </c:scaling>
        <c:delete val="1"/>
        <c:axPos val="b"/>
        <c:numFmt formatCode="General" sourceLinked="1"/>
        <c:majorTickMark val="out"/>
        <c:minorTickMark val="none"/>
        <c:tickLblPos val="nextTo"/>
        <c:crossAx val="4"/>
        <c:crosses val="autoZero"/>
        <c:auto val="1"/>
        <c:lblAlgn val="ctr"/>
        <c:lblOffset val="100"/>
        <c:noMultiLvlLbl val="0"/>
      </c:catAx>
      <c:valAx>
        <c:axId val="4"/>
        <c:scaling>
          <c:orientation val="minMax"/>
        </c:scaling>
        <c:delete val="0"/>
        <c:axPos val="r"/>
        <c:title>
          <c:tx>
            <c:rich>
              <a:bodyPr rot="0" vert="wordArtVert"/>
              <a:lstStyle/>
              <a:p>
                <a:pPr algn="ctr">
                  <a:defRPr sz="1000" b="0" i="0" u="none" strike="noStrike" baseline="0">
                    <a:solidFill>
                      <a:srgbClr val="000000"/>
                    </a:solidFill>
                    <a:latin typeface="맑은 고딕"/>
                    <a:ea typeface="맑은 고딕"/>
                    <a:cs typeface="맑은 고딕"/>
                  </a:defRPr>
                </a:pPr>
                <a:r>
                  <a:rPr lang="en-US" sz="1000" b="1" i="0" u="none" strike="noStrike" baseline="0">
                    <a:solidFill>
                      <a:srgbClr val="000000"/>
                    </a:solidFill>
                    <a:latin typeface="맑은 고딕"/>
                    <a:ea typeface="맑은 고딕"/>
                  </a:rPr>
                  <a:t>직원만족도 등급</a:t>
                </a:r>
              </a:p>
            </c:rich>
          </c:tx>
          <c:overlay val="0"/>
          <c:spPr>
            <a:solidFill>
              <a:schemeClr val="accent5">
                <a:lumMod val="20000"/>
                <a:lumOff val="80000"/>
              </a:schemeClr>
            </a:solidFill>
          </c:spPr>
        </c:title>
        <c:numFmt formatCode="_(* #,##0_);_(* \(#,##0\);_(* &quot;-&quot;_);_(@_)" sourceLinked="1"/>
        <c:majorTickMark val="out"/>
        <c:minorTickMark val="none"/>
        <c:tickLblPos val="nextTo"/>
        <c:crossAx val="3"/>
        <c:crosses val="max"/>
        <c:crossBetween val="between"/>
      </c:valAx>
    </c:plotArea>
    <c:legend>
      <c:legendPos val="r"/>
      <c:layout>
        <c:manualLayout>
          <c:xMode val="edge"/>
          <c:yMode val="edge"/>
          <c:x val="0.29412684938462841"/>
          <c:y val="0.91446685769848546"/>
          <c:w val="0.40925650185804008"/>
          <c:h val="6.4173112820946343E-2"/>
        </c:manualLayout>
      </c:layout>
      <c:overlay val="0"/>
    </c:legend>
    <c:plotVisOnly val="1"/>
    <c:dispBlanksAs val="gap"/>
    <c:showDLblsOverMax val="0"/>
  </c:chart>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맑은 고딕"/>
                <a:ea typeface="맑은 고딕"/>
                <a:cs typeface="맑은 고딕"/>
              </a:defRPr>
            </a:pPr>
            <a:r>
              <a:rPr lang="en-US" sz="1600" b="1" i="0" u="none" strike="noStrike" baseline="0">
                <a:solidFill>
                  <a:srgbClr val="000000"/>
                </a:solidFill>
                <a:latin typeface="맑은 고딕"/>
                <a:ea typeface="맑은 고딕"/>
              </a:rPr>
              <a:t>영업 직원만족도 등급 변화와 영업본부별 판매량</a:t>
            </a:r>
          </a:p>
        </c:rich>
      </c:tx>
      <c:overlay val="0"/>
    </c:title>
    <c:autoTitleDeleted val="0"/>
    <c:plotArea>
      <c:layout/>
      <c:barChart>
        <c:barDir val="col"/>
        <c:grouping val="clustered"/>
        <c:varyColors val="0"/>
        <c:ser>
          <c:idx val="0"/>
          <c:order val="0"/>
          <c:tx>
            <c:strRef>
              <c:f>'3. 기초 분석 자료'!$B$110</c:f>
              <c:strCache>
                <c:ptCount val="1"/>
                <c:pt idx="0">
                  <c:v> 한국 판매량 </c:v>
                </c:pt>
              </c:strCache>
            </c:strRef>
          </c:tx>
          <c:invertIfNegative val="0"/>
          <c:cat>
            <c:multiLvlStrRef>
              <c:f>'3. 기초 분석 자료'!$C$106:$V$107</c:f>
              <c:multiLvlStrCache>
                <c:ptCount val="20"/>
                <c:lvl>
                  <c:pt idx="0">
                    <c:v>1Q</c:v>
                  </c:pt>
                  <c:pt idx="1">
                    <c:v>2Q</c:v>
                  </c:pt>
                  <c:pt idx="2">
                    <c:v>3Q</c:v>
                  </c:pt>
                  <c:pt idx="3">
                    <c:v>4Q</c:v>
                  </c:pt>
                  <c:pt idx="4">
                    <c:v>1Q</c:v>
                  </c:pt>
                  <c:pt idx="5">
                    <c:v>2Q</c:v>
                  </c:pt>
                  <c:pt idx="6">
                    <c:v>3Q</c:v>
                  </c:pt>
                  <c:pt idx="7">
                    <c:v>4Q</c:v>
                  </c:pt>
                  <c:pt idx="8">
                    <c:v>1Q</c:v>
                  </c:pt>
                  <c:pt idx="9">
                    <c:v>2Q</c:v>
                  </c:pt>
                  <c:pt idx="10">
                    <c:v>3Q</c:v>
                  </c:pt>
                  <c:pt idx="11">
                    <c:v>4Q</c:v>
                  </c:pt>
                  <c:pt idx="12">
                    <c:v>1Q</c:v>
                  </c:pt>
                  <c:pt idx="13">
                    <c:v>2Q</c:v>
                  </c:pt>
                  <c:pt idx="14">
                    <c:v>3Q</c:v>
                  </c:pt>
                  <c:pt idx="15">
                    <c:v>4Q</c:v>
                  </c:pt>
                  <c:pt idx="16">
                    <c:v>1Q</c:v>
                  </c:pt>
                  <c:pt idx="17">
                    <c:v>2Q</c:v>
                  </c:pt>
                  <c:pt idx="18">
                    <c:v>3Q</c:v>
                  </c:pt>
                  <c:pt idx="19">
                    <c:v>4Q</c:v>
                  </c:pt>
                </c:lvl>
                <c:lvl>
                  <c:pt idx="0">
                    <c:v>1차년도</c:v>
                  </c:pt>
                  <c:pt idx="4">
                    <c:v>2차년도</c:v>
                  </c:pt>
                  <c:pt idx="8">
                    <c:v>3차년도</c:v>
                  </c:pt>
                  <c:pt idx="12">
                    <c:v>4차년도</c:v>
                  </c:pt>
                  <c:pt idx="16">
                    <c:v>5차년도</c:v>
                  </c:pt>
                </c:lvl>
              </c:multiLvlStrCache>
            </c:multiLvlStrRef>
          </c:cat>
          <c:val>
            <c:numRef>
              <c:f>'3. 기초 분석 자료'!$C$110:$V$110</c:f>
              <c:numCache>
                <c:formatCode>_(* #,##0_);_(* \(#,##0\);_(* "-"_);_(@_)</c:formatCode>
                <c:ptCount val="20"/>
                <c:pt idx="0">
                  <c:v>38739</c:v>
                </c:pt>
                <c:pt idx="1">
                  <c:v>49455</c:v>
                </c:pt>
                <c:pt idx="2">
                  <c:v>46095</c:v>
                </c:pt>
                <c:pt idx="3">
                  <c:v>53923</c:v>
                </c:pt>
                <c:pt idx="4">
                  <c:v>38959</c:v>
                </c:pt>
                <c:pt idx="5">
                  <c:v>59451</c:v>
                </c:pt>
                <c:pt idx="6">
                  <c:v>53746</c:v>
                </c:pt>
                <c:pt idx="7">
                  <c:v>73267</c:v>
                </c:pt>
                <c:pt idx="8">
                  <c:v>65552</c:v>
                </c:pt>
                <c:pt idx="9">
                  <c:v>80232</c:v>
                </c:pt>
                <c:pt idx="10">
                  <c:v>69981</c:v>
                </c:pt>
                <c:pt idx="11">
                  <c:v>66680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9907-49AE-B6D0-E2757DA234A1}"/>
            </c:ext>
          </c:extLst>
        </c:ser>
        <c:ser>
          <c:idx val="1"/>
          <c:order val="1"/>
          <c:tx>
            <c:strRef>
              <c:f>'3. 기초 분석 자료'!$B$111</c:f>
              <c:strCache>
                <c:ptCount val="1"/>
                <c:pt idx="0">
                  <c:v> U국가 판매량 </c:v>
                </c:pt>
              </c:strCache>
            </c:strRef>
          </c:tx>
          <c:spPr>
            <a:solidFill>
              <a:srgbClr val="FFC000"/>
            </a:solidFill>
          </c:spPr>
          <c:invertIfNegative val="0"/>
          <c:cat>
            <c:multiLvlStrRef>
              <c:f>'3. 기초 분석 자료'!$C$106:$V$107</c:f>
              <c:multiLvlStrCache>
                <c:ptCount val="20"/>
                <c:lvl>
                  <c:pt idx="0">
                    <c:v>1Q</c:v>
                  </c:pt>
                  <c:pt idx="1">
                    <c:v>2Q</c:v>
                  </c:pt>
                  <c:pt idx="2">
                    <c:v>3Q</c:v>
                  </c:pt>
                  <c:pt idx="3">
                    <c:v>4Q</c:v>
                  </c:pt>
                  <c:pt idx="4">
                    <c:v>1Q</c:v>
                  </c:pt>
                  <c:pt idx="5">
                    <c:v>2Q</c:v>
                  </c:pt>
                  <c:pt idx="6">
                    <c:v>3Q</c:v>
                  </c:pt>
                  <c:pt idx="7">
                    <c:v>4Q</c:v>
                  </c:pt>
                  <c:pt idx="8">
                    <c:v>1Q</c:v>
                  </c:pt>
                  <c:pt idx="9">
                    <c:v>2Q</c:v>
                  </c:pt>
                  <c:pt idx="10">
                    <c:v>3Q</c:v>
                  </c:pt>
                  <c:pt idx="11">
                    <c:v>4Q</c:v>
                  </c:pt>
                  <c:pt idx="12">
                    <c:v>1Q</c:v>
                  </c:pt>
                  <c:pt idx="13">
                    <c:v>2Q</c:v>
                  </c:pt>
                  <c:pt idx="14">
                    <c:v>3Q</c:v>
                  </c:pt>
                  <c:pt idx="15">
                    <c:v>4Q</c:v>
                  </c:pt>
                  <c:pt idx="16">
                    <c:v>1Q</c:v>
                  </c:pt>
                  <c:pt idx="17">
                    <c:v>2Q</c:v>
                  </c:pt>
                  <c:pt idx="18">
                    <c:v>3Q</c:v>
                  </c:pt>
                  <c:pt idx="19">
                    <c:v>4Q</c:v>
                  </c:pt>
                </c:lvl>
                <c:lvl>
                  <c:pt idx="0">
                    <c:v>1차년도</c:v>
                  </c:pt>
                  <c:pt idx="4">
                    <c:v>2차년도</c:v>
                  </c:pt>
                  <c:pt idx="8">
                    <c:v>3차년도</c:v>
                  </c:pt>
                  <c:pt idx="12">
                    <c:v>4차년도</c:v>
                  </c:pt>
                  <c:pt idx="16">
                    <c:v>5차년도</c:v>
                  </c:pt>
                </c:lvl>
              </c:multiLvlStrCache>
            </c:multiLvlStrRef>
          </c:cat>
          <c:val>
            <c:numRef>
              <c:f>'3. 기초 분석 자료'!$C$111:$V$111</c:f>
              <c:numCache>
                <c:formatCode>_(* #,##0_);_(* \(#,##0\);_(* "-"_);_(@_)</c:formatCode>
                <c:ptCount val="20"/>
                <c:pt idx="0">
                  <c:v>23963</c:v>
                </c:pt>
                <c:pt idx="1">
                  <c:v>32381</c:v>
                </c:pt>
                <c:pt idx="2">
                  <c:v>34739</c:v>
                </c:pt>
                <c:pt idx="3">
                  <c:v>39025</c:v>
                </c:pt>
                <c:pt idx="4">
                  <c:v>34074</c:v>
                </c:pt>
                <c:pt idx="5">
                  <c:v>39074</c:v>
                </c:pt>
                <c:pt idx="6">
                  <c:v>39354</c:v>
                </c:pt>
                <c:pt idx="7">
                  <c:v>40033</c:v>
                </c:pt>
                <c:pt idx="8">
                  <c:v>33564</c:v>
                </c:pt>
                <c:pt idx="9">
                  <c:v>36277</c:v>
                </c:pt>
                <c:pt idx="10">
                  <c:v>33702</c:v>
                </c:pt>
                <c:pt idx="11">
                  <c:v>32680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9907-49AE-B6D0-E2757DA234A1}"/>
            </c:ext>
          </c:extLst>
        </c:ser>
        <c:ser>
          <c:idx val="2"/>
          <c:order val="2"/>
          <c:tx>
            <c:strRef>
              <c:f>'3. 기초 분석 자료'!$B$112</c:f>
              <c:strCache>
                <c:ptCount val="1"/>
                <c:pt idx="0">
                  <c:v> C국가 판매량 </c:v>
                </c:pt>
              </c:strCache>
            </c:strRef>
          </c:tx>
          <c:spPr>
            <a:solidFill>
              <a:schemeClr val="accent6">
                <a:lumMod val="50000"/>
              </a:schemeClr>
            </a:solidFill>
          </c:spPr>
          <c:invertIfNegative val="0"/>
          <c:cat>
            <c:multiLvlStrRef>
              <c:f>'3. 기초 분석 자료'!$C$106:$V$107</c:f>
              <c:multiLvlStrCache>
                <c:ptCount val="20"/>
                <c:lvl>
                  <c:pt idx="0">
                    <c:v>1Q</c:v>
                  </c:pt>
                  <c:pt idx="1">
                    <c:v>2Q</c:v>
                  </c:pt>
                  <c:pt idx="2">
                    <c:v>3Q</c:v>
                  </c:pt>
                  <c:pt idx="3">
                    <c:v>4Q</c:v>
                  </c:pt>
                  <c:pt idx="4">
                    <c:v>1Q</c:v>
                  </c:pt>
                  <c:pt idx="5">
                    <c:v>2Q</c:v>
                  </c:pt>
                  <c:pt idx="6">
                    <c:v>3Q</c:v>
                  </c:pt>
                  <c:pt idx="7">
                    <c:v>4Q</c:v>
                  </c:pt>
                  <c:pt idx="8">
                    <c:v>1Q</c:v>
                  </c:pt>
                  <c:pt idx="9">
                    <c:v>2Q</c:v>
                  </c:pt>
                  <c:pt idx="10">
                    <c:v>3Q</c:v>
                  </c:pt>
                  <c:pt idx="11">
                    <c:v>4Q</c:v>
                  </c:pt>
                  <c:pt idx="12">
                    <c:v>1Q</c:v>
                  </c:pt>
                  <c:pt idx="13">
                    <c:v>2Q</c:v>
                  </c:pt>
                  <c:pt idx="14">
                    <c:v>3Q</c:v>
                  </c:pt>
                  <c:pt idx="15">
                    <c:v>4Q</c:v>
                  </c:pt>
                  <c:pt idx="16">
                    <c:v>1Q</c:v>
                  </c:pt>
                  <c:pt idx="17">
                    <c:v>2Q</c:v>
                  </c:pt>
                  <c:pt idx="18">
                    <c:v>3Q</c:v>
                  </c:pt>
                  <c:pt idx="19">
                    <c:v>4Q</c:v>
                  </c:pt>
                </c:lvl>
                <c:lvl>
                  <c:pt idx="0">
                    <c:v>1차년도</c:v>
                  </c:pt>
                  <c:pt idx="4">
                    <c:v>2차년도</c:v>
                  </c:pt>
                  <c:pt idx="8">
                    <c:v>3차년도</c:v>
                  </c:pt>
                  <c:pt idx="12">
                    <c:v>4차년도</c:v>
                  </c:pt>
                  <c:pt idx="16">
                    <c:v>5차년도</c:v>
                  </c:pt>
                </c:lvl>
              </c:multiLvlStrCache>
            </c:multiLvlStrRef>
          </c:cat>
          <c:val>
            <c:numRef>
              <c:f>'3. 기초 분석 자료'!$C$112:$V$112</c:f>
              <c:numCache>
                <c:formatCode>_(* #,##0_);_(* \(#,##0\);_(* "-"_);_(@_)</c:formatCode>
                <c:ptCount val="20"/>
                <c:pt idx="0">
                  <c:v>5497</c:v>
                </c:pt>
                <c:pt idx="1">
                  <c:v>13894</c:v>
                </c:pt>
                <c:pt idx="2">
                  <c:v>10568</c:v>
                </c:pt>
                <c:pt idx="3">
                  <c:v>13227</c:v>
                </c:pt>
                <c:pt idx="4">
                  <c:v>4700</c:v>
                </c:pt>
                <c:pt idx="5">
                  <c:v>15478</c:v>
                </c:pt>
                <c:pt idx="6">
                  <c:v>15275</c:v>
                </c:pt>
                <c:pt idx="7">
                  <c:v>21414</c:v>
                </c:pt>
                <c:pt idx="8">
                  <c:v>17504</c:v>
                </c:pt>
                <c:pt idx="9">
                  <c:v>28354</c:v>
                </c:pt>
                <c:pt idx="10">
                  <c:v>28320</c:v>
                </c:pt>
                <c:pt idx="11">
                  <c:v>30500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9907-49AE-B6D0-E2757DA234A1}"/>
            </c:ext>
          </c:extLst>
        </c:ser>
        <c:dLbls>
          <c:showLegendKey val="0"/>
          <c:showVal val="0"/>
          <c:showCatName val="0"/>
          <c:showSerName val="0"/>
          <c:showPercent val="0"/>
          <c:showBubbleSize val="0"/>
        </c:dLbls>
        <c:gapWidth val="150"/>
        <c:overlap val="-26"/>
        <c:axId val="2143091632"/>
        <c:axId val="1"/>
      </c:barChart>
      <c:lineChart>
        <c:grouping val="standard"/>
        <c:varyColors val="0"/>
        <c:ser>
          <c:idx val="3"/>
          <c:order val="3"/>
          <c:tx>
            <c:strRef>
              <c:f>'3. 기초 분석 자료'!$B$309</c:f>
              <c:strCache>
                <c:ptCount val="1"/>
                <c:pt idx="0">
                  <c:v>품질등급</c:v>
                </c:pt>
              </c:strCache>
            </c:strRef>
          </c:tx>
          <c:spPr>
            <a:ln>
              <a:solidFill>
                <a:srgbClr val="FF0000"/>
              </a:solidFill>
            </a:ln>
          </c:spPr>
          <c:marker>
            <c:symbol val="diamond"/>
            <c:size val="8"/>
            <c:spPr>
              <a:solidFill>
                <a:srgbClr val="FF0000"/>
              </a:solidFill>
            </c:spPr>
          </c:marker>
          <c:dLbls>
            <c:spPr>
              <a:solidFill>
                <a:schemeClr val="bg1"/>
              </a:solidFill>
            </c:sp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'3. 기초 분석 자료'!$C$309:$V$309</c:f>
              <c:numCache>
                <c:formatCode>_(* #,##0_);_(* \(#,##0\);_(* "-"_);_(@_)</c:formatCode>
                <c:ptCount val="20"/>
                <c:pt idx="0">
                  <c:v>7</c:v>
                </c:pt>
                <c:pt idx="1">
                  <c:v>7</c:v>
                </c:pt>
                <c:pt idx="2">
                  <c:v>7</c:v>
                </c:pt>
                <c:pt idx="3">
                  <c:v>6</c:v>
                </c:pt>
                <c:pt idx="4">
                  <c:v>6</c:v>
                </c:pt>
                <c:pt idx="5">
                  <c:v>5</c:v>
                </c:pt>
                <c:pt idx="6">
                  <c:v>5</c:v>
                </c:pt>
                <c:pt idx="7">
                  <c:v>5</c:v>
                </c:pt>
                <c:pt idx="8">
                  <c:v>5</c:v>
                </c:pt>
                <c:pt idx="9">
                  <c:v>4</c:v>
                </c:pt>
                <c:pt idx="10">
                  <c:v>4</c:v>
                </c:pt>
                <c:pt idx="11">
                  <c:v>4</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3-9907-49AE-B6D0-E2757DA234A1}"/>
            </c:ext>
          </c:extLst>
        </c:ser>
        <c:dLbls>
          <c:showLegendKey val="0"/>
          <c:showVal val="0"/>
          <c:showCatName val="0"/>
          <c:showSerName val="0"/>
          <c:showPercent val="0"/>
          <c:showBubbleSize val="0"/>
        </c:dLbls>
        <c:marker val="1"/>
        <c:smooth val="0"/>
        <c:axId val="3"/>
        <c:axId val="4"/>
      </c:lineChart>
      <c:catAx>
        <c:axId val="2143091632"/>
        <c:scaling>
          <c:orientation val="minMax"/>
        </c:scaling>
        <c:delete val="0"/>
        <c:axPos val="b"/>
        <c:numFmt formatCode="General" sourceLinked="1"/>
        <c:majorTickMark val="out"/>
        <c:minorTickMark val="none"/>
        <c:tickLblPos val="nextTo"/>
        <c:crossAx val="1"/>
        <c:crosses val="autoZero"/>
        <c:auto val="1"/>
        <c:lblAlgn val="ctr"/>
        <c:lblOffset val="100"/>
        <c:noMultiLvlLbl val="0"/>
      </c:catAx>
      <c:valAx>
        <c:axId val="1"/>
        <c:scaling>
          <c:orientation val="minMax"/>
        </c:scaling>
        <c:delete val="0"/>
        <c:axPos val="l"/>
        <c:majorGridlines/>
        <c:title>
          <c:tx>
            <c:rich>
              <a:bodyPr rot="0" vert="wordArtVert"/>
              <a:lstStyle/>
              <a:p>
                <a:pPr algn="ctr">
                  <a:defRPr sz="1100" b="0" i="0" u="none" strike="noStrike" baseline="0">
                    <a:solidFill>
                      <a:srgbClr val="000000"/>
                    </a:solidFill>
                    <a:latin typeface="맑은 고딕"/>
                    <a:ea typeface="맑은 고딕"/>
                    <a:cs typeface="맑은 고딕"/>
                  </a:defRPr>
                </a:pPr>
                <a:r>
                  <a:rPr lang="en-US" sz="1000" b="1" i="0" u="none" strike="noStrike" baseline="0">
                    <a:solidFill>
                      <a:srgbClr val="000000"/>
                    </a:solidFill>
                    <a:latin typeface="맑은 고딕"/>
                    <a:ea typeface="맑은 고딕"/>
                  </a:rPr>
                  <a:t>국가별 판매량</a:t>
                </a:r>
              </a:p>
            </c:rich>
          </c:tx>
          <c:overlay val="0"/>
          <c:spPr>
            <a:solidFill>
              <a:schemeClr val="accent5">
                <a:lumMod val="20000"/>
                <a:lumOff val="80000"/>
              </a:schemeClr>
            </a:solidFill>
          </c:spPr>
        </c:title>
        <c:numFmt formatCode="_(* #,##0_);_(* \(#,##0\);_(* &quot;-&quot;_);_(@_)" sourceLinked="1"/>
        <c:majorTickMark val="out"/>
        <c:minorTickMark val="none"/>
        <c:tickLblPos val="nextTo"/>
        <c:crossAx val="2143091632"/>
        <c:crosses val="autoZero"/>
        <c:crossBetween val="between"/>
      </c:valAx>
      <c:catAx>
        <c:axId val="3"/>
        <c:scaling>
          <c:orientation val="minMax"/>
        </c:scaling>
        <c:delete val="1"/>
        <c:axPos val="b"/>
        <c:majorTickMark val="out"/>
        <c:minorTickMark val="none"/>
        <c:tickLblPos val="nextTo"/>
        <c:crossAx val="4"/>
        <c:crosses val="autoZero"/>
        <c:auto val="1"/>
        <c:lblAlgn val="ctr"/>
        <c:lblOffset val="100"/>
        <c:noMultiLvlLbl val="0"/>
      </c:catAx>
      <c:valAx>
        <c:axId val="4"/>
        <c:scaling>
          <c:orientation val="minMax"/>
        </c:scaling>
        <c:delete val="0"/>
        <c:axPos val="r"/>
        <c:title>
          <c:tx>
            <c:rich>
              <a:bodyPr rot="0" vert="wordArtVert"/>
              <a:lstStyle/>
              <a:p>
                <a:pPr algn="ctr">
                  <a:defRPr sz="1000" b="0" i="0" u="none" strike="noStrike" baseline="0">
                    <a:solidFill>
                      <a:srgbClr val="000000"/>
                    </a:solidFill>
                    <a:latin typeface="맑은 고딕"/>
                    <a:ea typeface="맑은 고딕"/>
                    <a:cs typeface="맑은 고딕"/>
                  </a:defRPr>
                </a:pPr>
                <a:r>
                  <a:rPr lang="en-US" sz="1000" b="1" i="0" u="none" strike="noStrike" baseline="0">
                    <a:solidFill>
                      <a:srgbClr val="000000"/>
                    </a:solidFill>
                    <a:latin typeface="맑은 고딕"/>
                    <a:ea typeface="맑은 고딕"/>
                  </a:rPr>
                  <a:t>직원만족도 등급</a:t>
                </a:r>
              </a:p>
            </c:rich>
          </c:tx>
          <c:overlay val="0"/>
          <c:spPr>
            <a:solidFill>
              <a:schemeClr val="accent5">
                <a:lumMod val="20000"/>
                <a:lumOff val="80000"/>
              </a:schemeClr>
            </a:solidFill>
          </c:spPr>
        </c:title>
        <c:numFmt formatCode="_(* #,##0_);_(* \(#,##0\);_(* &quot;-&quot;_);_(@_)" sourceLinked="1"/>
        <c:majorTickMark val="out"/>
        <c:minorTickMark val="none"/>
        <c:tickLblPos val="nextTo"/>
        <c:crossAx val="3"/>
        <c:crosses val="max"/>
        <c:crossBetween val="between"/>
        <c:majorUnit val="1"/>
      </c:valAx>
    </c:plotArea>
    <c:legend>
      <c:legendPos val="r"/>
      <c:layout>
        <c:manualLayout>
          <c:xMode val="edge"/>
          <c:yMode val="edge"/>
          <c:x val="0.30223531932636788"/>
          <c:y val="0.91400928728225139"/>
          <c:w val="0.40069725055167182"/>
          <c:h val="6.4518302631688326E-2"/>
        </c:manualLayout>
      </c:layout>
      <c:overlay val="0"/>
    </c:legend>
    <c:plotVisOnly val="1"/>
    <c:dispBlanksAs val="gap"/>
    <c:showDLblsOverMax val="0"/>
  </c:chart>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맑은 고딕"/>
                <a:ea typeface="맑은 고딕"/>
                <a:cs typeface="맑은 고딕"/>
              </a:defRPr>
            </a:pPr>
            <a:r>
              <a:rPr lang="en-US" sz="1600" b="1" i="0" u="none" strike="noStrike" baseline="0">
                <a:solidFill>
                  <a:srgbClr val="000000"/>
                </a:solidFill>
                <a:latin typeface="맑은 고딕"/>
                <a:ea typeface="맑은 고딕"/>
              </a:rPr>
              <a:t>생산직원 인건비(라인당)에 따른 라인당 생산량 변화</a:t>
            </a:r>
          </a:p>
        </c:rich>
      </c:tx>
      <c:overlay val="0"/>
    </c:title>
    <c:autoTitleDeleted val="0"/>
    <c:plotArea>
      <c:layout/>
      <c:barChart>
        <c:barDir val="col"/>
        <c:grouping val="clustered"/>
        <c:varyColors val="0"/>
        <c:ser>
          <c:idx val="1"/>
          <c:order val="1"/>
          <c:tx>
            <c:strRef>
              <c:f>'3. 기초 분석 자료'!$B$385</c:f>
              <c:strCache>
                <c:ptCount val="1"/>
                <c:pt idx="0">
                  <c:v>생산직원 기본급</c:v>
                </c:pt>
              </c:strCache>
            </c:strRef>
          </c:tx>
          <c:spPr>
            <a:solidFill>
              <a:schemeClr val="accent5">
                <a:lumMod val="75000"/>
              </a:schemeClr>
            </a:solidFill>
          </c:spPr>
          <c:invertIfNegative val="0"/>
          <c:cat>
            <c:multiLvlStrRef>
              <c:f>'3. 기초 분석 자료'!$C$382:$V$383</c:f>
              <c:multiLvlStrCache>
                <c:ptCount val="20"/>
                <c:lvl>
                  <c:pt idx="0">
                    <c:v>1Q</c:v>
                  </c:pt>
                  <c:pt idx="1">
                    <c:v>2Q</c:v>
                  </c:pt>
                  <c:pt idx="2">
                    <c:v>3Q</c:v>
                  </c:pt>
                  <c:pt idx="3">
                    <c:v>4Q</c:v>
                  </c:pt>
                  <c:pt idx="4">
                    <c:v>1Q</c:v>
                  </c:pt>
                  <c:pt idx="5">
                    <c:v>2Q</c:v>
                  </c:pt>
                  <c:pt idx="6">
                    <c:v>3Q</c:v>
                  </c:pt>
                  <c:pt idx="7">
                    <c:v>4Q</c:v>
                  </c:pt>
                  <c:pt idx="8">
                    <c:v>1Q</c:v>
                  </c:pt>
                  <c:pt idx="9">
                    <c:v>2Q</c:v>
                  </c:pt>
                  <c:pt idx="10">
                    <c:v>3Q</c:v>
                  </c:pt>
                  <c:pt idx="11">
                    <c:v>4Q</c:v>
                  </c:pt>
                  <c:pt idx="12">
                    <c:v>1Q</c:v>
                  </c:pt>
                  <c:pt idx="13">
                    <c:v>2Q</c:v>
                  </c:pt>
                  <c:pt idx="14">
                    <c:v>3Q</c:v>
                  </c:pt>
                  <c:pt idx="15">
                    <c:v>4Q</c:v>
                  </c:pt>
                  <c:pt idx="16">
                    <c:v>1Q</c:v>
                  </c:pt>
                  <c:pt idx="17">
                    <c:v>2Q</c:v>
                  </c:pt>
                  <c:pt idx="18">
                    <c:v>3Q</c:v>
                  </c:pt>
                  <c:pt idx="19">
                    <c:v>4Q</c:v>
                  </c:pt>
                </c:lvl>
                <c:lvl>
                  <c:pt idx="0">
                    <c:v>1차년도</c:v>
                  </c:pt>
                  <c:pt idx="4">
                    <c:v>2차년도</c:v>
                  </c:pt>
                  <c:pt idx="8">
                    <c:v>3차년도</c:v>
                  </c:pt>
                  <c:pt idx="12">
                    <c:v>4차년도</c:v>
                  </c:pt>
                  <c:pt idx="16">
                    <c:v>5차년도</c:v>
                  </c:pt>
                </c:lvl>
              </c:multiLvlStrCache>
            </c:multiLvlStrRef>
          </c:cat>
          <c:val>
            <c:numRef>
              <c:f>'3. 기초 분석 자료'!$C$385:$V$385</c:f>
              <c:numCache>
                <c:formatCode>_(* #,##0_);_(* \(#,##0\);_(* "-"_);_(@_)</c:formatCode>
                <c:ptCount val="20"/>
                <c:pt idx="0">
                  <c:v>1395000000</c:v>
                </c:pt>
                <c:pt idx="1">
                  <c:v>1422000000</c:v>
                </c:pt>
                <c:pt idx="2">
                  <c:v>1485000000</c:v>
                </c:pt>
                <c:pt idx="3">
                  <c:v>1512000000</c:v>
                </c:pt>
                <c:pt idx="4">
                  <c:v>1521000000</c:v>
                </c:pt>
                <c:pt idx="5">
                  <c:v>1530000000</c:v>
                </c:pt>
                <c:pt idx="6">
                  <c:v>1548000000</c:v>
                </c:pt>
                <c:pt idx="7">
                  <c:v>1575000000</c:v>
                </c:pt>
                <c:pt idx="8">
                  <c:v>1620000000</c:v>
                </c:pt>
                <c:pt idx="9">
                  <c:v>1710000000</c:v>
                </c:pt>
                <c:pt idx="10">
                  <c:v>1755000000</c:v>
                </c:pt>
                <c:pt idx="11">
                  <c:v>1800000000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21E2-42BD-BF47-39FFEFC6614C}"/>
            </c:ext>
          </c:extLst>
        </c:ser>
        <c:dLbls>
          <c:showLegendKey val="0"/>
          <c:showVal val="0"/>
          <c:showCatName val="0"/>
          <c:showSerName val="0"/>
          <c:showPercent val="0"/>
          <c:showBubbleSize val="0"/>
        </c:dLbls>
        <c:gapWidth val="150"/>
        <c:axId val="2143089232"/>
        <c:axId val="1"/>
      </c:barChart>
      <c:lineChart>
        <c:grouping val="standard"/>
        <c:varyColors val="0"/>
        <c:ser>
          <c:idx val="0"/>
          <c:order val="0"/>
          <c:tx>
            <c:strRef>
              <c:f>'3. 기초 분석 자료'!$B$384</c:f>
              <c:strCache>
                <c:ptCount val="1"/>
                <c:pt idx="0">
                  <c:v> 생산량</c:v>
                </c:pt>
              </c:strCache>
            </c:strRef>
          </c:tx>
          <c:dLbls>
            <c:dLbl>
              <c:idx val="0"/>
              <c:layout>
                <c:manualLayout>
                  <c:x val="-2.4047658293000866E-3"/>
                  <c:y val="3.9233171698157834E-2"/>
                </c:manualLayout>
              </c:layout>
              <c:spPr/>
              <c:txPr>
                <a:bodyPr/>
                <a:lstStyle/>
                <a:p>
                  <a:pPr>
                    <a:defRPr/>
                  </a:pPr>
                  <a:endParaRPr lang="ko-KR"/>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1E2-42BD-BF47-39FFEFC6614C}"/>
                </c:ext>
              </c:extLst>
            </c:dLbl>
            <c:dLbl>
              <c:idx val="1"/>
              <c:delete val="1"/>
              <c:extLst>
                <c:ext xmlns:c15="http://schemas.microsoft.com/office/drawing/2012/chart" uri="{CE6537A1-D6FC-4f65-9D91-7224C49458BB}"/>
                <c:ext xmlns:c16="http://schemas.microsoft.com/office/drawing/2014/chart" uri="{C3380CC4-5D6E-409C-BE32-E72D297353CC}">
                  <c16:uniqueId val="{00000002-21E2-42BD-BF47-39FFEFC6614C}"/>
                </c:ext>
              </c:extLst>
            </c:dLbl>
            <c:dLbl>
              <c:idx val="3"/>
              <c:delete val="1"/>
              <c:extLst>
                <c:ext xmlns:c15="http://schemas.microsoft.com/office/drawing/2012/chart" uri="{CE6537A1-D6FC-4f65-9D91-7224C49458BB}"/>
                <c:ext xmlns:c16="http://schemas.microsoft.com/office/drawing/2014/chart" uri="{C3380CC4-5D6E-409C-BE32-E72D297353CC}">
                  <c16:uniqueId val="{00000003-21E2-42BD-BF47-39FFEFC6614C}"/>
                </c:ext>
              </c:extLst>
            </c:dLbl>
            <c:dLbl>
              <c:idx val="4"/>
              <c:layout>
                <c:manualLayout>
                  <c:x val="0"/>
                  <c:y val="-2.615544779877196E-2"/>
                </c:manualLayout>
              </c:layout>
              <c:spPr/>
              <c:txPr>
                <a:bodyPr/>
                <a:lstStyle/>
                <a:p>
                  <a:pPr>
                    <a:defRPr/>
                  </a:pPr>
                  <a:endParaRPr lang="ko-KR"/>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1E2-42BD-BF47-39FFEFC6614C}"/>
                </c:ext>
              </c:extLst>
            </c:dLbl>
            <c:dLbl>
              <c:idx val="5"/>
              <c:delete val="1"/>
              <c:extLst>
                <c:ext xmlns:c15="http://schemas.microsoft.com/office/drawing/2012/chart" uri="{CE6537A1-D6FC-4f65-9D91-7224C49458BB}"/>
                <c:ext xmlns:c16="http://schemas.microsoft.com/office/drawing/2014/chart" uri="{C3380CC4-5D6E-409C-BE32-E72D297353CC}">
                  <c16:uniqueId val="{00000005-21E2-42BD-BF47-39FFEFC6614C}"/>
                </c:ext>
              </c:extLst>
            </c:dLbl>
            <c:dLbl>
              <c:idx val="6"/>
              <c:delete val="1"/>
              <c:extLst>
                <c:ext xmlns:c15="http://schemas.microsoft.com/office/drawing/2012/chart" uri="{CE6537A1-D6FC-4f65-9D91-7224C49458BB}"/>
                <c:ext xmlns:c16="http://schemas.microsoft.com/office/drawing/2014/chart" uri="{C3380CC4-5D6E-409C-BE32-E72D297353CC}">
                  <c16:uniqueId val="{00000006-21E2-42BD-BF47-39FFEFC6614C}"/>
                </c:ext>
              </c:extLst>
            </c:dLbl>
            <c:dLbl>
              <c:idx val="7"/>
              <c:layout>
                <c:manualLayout>
                  <c:x val="0"/>
                  <c:y val="-2.615544779877196E-2"/>
                </c:manualLayout>
              </c:layout>
              <c:spPr/>
              <c:txPr>
                <a:bodyPr/>
                <a:lstStyle/>
                <a:p>
                  <a:pPr>
                    <a:defRPr/>
                  </a:pPr>
                  <a:endParaRPr lang="ko-KR"/>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1E2-42BD-BF47-39FFEFC6614C}"/>
                </c:ext>
              </c:extLst>
            </c:dLbl>
            <c:dLbl>
              <c:idx val="8"/>
              <c:delete val="1"/>
              <c:extLst>
                <c:ext xmlns:c15="http://schemas.microsoft.com/office/drawing/2012/chart" uri="{CE6537A1-D6FC-4f65-9D91-7224C49458BB}"/>
                <c:ext xmlns:c16="http://schemas.microsoft.com/office/drawing/2014/chart" uri="{C3380CC4-5D6E-409C-BE32-E72D297353CC}">
                  <c16:uniqueId val="{00000008-21E2-42BD-BF47-39FFEFC6614C}"/>
                </c:ext>
              </c:extLst>
            </c:dLbl>
            <c:dLbl>
              <c:idx val="10"/>
              <c:delete val="1"/>
              <c:extLst>
                <c:ext xmlns:c15="http://schemas.microsoft.com/office/drawing/2012/chart" uri="{CE6537A1-D6FC-4f65-9D91-7224C49458BB}"/>
                <c:ext xmlns:c16="http://schemas.microsoft.com/office/drawing/2014/chart" uri="{C3380CC4-5D6E-409C-BE32-E72D297353CC}">
                  <c16:uniqueId val="{00000009-21E2-42BD-BF47-39FFEFC6614C}"/>
                </c:ext>
              </c:extLst>
            </c:dLbl>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'3. 기초 분석 자료'!$C$382:$V$383</c:f>
              <c:multiLvlStrCache>
                <c:ptCount val="20"/>
                <c:lvl>
                  <c:pt idx="0">
                    <c:v>1Q</c:v>
                  </c:pt>
                  <c:pt idx="1">
                    <c:v>2Q</c:v>
                  </c:pt>
                  <c:pt idx="2">
                    <c:v>3Q</c:v>
                  </c:pt>
                  <c:pt idx="3">
                    <c:v>4Q</c:v>
                  </c:pt>
                  <c:pt idx="4">
                    <c:v>1Q</c:v>
                  </c:pt>
                  <c:pt idx="5">
                    <c:v>2Q</c:v>
                  </c:pt>
                  <c:pt idx="6">
                    <c:v>3Q</c:v>
                  </c:pt>
                  <c:pt idx="7">
                    <c:v>4Q</c:v>
                  </c:pt>
                  <c:pt idx="8">
                    <c:v>1Q</c:v>
                  </c:pt>
                  <c:pt idx="9">
                    <c:v>2Q</c:v>
                  </c:pt>
                  <c:pt idx="10">
                    <c:v>3Q</c:v>
                  </c:pt>
                  <c:pt idx="11">
                    <c:v>4Q</c:v>
                  </c:pt>
                  <c:pt idx="12">
                    <c:v>1Q</c:v>
                  </c:pt>
                  <c:pt idx="13">
                    <c:v>2Q</c:v>
                  </c:pt>
                  <c:pt idx="14">
                    <c:v>3Q</c:v>
                  </c:pt>
                  <c:pt idx="15">
                    <c:v>4Q</c:v>
                  </c:pt>
                  <c:pt idx="16">
                    <c:v>1Q</c:v>
                  </c:pt>
                  <c:pt idx="17">
                    <c:v>2Q</c:v>
                  </c:pt>
                  <c:pt idx="18">
                    <c:v>3Q</c:v>
                  </c:pt>
                  <c:pt idx="19">
                    <c:v>4Q</c:v>
                  </c:pt>
                </c:lvl>
                <c:lvl>
                  <c:pt idx="0">
                    <c:v>1차년도</c:v>
                  </c:pt>
                  <c:pt idx="4">
                    <c:v>2차년도</c:v>
                  </c:pt>
                  <c:pt idx="8">
                    <c:v>3차년도</c:v>
                  </c:pt>
                  <c:pt idx="12">
                    <c:v>4차년도</c:v>
                  </c:pt>
                  <c:pt idx="16">
                    <c:v>5차년도</c:v>
                  </c:pt>
                </c:lvl>
              </c:multiLvlStrCache>
            </c:multiLvlStrRef>
          </c:cat>
          <c:val>
            <c:numRef>
              <c:f>'3. 기초 분석 자료'!$C$384:$V$384</c:f>
              <c:numCache>
                <c:formatCode>_(* #,##0_);_(* \(#,##0\);_(* "-"_);_(@_)</c:formatCode>
                <c:ptCount val="20"/>
                <c:pt idx="0">
                  <c:v>83166</c:v>
                </c:pt>
                <c:pt idx="1">
                  <c:v>86561</c:v>
                </c:pt>
                <c:pt idx="2">
                  <c:v>98841</c:v>
                </c:pt>
                <c:pt idx="3">
                  <c:v>100838</c:v>
                </c:pt>
                <c:pt idx="4">
                  <c:v>89689</c:v>
                </c:pt>
                <c:pt idx="5">
                  <c:v>108201</c:v>
                </c:pt>
                <c:pt idx="6">
                  <c:v>121846</c:v>
                </c:pt>
                <c:pt idx="7">
                  <c:v>128679</c:v>
                </c:pt>
                <c:pt idx="8">
                  <c:v>122351</c:v>
                </c:pt>
                <c:pt idx="9">
                  <c:v>137532</c:v>
                </c:pt>
                <c:pt idx="10">
                  <c:v>130020</c:v>
                </c:pt>
                <c:pt idx="11">
                  <c:v>136080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A-21E2-42BD-BF47-39FFEFC6614C}"/>
            </c:ext>
          </c:extLst>
        </c:ser>
        <c:dLbls>
          <c:showLegendKey val="0"/>
          <c:showVal val="0"/>
          <c:showCatName val="0"/>
          <c:showSerName val="0"/>
          <c:showPercent val="0"/>
          <c:showBubbleSize val="0"/>
        </c:dLbls>
        <c:marker val="1"/>
        <c:smooth val="0"/>
        <c:axId val="3"/>
        <c:axId val="4"/>
      </c:lineChart>
      <c:catAx>
        <c:axId val="2143089232"/>
        <c:scaling>
          <c:orientation val="minMax"/>
        </c:scaling>
        <c:delete val="0"/>
        <c:axPos val="b"/>
        <c:numFmt formatCode="General" sourceLinked="1"/>
        <c:majorTickMark val="out"/>
        <c:minorTickMark val="none"/>
        <c:tickLblPos val="nextTo"/>
        <c:crossAx val="1"/>
        <c:crosses val="autoZero"/>
        <c:auto val="1"/>
        <c:lblAlgn val="ctr"/>
        <c:lblOffset val="100"/>
        <c:noMultiLvlLbl val="0"/>
      </c:catAx>
      <c:valAx>
        <c:axId val="1"/>
        <c:scaling>
          <c:orientation val="minMax"/>
          <c:min val="1000000000"/>
        </c:scaling>
        <c:delete val="0"/>
        <c:axPos val="l"/>
        <c:majorGridlines/>
        <c:title>
          <c:tx>
            <c:rich>
              <a:bodyPr rot="0" vert="wordArtVert"/>
              <a:lstStyle/>
              <a:p>
                <a:pPr algn="ctr">
                  <a:defRPr sz="1100" b="0" i="0" u="none" strike="noStrike" baseline="0">
                    <a:solidFill>
                      <a:srgbClr val="000000"/>
                    </a:solidFill>
                    <a:latin typeface="맑은 고딕"/>
                    <a:ea typeface="맑은 고딕"/>
                    <a:cs typeface="맑은 고딕"/>
                  </a:defRPr>
                </a:pPr>
                <a:r>
                  <a:rPr lang="en-US" sz="1000" b="1" i="0" u="none" strike="noStrike" baseline="0">
                    <a:solidFill>
                      <a:srgbClr val="000000"/>
                    </a:solidFill>
                    <a:latin typeface="맑은 고딕"/>
                    <a:ea typeface="맑은 고딕"/>
                  </a:rPr>
                  <a:t>생산직원 인건비</a:t>
                </a:r>
              </a:p>
            </c:rich>
          </c:tx>
          <c:overlay val="0"/>
          <c:spPr>
            <a:solidFill>
              <a:schemeClr val="accent5">
                <a:lumMod val="20000"/>
                <a:lumOff val="80000"/>
              </a:schemeClr>
            </a:solidFill>
          </c:spPr>
        </c:title>
        <c:numFmt formatCode="_(* #,##0_);_(* \(#,##0\);_(* &quot;-&quot;_);_(@_)" sourceLinked="1"/>
        <c:majorTickMark val="out"/>
        <c:minorTickMark val="none"/>
        <c:tickLblPos val="nextTo"/>
        <c:crossAx val="2143089232"/>
        <c:crosses val="autoZero"/>
        <c:crossBetween val="between"/>
      </c:valAx>
      <c:catAx>
        <c:axId val="3"/>
        <c:scaling>
          <c:orientation val="minMax"/>
        </c:scaling>
        <c:delete val="1"/>
        <c:axPos val="b"/>
        <c:numFmt formatCode="General" sourceLinked="1"/>
        <c:majorTickMark val="out"/>
        <c:minorTickMark val="none"/>
        <c:tickLblPos val="nextTo"/>
        <c:crossAx val="4"/>
        <c:crosses val="autoZero"/>
        <c:auto val="1"/>
        <c:lblAlgn val="ctr"/>
        <c:lblOffset val="100"/>
        <c:noMultiLvlLbl val="0"/>
      </c:catAx>
      <c:valAx>
        <c:axId val="4"/>
        <c:scaling>
          <c:orientation val="minMax"/>
        </c:scaling>
        <c:delete val="0"/>
        <c:axPos val="r"/>
        <c:title>
          <c:tx>
            <c:rich>
              <a:bodyPr rot="0" vert="wordArtVert"/>
              <a:lstStyle/>
              <a:p>
                <a:pPr algn="ctr">
                  <a:defRPr sz="1000" b="0" i="0" u="none" strike="noStrike" baseline="0">
                    <a:solidFill>
                      <a:srgbClr val="000000"/>
                    </a:solidFill>
                    <a:latin typeface="맑은 고딕"/>
                    <a:ea typeface="맑은 고딕"/>
                    <a:cs typeface="맑은 고딕"/>
                  </a:defRPr>
                </a:pPr>
                <a:r>
                  <a:rPr lang="en-US" sz="1000" b="1" i="0" u="none" strike="noStrike" baseline="0">
                    <a:solidFill>
                      <a:srgbClr val="000000"/>
                    </a:solidFill>
                    <a:latin typeface="맑은 고딕"/>
                    <a:ea typeface="맑은 고딕"/>
                  </a:rPr>
                  <a:t>라인당 생산량</a:t>
                </a:r>
              </a:p>
            </c:rich>
          </c:tx>
          <c:overlay val="0"/>
          <c:spPr>
            <a:solidFill>
              <a:schemeClr val="accent5">
                <a:lumMod val="20000"/>
                <a:lumOff val="80000"/>
              </a:schemeClr>
            </a:solidFill>
          </c:spPr>
        </c:title>
        <c:numFmt formatCode="_(* #,##0_);_(* \(#,##0\);_(* &quot;-&quot;_);_(@_)" sourceLinked="1"/>
        <c:majorTickMark val="out"/>
        <c:minorTickMark val="none"/>
        <c:tickLblPos val="nextTo"/>
        <c:crossAx val="3"/>
        <c:crosses val="max"/>
        <c:crossBetween val="between"/>
      </c:valAx>
    </c:plotArea>
    <c:legend>
      <c:legendPos val="r"/>
      <c:layout>
        <c:manualLayout>
          <c:xMode val="edge"/>
          <c:yMode val="edge"/>
          <c:x val="0.38096410741885867"/>
          <c:y val="0.91922186066905132"/>
          <c:w val="0.24395070036470776"/>
          <c:h val="6.0608034769388003E-2"/>
        </c:manualLayout>
      </c:layout>
      <c:overlay val="0"/>
    </c:legend>
    <c:plotVisOnly val="1"/>
    <c:dispBlanksAs val="gap"/>
    <c:showDLblsOverMax val="0"/>
  </c:chart>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맑은 고딕"/>
                <a:ea typeface="맑은 고딕"/>
                <a:cs typeface="맑은 고딕"/>
              </a:defRPr>
            </a:pPr>
            <a:r>
              <a:rPr lang="en-US" sz="1600" b="1" i="0" u="none" strike="noStrike" baseline="0">
                <a:solidFill>
                  <a:srgbClr val="000000"/>
                </a:solidFill>
                <a:latin typeface="맑은 고딕"/>
                <a:ea typeface="맑은 고딕"/>
              </a:rPr>
              <a:t>품질개선비에 따른 라인당 생산량 변화</a:t>
            </a:r>
          </a:p>
        </c:rich>
      </c:tx>
      <c:overlay val="0"/>
    </c:title>
    <c:autoTitleDeleted val="0"/>
    <c:plotArea>
      <c:layout/>
      <c:barChart>
        <c:barDir val="col"/>
        <c:grouping val="clustered"/>
        <c:varyColors val="0"/>
        <c:ser>
          <c:idx val="1"/>
          <c:order val="1"/>
          <c:tx>
            <c:strRef>
              <c:f>'3. 기초 분석 자료'!$B$386</c:f>
              <c:strCache>
                <c:ptCount val="1"/>
                <c:pt idx="0">
                  <c:v>품질개선비</c:v>
                </c:pt>
              </c:strCache>
            </c:strRef>
          </c:tx>
          <c:spPr>
            <a:solidFill>
              <a:schemeClr val="accent1">
                <a:lumMod val="75000"/>
              </a:schemeClr>
            </a:solidFill>
          </c:spPr>
          <c:invertIfNegative val="0"/>
          <c:cat>
            <c:multiLvlStrRef>
              <c:f>'3. 기초 분석 자료'!$C$382:$V$383</c:f>
              <c:multiLvlStrCache>
                <c:ptCount val="20"/>
                <c:lvl>
                  <c:pt idx="0">
                    <c:v>1Q</c:v>
                  </c:pt>
                  <c:pt idx="1">
                    <c:v>2Q</c:v>
                  </c:pt>
                  <c:pt idx="2">
                    <c:v>3Q</c:v>
                  </c:pt>
                  <c:pt idx="3">
                    <c:v>4Q</c:v>
                  </c:pt>
                  <c:pt idx="4">
                    <c:v>1Q</c:v>
                  </c:pt>
                  <c:pt idx="5">
                    <c:v>2Q</c:v>
                  </c:pt>
                  <c:pt idx="6">
                    <c:v>3Q</c:v>
                  </c:pt>
                  <c:pt idx="7">
                    <c:v>4Q</c:v>
                  </c:pt>
                  <c:pt idx="8">
                    <c:v>1Q</c:v>
                  </c:pt>
                  <c:pt idx="9">
                    <c:v>2Q</c:v>
                  </c:pt>
                  <c:pt idx="10">
                    <c:v>3Q</c:v>
                  </c:pt>
                  <c:pt idx="11">
                    <c:v>4Q</c:v>
                  </c:pt>
                  <c:pt idx="12">
                    <c:v>1Q</c:v>
                  </c:pt>
                  <c:pt idx="13">
                    <c:v>2Q</c:v>
                  </c:pt>
                  <c:pt idx="14">
                    <c:v>3Q</c:v>
                  </c:pt>
                  <c:pt idx="15">
                    <c:v>4Q</c:v>
                  </c:pt>
                  <c:pt idx="16">
                    <c:v>1Q</c:v>
                  </c:pt>
                  <c:pt idx="17">
                    <c:v>2Q</c:v>
                  </c:pt>
                  <c:pt idx="18">
                    <c:v>3Q</c:v>
                  </c:pt>
                  <c:pt idx="19">
                    <c:v>4Q</c:v>
                  </c:pt>
                </c:lvl>
                <c:lvl>
                  <c:pt idx="0">
                    <c:v>1차년도</c:v>
                  </c:pt>
                  <c:pt idx="4">
                    <c:v>2차년도</c:v>
                  </c:pt>
                  <c:pt idx="8">
                    <c:v>3차년도</c:v>
                  </c:pt>
                  <c:pt idx="12">
                    <c:v>4차년도</c:v>
                  </c:pt>
                  <c:pt idx="16">
                    <c:v>5차년도</c:v>
                  </c:pt>
                </c:lvl>
              </c:multiLvlStrCache>
            </c:multiLvlStrRef>
          </c:cat>
          <c:val>
            <c:numRef>
              <c:f>'3. 기초 분석 자료'!$C$386:$V$386</c:f>
              <c:numCache>
                <c:formatCode>_(* #,##0_);_(* \(#,##0\);_(* "-"_);_(@_)</c:formatCode>
                <c:ptCount val="20"/>
                <c:pt idx="0">
                  <c:v>640000000</c:v>
                </c:pt>
                <c:pt idx="1">
                  <c:v>640000000</c:v>
                </c:pt>
                <c:pt idx="2">
                  <c:v>640000000</c:v>
                </c:pt>
                <c:pt idx="3">
                  <c:v>640000000</c:v>
                </c:pt>
                <c:pt idx="4">
                  <c:v>640000000</c:v>
                </c:pt>
                <c:pt idx="5">
                  <c:v>640000000</c:v>
                </c:pt>
                <c:pt idx="6">
                  <c:v>640000000</c:v>
                </c:pt>
                <c:pt idx="7">
                  <c:v>640000000</c:v>
                </c:pt>
                <c:pt idx="8">
                  <c:v>640000000</c:v>
                </c:pt>
                <c:pt idx="9">
                  <c:v>640000000</c:v>
                </c:pt>
                <c:pt idx="10">
                  <c:v>640000000</c:v>
                </c:pt>
                <c:pt idx="11">
                  <c:v>640000000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4D5A-46E9-AF90-477C34EE2B96}"/>
            </c:ext>
          </c:extLst>
        </c:ser>
        <c:dLbls>
          <c:showLegendKey val="0"/>
          <c:showVal val="0"/>
          <c:showCatName val="0"/>
          <c:showSerName val="0"/>
          <c:showPercent val="0"/>
          <c:showBubbleSize val="0"/>
        </c:dLbls>
        <c:gapWidth val="150"/>
        <c:axId val="2143098432"/>
        <c:axId val="1"/>
      </c:barChart>
      <c:lineChart>
        <c:grouping val="standard"/>
        <c:varyColors val="0"/>
        <c:ser>
          <c:idx val="0"/>
          <c:order val="0"/>
          <c:tx>
            <c:strRef>
              <c:f>'3. 기초 분석 자료'!$B$384</c:f>
              <c:strCache>
                <c:ptCount val="1"/>
                <c:pt idx="0">
                  <c:v> 생산량</c:v>
                </c:pt>
              </c:strCache>
            </c:strRef>
          </c:tx>
          <c:dLbls>
            <c:dLbl>
              <c:idx val="0"/>
              <c:layout>
                <c:manualLayout>
                  <c:x val="-2.4047658293000866E-3"/>
                  <c:y val="3.9233171698157834E-2"/>
                </c:manualLayout>
              </c:layout>
              <c:spPr/>
              <c:txPr>
                <a:bodyPr/>
                <a:lstStyle/>
                <a:p>
                  <a:pPr>
                    <a:defRPr sz="1050"/>
                  </a:pPr>
                  <a:endParaRPr lang="ko-KR"/>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D5A-46E9-AF90-477C34EE2B96}"/>
                </c:ext>
              </c:extLst>
            </c:dLbl>
            <c:dLbl>
              <c:idx val="1"/>
              <c:delete val="1"/>
              <c:extLst>
                <c:ext xmlns:c15="http://schemas.microsoft.com/office/drawing/2012/chart" uri="{CE6537A1-D6FC-4f65-9D91-7224C49458BB}"/>
                <c:ext xmlns:c16="http://schemas.microsoft.com/office/drawing/2014/chart" uri="{C3380CC4-5D6E-409C-BE32-E72D297353CC}">
                  <c16:uniqueId val="{00000002-4D5A-46E9-AF90-477C34EE2B96}"/>
                </c:ext>
              </c:extLst>
            </c:dLbl>
            <c:dLbl>
              <c:idx val="3"/>
              <c:delete val="1"/>
              <c:extLst>
                <c:ext xmlns:c15="http://schemas.microsoft.com/office/drawing/2012/chart" uri="{CE6537A1-D6FC-4f65-9D91-7224C49458BB}"/>
                <c:ext xmlns:c16="http://schemas.microsoft.com/office/drawing/2014/chart" uri="{C3380CC4-5D6E-409C-BE32-E72D297353CC}">
                  <c16:uniqueId val="{00000003-4D5A-46E9-AF90-477C34EE2B96}"/>
                </c:ext>
              </c:extLst>
            </c:dLbl>
            <c:dLbl>
              <c:idx val="4"/>
              <c:layout>
                <c:manualLayout>
                  <c:x val="0"/>
                  <c:y val="-2.615544779877196E-2"/>
                </c:manualLayout>
              </c:layout>
              <c:spPr/>
              <c:txPr>
                <a:bodyPr/>
                <a:lstStyle/>
                <a:p>
                  <a:pPr>
                    <a:defRPr sz="1050"/>
                  </a:pPr>
                  <a:endParaRPr lang="ko-KR"/>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D5A-46E9-AF90-477C34EE2B96}"/>
                </c:ext>
              </c:extLst>
            </c:dLbl>
            <c:dLbl>
              <c:idx val="5"/>
              <c:delete val="1"/>
              <c:extLst>
                <c:ext xmlns:c15="http://schemas.microsoft.com/office/drawing/2012/chart" uri="{CE6537A1-D6FC-4f65-9D91-7224C49458BB}"/>
                <c:ext xmlns:c16="http://schemas.microsoft.com/office/drawing/2014/chart" uri="{C3380CC4-5D6E-409C-BE32-E72D297353CC}">
                  <c16:uniqueId val="{00000005-4D5A-46E9-AF90-477C34EE2B96}"/>
                </c:ext>
              </c:extLst>
            </c:dLbl>
            <c:dLbl>
              <c:idx val="6"/>
              <c:delete val="1"/>
              <c:extLst>
                <c:ext xmlns:c15="http://schemas.microsoft.com/office/drawing/2012/chart" uri="{CE6537A1-D6FC-4f65-9D91-7224C49458BB}"/>
                <c:ext xmlns:c16="http://schemas.microsoft.com/office/drawing/2014/chart" uri="{C3380CC4-5D6E-409C-BE32-E72D297353CC}">
                  <c16:uniqueId val="{00000006-4D5A-46E9-AF90-477C34EE2B96}"/>
                </c:ext>
              </c:extLst>
            </c:dLbl>
            <c:dLbl>
              <c:idx val="7"/>
              <c:layout>
                <c:manualLayout>
                  <c:x val="0"/>
                  <c:y val="-2.615544779877196E-2"/>
                </c:manualLayout>
              </c:layout>
              <c:spPr/>
              <c:txPr>
                <a:bodyPr/>
                <a:lstStyle/>
                <a:p>
                  <a:pPr>
                    <a:defRPr sz="1050"/>
                  </a:pPr>
                  <a:endParaRPr lang="ko-KR"/>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D5A-46E9-AF90-477C34EE2B96}"/>
                </c:ext>
              </c:extLst>
            </c:dLbl>
            <c:dLbl>
              <c:idx val="8"/>
              <c:delete val="1"/>
              <c:extLst>
                <c:ext xmlns:c15="http://schemas.microsoft.com/office/drawing/2012/chart" uri="{CE6537A1-D6FC-4f65-9D91-7224C49458BB}"/>
                <c:ext xmlns:c16="http://schemas.microsoft.com/office/drawing/2014/chart" uri="{C3380CC4-5D6E-409C-BE32-E72D297353CC}">
                  <c16:uniqueId val="{00000008-4D5A-46E9-AF90-477C34EE2B96}"/>
                </c:ext>
              </c:extLst>
            </c:dLbl>
            <c:dLbl>
              <c:idx val="10"/>
              <c:delete val="1"/>
              <c:extLst>
                <c:ext xmlns:c15="http://schemas.microsoft.com/office/drawing/2012/chart" uri="{CE6537A1-D6FC-4f65-9D91-7224C49458BB}"/>
                <c:ext xmlns:c16="http://schemas.microsoft.com/office/drawing/2014/chart" uri="{C3380CC4-5D6E-409C-BE32-E72D297353CC}">
                  <c16:uniqueId val="{00000009-4D5A-46E9-AF90-477C34EE2B96}"/>
                </c:ext>
              </c:extLst>
            </c:dLbl>
            <c:spPr>
              <a:noFill/>
              <a:ln w="25400">
                <a:noFill/>
              </a:ln>
            </c:spPr>
            <c:txPr>
              <a:bodyPr/>
              <a:lstStyle/>
              <a:p>
                <a:pPr>
                  <a:defRPr sz="1050"/>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'3. 기초 분석 자료'!$C$360:$V$361</c:f>
              <c:multiLvlStrCache>
                <c:ptCount val="20"/>
                <c:lvl>
                  <c:pt idx="0">
                    <c:v>1Q</c:v>
                  </c:pt>
                  <c:pt idx="1">
                    <c:v>2Q</c:v>
                  </c:pt>
                  <c:pt idx="2">
                    <c:v>3Q</c:v>
                  </c:pt>
                  <c:pt idx="3">
                    <c:v>4Q</c:v>
                  </c:pt>
                  <c:pt idx="4">
                    <c:v>1Q</c:v>
                  </c:pt>
                  <c:pt idx="5">
                    <c:v>2Q</c:v>
                  </c:pt>
                  <c:pt idx="6">
                    <c:v>3Q</c:v>
                  </c:pt>
                  <c:pt idx="7">
                    <c:v>4Q</c:v>
                  </c:pt>
                  <c:pt idx="8">
                    <c:v>1Q</c:v>
                  </c:pt>
                  <c:pt idx="9">
                    <c:v>2Q</c:v>
                  </c:pt>
                  <c:pt idx="10">
                    <c:v>3Q</c:v>
                  </c:pt>
                  <c:pt idx="11">
                    <c:v>4Q</c:v>
                  </c:pt>
                  <c:pt idx="12">
                    <c:v>1Q</c:v>
                  </c:pt>
                  <c:pt idx="13">
                    <c:v>2Q</c:v>
                  </c:pt>
                  <c:pt idx="14">
                    <c:v>3Q</c:v>
                  </c:pt>
                  <c:pt idx="15">
                    <c:v>4Q</c:v>
                  </c:pt>
                  <c:pt idx="16">
                    <c:v>1Q</c:v>
                  </c:pt>
                  <c:pt idx="17">
                    <c:v>2Q</c:v>
                  </c:pt>
                  <c:pt idx="18">
                    <c:v>3Q</c:v>
                  </c:pt>
                  <c:pt idx="19">
                    <c:v>4Q</c:v>
                  </c:pt>
                </c:lvl>
                <c:lvl>
                  <c:pt idx="0">
                    <c:v>1차년도</c:v>
                  </c:pt>
                  <c:pt idx="4">
                    <c:v>2차년도</c:v>
                  </c:pt>
                  <c:pt idx="8">
                    <c:v>3차년도</c:v>
                  </c:pt>
                  <c:pt idx="12">
                    <c:v>4차년도</c:v>
                  </c:pt>
                  <c:pt idx="16">
                    <c:v>5차년도</c:v>
                  </c:pt>
                </c:lvl>
              </c:multiLvlStrCache>
            </c:multiLvlStrRef>
          </c:cat>
          <c:val>
            <c:numRef>
              <c:f>'3. 기초 분석 자료'!$C$384:$V$384</c:f>
              <c:numCache>
                <c:formatCode>_(* #,##0_);_(* \(#,##0\);_(* "-"_);_(@_)</c:formatCode>
                <c:ptCount val="20"/>
                <c:pt idx="0">
                  <c:v>83166</c:v>
                </c:pt>
                <c:pt idx="1">
                  <c:v>86561</c:v>
                </c:pt>
                <c:pt idx="2">
                  <c:v>98841</c:v>
                </c:pt>
                <c:pt idx="3">
                  <c:v>100838</c:v>
                </c:pt>
                <c:pt idx="4">
                  <c:v>89689</c:v>
                </c:pt>
                <c:pt idx="5">
                  <c:v>108201</c:v>
                </c:pt>
                <c:pt idx="6">
                  <c:v>121846</c:v>
                </c:pt>
                <c:pt idx="7">
                  <c:v>128679</c:v>
                </c:pt>
                <c:pt idx="8">
                  <c:v>122351</c:v>
                </c:pt>
                <c:pt idx="9">
                  <c:v>137532</c:v>
                </c:pt>
                <c:pt idx="10">
                  <c:v>130020</c:v>
                </c:pt>
                <c:pt idx="11">
                  <c:v>136080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A-4D5A-46E9-AF90-477C34EE2B96}"/>
            </c:ext>
          </c:extLst>
        </c:ser>
        <c:dLbls>
          <c:showLegendKey val="0"/>
          <c:showVal val="0"/>
          <c:showCatName val="0"/>
          <c:showSerName val="0"/>
          <c:showPercent val="0"/>
          <c:showBubbleSize val="0"/>
        </c:dLbls>
        <c:marker val="1"/>
        <c:smooth val="0"/>
        <c:axId val="3"/>
        <c:axId val="4"/>
      </c:lineChart>
      <c:catAx>
        <c:axId val="2143098432"/>
        <c:scaling>
          <c:orientation val="minMax"/>
        </c:scaling>
        <c:delete val="0"/>
        <c:axPos val="b"/>
        <c:numFmt formatCode="General" sourceLinked="1"/>
        <c:majorTickMark val="out"/>
        <c:minorTickMark val="none"/>
        <c:tickLblPos val="nextTo"/>
        <c:crossAx val="1"/>
        <c:crosses val="autoZero"/>
        <c:auto val="1"/>
        <c:lblAlgn val="ctr"/>
        <c:lblOffset val="100"/>
        <c:noMultiLvlLbl val="0"/>
      </c:catAx>
      <c:valAx>
        <c:axId val="1"/>
        <c:scaling>
          <c:orientation val="minMax"/>
          <c:min val="1000000000"/>
        </c:scaling>
        <c:delete val="0"/>
        <c:axPos val="l"/>
        <c:majorGridlines/>
        <c:title>
          <c:tx>
            <c:rich>
              <a:bodyPr rot="0" vert="wordArtVertRtl"/>
              <a:lstStyle/>
              <a:p>
                <a:pPr>
                  <a:defRPr/>
                </a:pPr>
                <a:r>
                  <a:rPr lang="ko-KR" altLang="en-US"/>
                  <a:t>품질개선비</a:t>
                </a:r>
              </a:p>
            </c:rich>
          </c:tx>
          <c:overlay val="0"/>
          <c:spPr>
            <a:solidFill>
              <a:schemeClr val="accent5">
                <a:lumMod val="20000"/>
                <a:lumOff val="80000"/>
              </a:schemeClr>
            </a:solidFill>
          </c:spPr>
        </c:title>
        <c:numFmt formatCode="_(* #,##0_);_(* \(#,##0\);_(* &quot;-&quot;_);_(@_)" sourceLinked="1"/>
        <c:majorTickMark val="out"/>
        <c:minorTickMark val="none"/>
        <c:tickLblPos val="nextTo"/>
        <c:crossAx val="2143098432"/>
        <c:crosses val="autoZero"/>
        <c:crossBetween val="between"/>
      </c:valAx>
      <c:catAx>
        <c:axId val="3"/>
        <c:scaling>
          <c:orientation val="minMax"/>
        </c:scaling>
        <c:delete val="1"/>
        <c:axPos val="b"/>
        <c:numFmt formatCode="General" sourceLinked="1"/>
        <c:majorTickMark val="out"/>
        <c:minorTickMark val="none"/>
        <c:tickLblPos val="nextTo"/>
        <c:crossAx val="4"/>
        <c:crosses val="autoZero"/>
        <c:auto val="1"/>
        <c:lblAlgn val="ctr"/>
        <c:lblOffset val="100"/>
        <c:noMultiLvlLbl val="0"/>
      </c:catAx>
      <c:valAx>
        <c:axId val="4"/>
        <c:scaling>
          <c:orientation val="minMax"/>
        </c:scaling>
        <c:delete val="0"/>
        <c:axPos val="r"/>
        <c:title>
          <c:tx>
            <c:rich>
              <a:bodyPr rot="0" vert="wordArtVert"/>
              <a:lstStyle/>
              <a:p>
                <a:pPr algn="ctr">
                  <a:defRPr sz="1000" b="0" i="0" u="none" strike="noStrike" baseline="0">
                    <a:solidFill>
                      <a:srgbClr val="000000"/>
                    </a:solidFill>
                    <a:latin typeface="맑은 고딕"/>
                    <a:ea typeface="맑은 고딕"/>
                    <a:cs typeface="맑은 고딕"/>
                  </a:defRPr>
                </a:pPr>
                <a:r>
                  <a:rPr lang="en-US" sz="1000" b="1" i="0" u="none" strike="noStrike" baseline="0">
                    <a:solidFill>
                      <a:srgbClr val="000000"/>
                    </a:solidFill>
                    <a:latin typeface="맑은 고딕"/>
                    <a:ea typeface="맑은 고딕"/>
                  </a:rPr>
                  <a:t>라인당 생산량</a:t>
                </a:r>
              </a:p>
            </c:rich>
          </c:tx>
          <c:overlay val="0"/>
          <c:spPr>
            <a:solidFill>
              <a:schemeClr val="accent5">
                <a:lumMod val="20000"/>
                <a:lumOff val="80000"/>
              </a:schemeClr>
            </a:solidFill>
          </c:spPr>
        </c:title>
        <c:numFmt formatCode="_(* #,##0_);_(* \(#,##0\);_(* &quot;-&quot;_);_(@_)" sourceLinked="1"/>
        <c:majorTickMark val="out"/>
        <c:minorTickMark val="none"/>
        <c:tickLblPos val="nextTo"/>
        <c:crossAx val="3"/>
        <c:crosses val="max"/>
        <c:crossBetween val="between"/>
      </c:valAx>
    </c:plotArea>
    <c:legend>
      <c:legendPos val="r"/>
      <c:layout>
        <c:manualLayout>
          <c:xMode val="edge"/>
          <c:yMode val="edge"/>
          <c:x val="0.391021455273381"/>
          <c:y val="0.92174719545110917"/>
          <c:w val="0.21713989707155215"/>
          <c:h val="6.0608034769388003E-2"/>
        </c:manualLayout>
      </c:layout>
      <c:overlay val="0"/>
    </c:legend>
    <c:plotVisOnly val="1"/>
    <c:dispBlanksAs val="gap"/>
    <c:showDLblsOverMax val="0"/>
  </c:chart>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맑은 고딕"/>
                <a:ea typeface="맑은 고딕"/>
                <a:cs typeface="맑은 고딕"/>
              </a:defRPr>
            </a:pPr>
            <a:r>
              <a:rPr lang="en-US" sz="1400" b="1" i="0" u="none" strike="noStrike" baseline="0">
                <a:solidFill>
                  <a:srgbClr val="000000"/>
                </a:solidFill>
                <a:latin typeface="맑은 고딕"/>
                <a:ea typeface="맑은 고딕"/>
              </a:rPr>
              <a:t>영업직원수와 판매량 변화 (한국)</a:t>
            </a:r>
          </a:p>
        </c:rich>
      </c:tx>
      <c:overlay val="0"/>
    </c:title>
    <c:autoTitleDeleted val="0"/>
    <c:plotArea>
      <c:layout/>
      <c:barChart>
        <c:barDir val="col"/>
        <c:grouping val="clustered"/>
        <c:varyColors val="0"/>
        <c:ser>
          <c:idx val="1"/>
          <c:order val="1"/>
          <c:tx>
            <c:v>판매량</c:v>
          </c:tx>
          <c:spPr>
            <a:solidFill>
              <a:schemeClr val="accent1">
                <a:lumMod val="75000"/>
              </a:schemeClr>
            </a:solidFill>
          </c:spPr>
          <c:invertIfNegative val="0"/>
          <c:val>
            <c:numRef>
              <c:f>'3. 기초 분석 자료'!$C$232:$V$232</c:f>
              <c:numCache>
                <c:formatCode>_(* #,##0_);_(* \(#,##0\);_(* "-"_);_(@_)</c:formatCode>
                <c:ptCount val="20"/>
                <c:pt idx="0">
                  <c:v>38739</c:v>
                </c:pt>
                <c:pt idx="1">
                  <c:v>49455</c:v>
                </c:pt>
                <c:pt idx="2">
                  <c:v>46095</c:v>
                </c:pt>
                <c:pt idx="3">
                  <c:v>53923</c:v>
                </c:pt>
                <c:pt idx="4">
                  <c:v>38959</c:v>
                </c:pt>
                <c:pt idx="5">
                  <c:v>59451</c:v>
                </c:pt>
                <c:pt idx="6">
                  <c:v>53746</c:v>
                </c:pt>
                <c:pt idx="7">
                  <c:v>73267</c:v>
                </c:pt>
                <c:pt idx="8">
                  <c:v>65552</c:v>
                </c:pt>
                <c:pt idx="9">
                  <c:v>80232</c:v>
                </c:pt>
                <c:pt idx="10">
                  <c:v>69981</c:v>
                </c:pt>
                <c:pt idx="11">
                  <c:v>66680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9A8B-4EDE-93EB-E4F82AA50BA8}"/>
            </c:ext>
          </c:extLst>
        </c:ser>
        <c:dLbls>
          <c:showLegendKey val="0"/>
          <c:showVal val="0"/>
          <c:showCatName val="0"/>
          <c:showSerName val="0"/>
          <c:showPercent val="0"/>
          <c:showBubbleSize val="0"/>
        </c:dLbls>
        <c:gapWidth val="150"/>
        <c:axId val="3"/>
        <c:axId val="4"/>
      </c:barChart>
      <c:lineChart>
        <c:grouping val="standard"/>
        <c:varyColors val="0"/>
        <c:ser>
          <c:idx val="0"/>
          <c:order val="0"/>
          <c:tx>
            <c:strRef>
              <c:f>'3. 기초 분석 자료'!$B$231</c:f>
              <c:strCache>
                <c:ptCount val="1"/>
                <c:pt idx="0">
                  <c:v>영업직원 수</c:v>
                </c:pt>
              </c:strCache>
            </c:strRef>
          </c:tx>
          <c:spPr>
            <a:ln>
              <a:solidFill>
                <a:schemeClr val="accent2">
                  <a:lumMod val="75000"/>
                </a:schemeClr>
              </a:solidFill>
            </a:ln>
          </c:spPr>
          <c:marker>
            <c:spPr>
              <a:solidFill>
                <a:schemeClr val="accent2">
                  <a:lumMod val="50000"/>
                </a:schemeClr>
              </a:solidFill>
            </c:spPr>
          </c:marker>
          <c:dLbls>
            <c:dLbl>
              <c:idx val="0"/>
              <c:delete val="1"/>
              <c:extLst>
                <c:ext xmlns:c15="http://schemas.microsoft.com/office/drawing/2012/chart" uri="{CE6537A1-D6FC-4f65-9D91-7224C49458BB}"/>
                <c:ext xmlns:c16="http://schemas.microsoft.com/office/drawing/2014/chart" uri="{C3380CC4-5D6E-409C-BE32-E72D297353CC}">
                  <c16:uniqueId val="{00000001-9A8B-4EDE-93EB-E4F82AA50BA8}"/>
                </c:ext>
              </c:extLst>
            </c:dLbl>
            <c:dLbl>
              <c:idx val="2"/>
              <c:delete val="1"/>
              <c:extLst>
                <c:ext xmlns:c15="http://schemas.microsoft.com/office/drawing/2012/chart" uri="{CE6537A1-D6FC-4f65-9D91-7224C49458BB}"/>
                <c:ext xmlns:c16="http://schemas.microsoft.com/office/drawing/2014/chart" uri="{C3380CC4-5D6E-409C-BE32-E72D297353CC}">
                  <c16:uniqueId val="{00000002-9A8B-4EDE-93EB-E4F82AA50BA8}"/>
                </c:ext>
              </c:extLst>
            </c:dLbl>
            <c:dLbl>
              <c:idx val="4"/>
              <c:delete val="1"/>
              <c:extLst>
                <c:ext xmlns:c15="http://schemas.microsoft.com/office/drawing/2012/chart" uri="{CE6537A1-D6FC-4f65-9D91-7224C49458BB}"/>
                <c:ext xmlns:c16="http://schemas.microsoft.com/office/drawing/2014/chart" uri="{C3380CC4-5D6E-409C-BE32-E72D297353CC}">
                  <c16:uniqueId val="{00000003-9A8B-4EDE-93EB-E4F82AA50BA8}"/>
                </c:ext>
              </c:extLst>
            </c:dLbl>
            <c:dLbl>
              <c:idx val="6"/>
              <c:delete val="1"/>
              <c:extLst>
                <c:ext xmlns:c15="http://schemas.microsoft.com/office/drawing/2012/chart" uri="{CE6537A1-D6FC-4f65-9D91-7224C49458BB}"/>
                <c:ext xmlns:c16="http://schemas.microsoft.com/office/drawing/2014/chart" uri="{C3380CC4-5D6E-409C-BE32-E72D297353CC}">
                  <c16:uniqueId val="{00000004-9A8B-4EDE-93EB-E4F82AA50BA8}"/>
                </c:ext>
              </c:extLst>
            </c:dLbl>
            <c:dLbl>
              <c:idx val="8"/>
              <c:delete val="1"/>
              <c:extLst>
                <c:ext xmlns:c15="http://schemas.microsoft.com/office/drawing/2012/chart" uri="{CE6537A1-D6FC-4f65-9D91-7224C49458BB}"/>
                <c:ext xmlns:c16="http://schemas.microsoft.com/office/drawing/2014/chart" uri="{C3380CC4-5D6E-409C-BE32-E72D297353CC}">
                  <c16:uniqueId val="{00000005-9A8B-4EDE-93EB-E4F82AA50BA8}"/>
                </c:ext>
              </c:extLst>
            </c:dLbl>
            <c:dLbl>
              <c:idx val="10"/>
              <c:delete val="1"/>
              <c:extLst>
                <c:ext xmlns:c15="http://schemas.microsoft.com/office/drawing/2012/chart" uri="{CE6537A1-D6FC-4f65-9D91-7224C49458BB}"/>
                <c:ext xmlns:c16="http://schemas.microsoft.com/office/drawing/2014/chart" uri="{C3380CC4-5D6E-409C-BE32-E72D297353CC}">
                  <c16:uniqueId val="{00000006-9A8B-4EDE-93EB-E4F82AA50BA8}"/>
                </c:ext>
              </c:extLst>
            </c:dLbl>
            <c:spPr>
              <a:solidFill>
                <a:sysClr val="window" lastClr="FFFFFF"/>
              </a:solidFill>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'3. 기초 분석 자료'!$C$36:$V$37</c:f>
              <c:multiLvlStrCache>
                <c:ptCount val="20"/>
                <c:lvl>
                  <c:pt idx="0">
                    <c:v>1Q</c:v>
                  </c:pt>
                  <c:pt idx="1">
                    <c:v>2Q</c:v>
                  </c:pt>
                  <c:pt idx="2">
                    <c:v>3Q</c:v>
                  </c:pt>
                  <c:pt idx="3">
                    <c:v>4Q</c:v>
                  </c:pt>
                  <c:pt idx="4">
                    <c:v>1Q</c:v>
                  </c:pt>
                  <c:pt idx="5">
                    <c:v>2Q</c:v>
                  </c:pt>
                  <c:pt idx="6">
                    <c:v>3Q</c:v>
                  </c:pt>
                  <c:pt idx="7">
                    <c:v>4Q</c:v>
                  </c:pt>
                  <c:pt idx="8">
                    <c:v>1Q</c:v>
                  </c:pt>
                  <c:pt idx="9">
                    <c:v>2Q</c:v>
                  </c:pt>
                  <c:pt idx="10">
                    <c:v>3Q</c:v>
                  </c:pt>
                  <c:pt idx="11">
                    <c:v>4Q</c:v>
                  </c:pt>
                  <c:pt idx="12">
                    <c:v>1Q</c:v>
                  </c:pt>
                  <c:pt idx="13">
                    <c:v>2Q</c:v>
                  </c:pt>
                  <c:pt idx="14">
                    <c:v>3Q</c:v>
                  </c:pt>
                  <c:pt idx="15">
                    <c:v>4Q</c:v>
                  </c:pt>
                  <c:pt idx="16">
                    <c:v>1Q</c:v>
                  </c:pt>
                  <c:pt idx="17">
                    <c:v>2Q</c:v>
                  </c:pt>
                  <c:pt idx="18">
                    <c:v>3Q</c:v>
                  </c:pt>
                  <c:pt idx="19">
                    <c:v>4Q</c:v>
                  </c:pt>
                </c:lvl>
                <c:lvl>
                  <c:pt idx="0">
                    <c:v>1차년도</c:v>
                  </c:pt>
                  <c:pt idx="4">
                    <c:v>2차년도</c:v>
                  </c:pt>
                  <c:pt idx="8">
                    <c:v>3차년도</c:v>
                  </c:pt>
                  <c:pt idx="12">
                    <c:v>4차년도</c:v>
                  </c:pt>
                  <c:pt idx="16">
                    <c:v>5차년도</c:v>
                  </c:pt>
                </c:lvl>
              </c:multiLvlStrCache>
            </c:multiLvlStrRef>
          </c:cat>
          <c:val>
            <c:numRef>
              <c:f>'3. 기초 분석 자료'!$C$231:$V$231</c:f>
              <c:numCache>
                <c:formatCode>_(* #,##0_);_(* \(#,##0\);_(* "-"_);_(@_)</c:formatCode>
                <c:ptCount val="20"/>
                <c:pt idx="0">
                  <c:v>104</c:v>
                </c:pt>
                <c:pt idx="1">
                  <c:v>122</c:v>
                </c:pt>
                <c:pt idx="2">
                  <c:v>128</c:v>
                </c:pt>
                <c:pt idx="3">
                  <c:v>145</c:v>
                </c:pt>
                <c:pt idx="4">
                  <c:v>168</c:v>
                </c:pt>
                <c:pt idx="5">
                  <c:v>181</c:v>
                </c:pt>
                <c:pt idx="6">
                  <c:v>193</c:v>
                </c:pt>
                <c:pt idx="7">
                  <c:v>209</c:v>
                </c:pt>
                <c:pt idx="8">
                  <c:v>224</c:v>
                </c:pt>
                <c:pt idx="9">
                  <c:v>233</c:v>
                </c:pt>
                <c:pt idx="10">
                  <c:v>243</c:v>
                </c:pt>
                <c:pt idx="11">
                  <c:v>250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7-9A8B-4EDE-93EB-E4F82AA50BA8}"/>
            </c:ext>
          </c:extLst>
        </c:ser>
        <c:dLbls>
          <c:showLegendKey val="0"/>
          <c:showVal val="0"/>
          <c:showCatName val="0"/>
          <c:showSerName val="0"/>
          <c:showPercent val="0"/>
          <c:showBubbleSize val="0"/>
        </c:dLbls>
        <c:marker val="1"/>
        <c:smooth val="0"/>
        <c:axId val="2143084432"/>
        <c:axId val="1"/>
      </c:lineChart>
      <c:catAx>
        <c:axId val="2143084432"/>
        <c:scaling>
          <c:orientation val="minMax"/>
        </c:scaling>
        <c:delete val="0"/>
        <c:axPos val="b"/>
        <c:numFmt formatCode="General" sourceLinked="1"/>
        <c:majorTickMark val="out"/>
        <c:minorTickMark val="none"/>
        <c:tickLblPos val="nextTo"/>
        <c:crossAx val="1"/>
        <c:crosses val="autoZero"/>
        <c:auto val="1"/>
        <c:lblAlgn val="ctr"/>
        <c:lblOffset val="100"/>
        <c:noMultiLvlLbl val="0"/>
      </c:catAx>
      <c:valAx>
        <c:axId val="1"/>
        <c:scaling>
          <c:orientation val="minMax"/>
        </c:scaling>
        <c:delete val="0"/>
        <c:axPos val="l"/>
        <c:majorGridlines/>
        <c:title>
          <c:tx>
            <c:rich>
              <a:bodyPr rot="0" vert="wordArtVert"/>
              <a:lstStyle/>
              <a:p>
                <a:pPr algn="ctr">
                  <a:defRPr sz="1100" b="0" i="0" u="none" strike="noStrike" baseline="0">
                    <a:solidFill>
                      <a:srgbClr val="000000"/>
                    </a:solidFill>
                    <a:latin typeface="맑은 고딕"/>
                    <a:ea typeface="맑은 고딕"/>
                    <a:cs typeface="맑은 고딕"/>
                  </a:defRPr>
                </a:pPr>
                <a:r>
                  <a:rPr lang="en-US" sz="1000" b="1" i="0" u="none" strike="noStrike" baseline="0">
                    <a:solidFill>
                      <a:srgbClr val="000000"/>
                    </a:solidFill>
                    <a:latin typeface="맑은 고딕"/>
                    <a:ea typeface="맑은 고딕"/>
                  </a:rPr>
                  <a:t>한국 영업직원수</a:t>
                </a:r>
              </a:p>
            </c:rich>
          </c:tx>
          <c:overlay val="0"/>
          <c:spPr>
            <a:solidFill>
              <a:schemeClr val="accent1">
                <a:lumMod val="20000"/>
                <a:lumOff val="80000"/>
              </a:schemeClr>
            </a:solidFill>
          </c:spPr>
        </c:title>
        <c:numFmt formatCode="_(* #,##0_);_(* \(#,##0\);_(* &quot;-&quot;_);_(@_)" sourceLinked="1"/>
        <c:majorTickMark val="out"/>
        <c:minorTickMark val="none"/>
        <c:tickLblPos val="nextTo"/>
        <c:crossAx val="2143084432"/>
        <c:crosses val="autoZero"/>
        <c:crossBetween val="between"/>
      </c:valAx>
      <c:catAx>
        <c:axId val="3"/>
        <c:scaling>
          <c:orientation val="minMax"/>
        </c:scaling>
        <c:delete val="1"/>
        <c:axPos val="b"/>
        <c:majorTickMark val="out"/>
        <c:minorTickMark val="none"/>
        <c:tickLblPos val="nextTo"/>
        <c:crossAx val="4"/>
        <c:crosses val="autoZero"/>
        <c:auto val="1"/>
        <c:lblAlgn val="ctr"/>
        <c:lblOffset val="100"/>
        <c:noMultiLvlLbl val="0"/>
      </c:catAx>
      <c:valAx>
        <c:axId val="4"/>
        <c:scaling>
          <c:orientation val="minMax"/>
        </c:scaling>
        <c:delete val="0"/>
        <c:axPos val="r"/>
        <c:title>
          <c:tx>
            <c:rich>
              <a:bodyPr rot="0" vert="wordArtVertRtl"/>
              <a:lstStyle/>
              <a:p>
                <a:pPr>
                  <a:defRPr/>
                </a:pPr>
                <a:r>
                  <a:rPr lang="ko-KR" altLang="en-US"/>
                  <a:t>판매량</a:t>
                </a:r>
              </a:p>
            </c:rich>
          </c:tx>
          <c:overlay val="0"/>
          <c:spPr>
            <a:solidFill>
              <a:schemeClr val="accent1">
                <a:lumMod val="20000"/>
                <a:lumOff val="80000"/>
              </a:schemeClr>
            </a:solidFill>
          </c:spPr>
        </c:title>
        <c:numFmt formatCode="_(* #,##0_);_(* \(#,##0\);_(* &quot;-&quot;_);_(@_)" sourceLinked="1"/>
        <c:majorTickMark val="out"/>
        <c:minorTickMark val="none"/>
        <c:tickLblPos val="nextTo"/>
        <c:crossAx val="3"/>
        <c:crosses val="max"/>
        <c:crossBetween val="between"/>
      </c:valAx>
    </c:plotArea>
    <c:legend>
      <c:legendPos val="r"/>
      <c:layout>
        <c:manualLayout>
          <c:xMode val="edge"/>
          <c:yMode val="edge"/>
          <c:x val="0.36725728253492629"/>
          <c:y val="0.92066569297805811"/>
          <c:w val="0.25807268502454284"/>
          <c:h val="6.3494185722624691E-2"/>
        </c:manualLayout>
      </c:layout>
      <c:overlay val="0"/>
    </c:legend>
    <c:plotVisOnly val="1"/>
    <c:dispBlanksAs val="gap"/>
    <c:showDLblsOverMax val="0"/>
  </c:chart>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맑은 고딕"/>
                <a:ea typeface="맑은 고딕"/>
                <a:cs typeface="맑은 고딕"/>
              </a:defRPr>
            </a:pPr>
            <a:r>
              <a:rPr lang="en-US" sz="1400" b="1" i="0" u="none" strike="noStrike" baseline="0">
                <a:solidFill>
                  <a:srgbClr val="000000"/>
                </a:solidFill>
                <a:latin typeface="맑은 고딕"/>
                <a:ea typeface="맑은 고딕"/>
              </a:rPr>
              <a:t>영업직원수와 판매량 변화 (미국)</a:t>
            </a:r>
          </a:p>
        </c:rich>
      </c:tx>
      <c:overlay val="0"/>
    </c:title>
    <c:autoTitleDeleted val="0"/>
    <c:plotArea>
      <c:layout/>
      <c:barChart>
        <c:barDir val="col"/>
        <c:grouping val="clustered"/>
        <c:varyColors val="0"/>
        <c:ser>
          <c:idx val="1"/>
          <c:order val="1"/>
          <c:tx>
            <c:v>판매량</c:v>
          </c:tx>
          <c:spPr>
            <a:solidFill>
              <a:srgbClr val="FFC000"/>
            </a:solidFill>
          </c:spPr>
          <c:invertIfNegative val="0"/>
          <c:val>
            <c:numRef>
              <c:f>'3. 기초 분석 자료'!$C$234:$V$234</c:f>
              <c:numCache>
                <c:formatCode>_(* #,##0_);_(* \(#,##0\);_(* "-"_);_(@_)</c:formatCode>
                <c:ptCount val="20"/>
                <c:pt idx="0">
                  <c:v>23963</c:v>
                </c:pt>
                <c:pt idx="1">
                  <c:v>32381</c:v>
                </c:pt>
                <c:pt idx="2">
                  <c:v>34739</c:v>
                </c:pt>
                <c:pt idx="3">
                  <c:v>39025</c:v>
                </c:pt>
                <c:pt idx="4">
                  <c:v>34074</c:v>
                </c:pt>
                <c:pt idx="5">
                  <c:v>39074</c:v>
                </c:pt>
                <c:pt idx="6">
                  <c:v>39354</c:v>
                </c:pt>
                <c:pt idx="7">
                  <c:v>40033</c:v>
                </c:pt>
                <c:pt idx="8">
                  <c:v>33564</c:v>
                </c:pt>
                <c:pt idx="9">
                  <c:v>36277</c:v>
                </c:pt>
                <c:pt idx="10">
                  <c:v>33702</c:v>
                </c:pt>
                <c:pt idx="11">
                  <c:v>32680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7ED9-48D5-BFBB-6A9CF6D79BE2}"/>
            </c:ext>
          </c:extLst>
        </c:ser>
        <c:dLbls>
          <c:showLegendKey val="0"/>
          <c:showVal val="0"/>
          <c:showCatName val="0"/>
          <c:showSerName val="0"/>
          <c:showPercent val="0"/>
          <c:showBubbleSize val="0"/>
        </c:dLbls>
        <c:gapWidth val="150"/>
        <c:axId val="3"/>
        <c:axId val="4"/>
      </c:barChart>
      <c:lineChart>
        <c:grouping val="standard"/>
        <c:varyColors val="0"/>
        <c:ser>
          <c:idx val="0"/>
          <c:order val="0"/>
          <c:tx>
            <c:strRef>
              <c:f>'3. 기초 분석 자료'!$B$233</c:f>
              <c:strCache>
                <c:ptCount val="1"/>
                <c:pt idx="0">
                  <c:v>영업직원 수</c:v>
                </c:pt>
              </c:strCache>
            </c:strRef>
          </c:tx>
          <c:spPr>
            <a:ln>
              <a:solidFill>
                <a:schemeClr val="accent2">
                  <a:lumMod val="75000"/>
                </a:schemeClr>
              </a:solidFill>
            </a:ln>
          </c:spPr>
          <c:marker>
            <c:spPr>
              <a:solidFill>
                <a:schemeClr val="accent2">
                  <a:lumMod val="50000"/>
                </a:schemeClr>
              </a:solidFill>
            </c:spPr>
          </c:marker>
          <c:dLbls>
            <c:dLbl>
              <c:idx val="1"/>
              <c:delete val="1"/>
              <c:extLst>
                <c:ext xmlns:c15="http://schemas.microsoft.com/office/drawing/2012/chart" uri="{CE6537A1-D6FC-4f65-9D91-7224C49458BB}"/>
                <c:ext xmlns:c16="http://schemas.microsoft.com/office/drawing/2014/chart" uri="{C3380CC4-5D6E-409C-BE32-E72D297353CC}">
                  <c16:uniqueId val="{00000001-7ED9-48D5-BFBB-6A9CF6D79BE2}"/>
                </c:ext>
              </c:extLst>
            </c:dLbl>
            <c:dLbl>
              <c:idx val="4"/>
              <c:delete val="1"/>
              <c:extLst>
                <c:ext xmlns:c15="http://schemas.microsoft.com/office/drawing/2012/chart" uri="{CE6537A1-D6FC-4f65-9D91-7224C49458BB}"/>
                <c:ext xmlns:c16="http://schemas.microsoft.com/office/drawing/2014/chart" uri="{C3380CC4-5D6E-409C-BE32-E72D297353CC}">
                  <c16:uniqueId val="{00000002-7ED9-48D5-BFBB-6A9CF6D79BE2}"/>
                </c:ext>
              </c:extLst>
            </c:dLbl>
            <c:dLbl>
              <c:idx val="7"/>
              <c:delete val="1"/>
              <c:extLst>
                <c:ext xmlns:c15="http://schemas.microsoft.com/office/drawing/2012/chart" uri="{CE6537A1-D6FC-4f65-9D91-7224C49458BB}"/>
                <c:ext xmlns:c16="http://schemas.microsoft.com/office/drawing/2014/chart" uri="{C3380CC4-5D6E-409C-BE32-E72D297353CC}">
                  <c16:uniqueId val="{00000003-7ED9-48D5-BFBB-6A9CF6D79BE2}"/>
                </c:ext>
              </c:extLst>
            </c:dLbl>
            <c:dLbl>
              <c:idx val="8"/>
              <c:delete val="1"/>
              <c:extLst>
                <c:ext xmlns:c15="http://schemas.microsoft.com/office/drawing/2012/chart" uri="{CE6537A1-D6FC-4f65-9D91-7224C49458BB}"/>
                <c:ext xmlns:c16="http://schemas.microsoft.com/office/drawing/2014/chart" uri="{C3380CC4-5D6E-409C-BE32-E72D297353CC}">
                  <c16:uniqueId val="{00000004-7ED9-48D5-BFBB-6A9CF6D79BE2}"/>
                </c:ext>
              </c:extLst>
            </c:dLbl>
            <c:dLbl>
              <c:idx val="10"/>
              <c:delete val="1"/>
              <c:extLst>
                <c:ext xmlns:c15="http://schemas.microsoft.com/office/drawing/2012/chart" uri="{CE6537A1-D6FC-4f65-9D91-7224C49458BB}"/>
                <c:ext xmlns:c16="http://schemas.microsoft.com/office/drawing/2014/chart" uri="{C3380CC4-5D6E-409C-BE32-E72D297353CC}">
                  <c16:uniqueId val="{00000005-7ED9-48D5-BFBB-6A9CF6D79BE2}"/>
                </c:ext>
              </c:extLst>
            </c:dLbl>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'3. 기초 분석 자료'!$C$36:$V$37</c:f>
              <c:multiLvlStrCache>
                <c:ptCount val="20"/>
                <c:lvl>
                  <c:pt idx="0">
                    <c:v>1Q</c:v>
                  </c:pt>
                  <c:pt idx="1">
                    <c:v>2Q</c:v>
                  </c:pt>
                  <c:pt idx="2">
                    <c:v>3Q</c:v>
                  </c:pt>
                  <c:pt idx="3">
                    <c:v>4Q</c:v>
                  </c:pt>
                  <c:pt idx="4">
                    <c:v>1Q</c:v>
                  </c:pt>
                  <c:pt idx="5">
                    <c:v>2Q</c:v>
                  </c:pt>
                  <c:pt idx="6">
                    <c:v>3Q</c:v>
                  </c:pt>
                  <c:pt idx="7">
                    <c:v>4Q</c:v>
                  </c:pt>
                  <c:pt idx="8">
                    <c:v>1Q</c:v>
                  </c:pt>
                  <c:pt idx="9">
                    <c:v>2Q</c:v>
                  </c:pt>
                  <c:pt idx="10">
                    <c:v>3Q</c:v>
                  </c:pt>
                  <c:pt idx="11">
                    <c:v>4Q</c:v>
                  </c:pt>
                  <c:pt idx="12">
                    <c:v>1Q</c:v>
                  </c:pt>
                  <c:pt idx="13">
                    <c:v>2Q</c:v>
                  </c:pt>
                  <c:pt idx="14">
                    <c:v>3Q</c:v>
                  </c:pt>
                  <c:pt idx="15">
                    <c:v>4Q</c:v>
                  </c:pt>
                  <c:pt idx="16">
                    <c:v>1Q</c:v>
                  </c:pt>
                  <c:pt idx="17">
                    <c:v>2Q</c:v>
                  </c:pt>
                  <c:pt idx="18">
                    <c:v>3Q</c:v>
                  </c:pt>
                  <c:pt idx="19">
                    <c:v>4Q</c:v>
                  </c:pt>
                </c:lvl>
                <c:lvl>
                  <c:pt idx="0">
                    <c:v>1차년도</c:v>
                  </c:pt>
                  <c:pt idx="4">
                    <c:v>2차년도</c:v>
                  </c:pt>
                  <c:pt idx="8">
                    <c:v>3차년도</c:v>
                  </c:pt>
                  <c:pt idx="12">
                    <c:v>4차년도</c:v>
                  </c:pt>
                  <c:pt idx="16">
                    <c:v>5차년도</c:v>
                  </c:pt>
                </c:lvl>
              </c:multiLvlStrCache>
            </c:multiLvlStrRef>
          </c:cat>
          <c:val>
            <c:numRef>
              <c:f>'3. 기초 분석 자료'!$C$233:$V$233</c:f>
              <c:numCache>
                <c:formatCode>_(* #,##0_);_(* \(#,##0\);_(* "-"_);_(@_)</c:formatCode>
                <c:ptCount val="20"/>
                <c:pt idx="0">
                  <c:v>56</c:v>
                </c:pt>
                <c:pt idx="1">
                  <c:v>60</c:v>
                </c:pt>
                <c:pt idx="2">
                  <c:v>65</c:v>
                </c:pt>
                <c:pt idx="3">
                  <c:v>73</c:v>
                </c:pt>
                <c:pt idx="4">
                  <c:v>85</c:v>
                </c:pt>
                <c:pt idx="5">
                  <c:v>94</c:v>
                </c:pt>
                <c:pt idx="6">
                  <c:v>107</c:v>
                </c:pt>
                <c:pt idx="7">
                  <c:v>118</c:v>
                </c:pt>
                <c:pt idx="8">
                  <c:v>118</c:v>
                </c:pt>
                <c:pt idx="9">
                  <c:v>122</c:v>
                </c:pt>
                <c:pt idx="10">
                  <c:v>126</c:v>
                </c:pt>
                <c:pt idx="11">
                  <c:v>130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6-7ED9-48D5-BFBB-6A9CF6D79BE2}"/>
            </c:ext>
          </c:extLst>
        </c:ser>
        <c:dLbls>
          <c:showLegendKey val="0"/>
          <c:showVal val="0"/>
          <c:showCatName val="0"/>
          <c:showSerName val="0"/>
          <c:showPercent val="0"/>
          <c:showBubbleSize val="0"/>
        </c:dLbls>
        <c:marker val="1"/>
        <c:smooth val="0"/>
        <c:axId val="2143085632"/>
        <c:axId val="1"/>
      </c:lineChart>
      <c:catAx>
        <c:axId val="2143085632"/>
        <c:scaling>
          <c:orientation val="minMax"/>
        </c:scaling>
        <c:delete val="0"/>
        <c:axPos val="b"/>
        <c:numFmt formatCode="General" sourceLinked="1"/>
        <c:majorTickMark val="out"/>
        <c:minorTickMark val="none"/>
        <c:tickLblPos val="nextTo"/>
        <c:crossAx val="1"/>
        <c:crosses val="autoZero"/>
        <c:auto val="1"/>
        <c:lblAlgn val="ctr"/>
        <c:lblOffset val="100"/>
        <c:noMultiLvlLbl val="0"/>
      </c:catAx>
      <c:valAx>
        <c:axId val="1"/>
        <c:scaling>
          <c:orientation val="minMax"/>
        </c:scaling>
        <c:delete val="0"/>
        <c:axPos val="l"/>
        <c:majorGridlines/>
        <c:title>
          <c:tx>
            <c:rich>
              <a:bodyPr rot="0" vert="wordArtVert"/>
              <a:lstStyle/>
              <a:p>
                <a:pPr algn="ctr">
                  <a:defRPr sz="1100" b="0" i="0" u="none" strike="noStrike" baseline="0">
                    <a:solidFill>
                      <a:srgbClr val="000000"/>
                    </a:solidFill>
                    <a:latin typeface="맑은 고딕"/>
                    <a:ea typeface="맑은 고딕"/>
                    <a:cs typeface="맑은 고딕"/>
                  </a:defRPr>
                </a:pPr>
                <a:r>
                  <a:rPr lang="en-US" sz="1000" b="1" i="0" u="none" strike="noStrike" baseline="0">
                    <a:solidFill>
                      <a:srgbClr val="000000"/>
                    </a:solidFill>
                    <a:latin typeface="맑은 고딕"/>
                    <a:ea typeface="맑은 고딕"/>
                  </a:rPr>
                  <a:t>미국 영업직원수</a:t>
                </a:r>
              </a:p>
            </c:rich>
          </c:tx>
          <c:overlay val="0"/>
          <c:spPr>
            <a:solidFill>
              <a:schemeClr val="accent1">
                <a:lumMod val="20000"/>
                <a:lumOff val="80000"/>
              </a:schemeClr>
            </a:solidFill>
          </c:spPr>
        </c:title>
        <c:numFmt formatCode="_(* #,##0_);_(* \(#,##0\);_(* &quot;-&quot;_);_(@_)" sourceLinked="1"/>
        <c:majorTickMark val="out"/>
        <c:minorTickMark val="none"/>
        <c:tickLblPos val="nextTo"/>
        <c:crossAx val="2143085632"/>
        <c:crosses val="autoZero"/>
        <c:crossBetween val="between"/>
      </c:valAx>
      <c:catAx>
        <c:axId val="3"/>
        <c:scaling>
          <c:orientation val="minMax"/>
        </c:scaling>
        <c:delete val="1"/>
        <c:axPos val="b"/>
        <c:majorTickMark val="out"/>
        <c:minorTickMark val="none"/>
        <c:tickLblPos val="nextTo"/>
        <c:crossAx val="4"/>
        <c:crosses val="autoZero"/>
        <c:auto val="1"/>
        <c:lblAlgn val="ctr"/>
        <c:lblOffset val="100"/>
        <c:noMultiLvlLbl val="0"/>
      </c:catAx>
      <c:valAx>
        <c:axId val="4"/>
        <c:scaling>
          <c:orientation val="minMax"/>
        </c:scaling>
        <c:delete val="0"/>
        <c:axPos val="r"/>
        <c:title>
          <c:tx>
            <c:rich>
              <a:bodyPr rot="0" vert="wordArtVertRtl"/>
              <a:lstStyle/>
              <a:p>
                <a:pPr>
                  <a:defRPr/>
                </a:pPr>
                <a:r>
                  <a:rPr lang="ko-KR" altLang="en-US"/>
                  <a:t>판매량</a:t>
                </a:r>
              </a:p>
            </c:rich>
          </c:tx>
          <c:overlay val="0"/>
          <c:spPr>
            <a:solidFill>
              <a:schemeClr val="accent1">
                <a:lumMod val="20000"/>
                <a:lumOff val="80000"/>
              </a:schemeClr>
            </a:solidFill>
          </c:spPr>
        </c:title>
        <c:numFmt formatCode="_(* #,##0_);_(* \(#,##0\);_(* &quot;-&quot;_);_(@_)" sourceLinked="1"/>
        <c:majorTickMark val="out"/>
        <c:minorTickMark val="none"/>
        <c:tickLblPos val="nextTo"/>
        <c:crossAx val="3"/>
        <c:crosses val="max"/>
        <c:crossBetween val="between"/>
      </c:valAx>
    </c:plotArea>
    <c:legend>
      <c:legendPos val="r"/>
      <c:layout>
        <c:manualLayout>
          <c:xMode val="edge"/>
          <c:yMode val="edge"/>
          <c:x val="0.36270557970390388"/>
          <c:y val="0.92066569297805811"/>
          <c:w val="0.26943843063718576"/>
          <c:h val="6.3494185722624691E-2"/>
        </c:manualLayout>
      </c:layout>
      <c:overlay val="0"/>
    </c:legend>
    <c:plotVisOnly val="1"/>
    <c:dispBlanksAs val="gap"/>
    <c:showDLblsOverMax val="0"/>
  </c:chart>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맑은 고딕"/>
                <a:ea typeface="맑은 고딕"/>
                <a:cs typeface="맑은 고딕"/>
              </a:defRPr>
            </a:pPr>
            <a:r>
              <a:rPr lang="en-US" sz="1400" b="1" i="0" u="none" strike="noStrike" baseline="0">
                <a:solidFill>
                  <a:srgbClr val="000000"/>
                </a:solidFill>
                <a:latin typeface="맑은 고딕"/>
                <a:ea typeface="맑은 고딕"/>
              </a:rPr>
              <a:t>영업직원수와 판매량 변화 (중국)</a:t>
            </a:r>
          </a:p>
        </c:rich>
      </c:tx>
      <c:overlay val="0"/>
    </c:title>
    <c:autoTitleDeleted val="0"/>
    <c:plotArea>
      <c:layout/>
      <c:barChart>
        <c:barDir val="col"/>
        <c:grouping val="clustered"/>
        <c:varyColors val="0"/>
        <c:ser>
          <c:idx val="1"/>
          <c:order val="1"/>
          <c:tx>
            <c:strRef>
              <c:f>'3. 기초 분석 자료'!$B$236</c:f>
              <c:strCache>
                <c:ptCount val="1"/>
                <c:pt idx="0">
                  <c:v>판매량</c:v>
                </c:pt>
              </c:strCache>
            </c:strRef>
          </c:tx>
          <c:spPr>
            <a:solidFill>
              <a:schemeClr val="accent6">
                <a:lumMod val="50000"/>
              </a:schemeClr>
            </a:solidFill>
          </c:spPr>
          <c:invertIfNegative val="0"/>
          <c:val>
            <c:numRef>
              <c:f>'3. 기초 분석 자료'!$C$236:$V$236</c:f>
              <c:numCache>
                <c:formatCode>_(* #,##0_);_(* \(#,##0\);_(* "-"_);_(@_)</c:formatCode>
                <c:ptCount val="20"/>
                <c:pt idx="0">
                  <c:v>5497</c:v>
                </c:pt>
                <c:pt idx="1">
                  <c:v>13894</c:v>
                </c:pt>
                <c:pt idx="2">
                  <c:v>10568</c:v>
                </c:pt>
                <c:pt idx="3">
                  <c:v>13227</c:v>
                </c:pt>
                <c:pt idx="4">
                  <c:v>4700</c:v>
                </c:pt>
                <c:pt idx="5">
                  <c:v>15478</c:v>
                </c:pt>
                <c:pt idx="6">
                  <c:v>15275</c:v>
                </c:pt>
                <c:pt idx="7">
                  <c:v>21414</c:v>
                </c:pt>
                <c:pt idx="8">
                  <c:v>17504</c:v>
                </c:pt>
                <c:pt idx="9">
                  <c:v>28354</c:v>
                </c:pt>
                <c:pt idx="10">
                  <c:v>28320</c:v>
                </c:pt>
                <c:pt idx="11">
                  <c:v>30500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52CB-471D-8050-EE0D8672378F}"/>
            </c:ext>
          </c:extLst>
        </c:ser>
        <c:dLbls>
          <c:showLegendKey val="0"/>
          <c:showVal val="0"/>
          <c:showCatName val="0"/>
          <c:showSerName val="0"/>
          <c:showPercent val="0"/>
          <c:showBubbleSize val="0"/>
        </c:dLbls>
        <c:gapWidth val="150"/>
        <c:axId val="3"/>
        <c:axId val="4"/>
      </c:barChart>
      <c:lineChart>
        <c:grouping val="standard"/>
        <c:varyColors val="0"/>
        <c:ser>
          <c:idx val="0"/>
          <c:order val="0"/>
          <c:tx>
            <c:strRef>
              <c:f>'3. 기초 분석 자료'!$B$235</c:f>
              <c:strCache>
                <c:ptCount val="1"/>
                <c:pt idx="0">
                  <c:v>영업직원 수</c:v>
                </c:pt>
              </c:strCache>
            </c:strRef>
          </c:tx>
          <c:spPr>
            <a:ln>
              <a:solidFill>
                <a:schemeClr val="accent2">
                  <a:lumMod val="75000"/>
                </a:schemeClr>
              </a:solidFill>
            </a:ln>
          </c:spPr>
          <c:marker>
            <c:spPr>
              <a:solidFill>
                <a:schemeClr val="accent2">
                  <a:lumMod val="50000"/>
                </a:schemeClr>
              </a:solidFill>
            </c:spPr>
          </c:marker>
          <c:dLbls>
            <c:dLbl>
              <c:idx val="2"/>
              <c:delete val="1"/>
              <c:extLst>
                <c:ext xmlns:c15="http://schemas.microsoft.com/office/drawing/2012/chart" uri="{CE6537A1-D6FC-4f65-9D91-7224C49458BB}"/>
                <c:ext xmlns:c16="http://schemas.microsoft.com/office/drawing/2014/chart" uri="{C3380CC4-5D6E-409C-BE32-E72D297353CC}">
                  <c16:uniqueId val="{00000001-52CB-471D-8050-EE0D8672378F}"/>
                </c:ext>
              </c:extLst>
            </c:dLbl>
            <c:dLbl>
              <c:idx val="4"/>
              <c:delete val="1"/>
              <c:extLst>
                <c:ext xmlns:c15="http://schemas.microsoft.com/office/drawing/2012/chart" uri="{CE6537A1-D6FC-4f65-9D91-7224C49458BB}"/>
                <c:ext xmlns:c16="http://schemas.microsoft.com/office/drawing/2014/chart" uri="{C3380CC4-5D6E-409C-BE32-E72D297353CC}">
                  <c16:uniqueId val="{00000002-52CB-471D-8050-EE0D8672378F}"/>
                </c:ext>
              </c:extLst>
            </c:dLbl>
            <c:dLbl>
              <c:idx val="6"/>
              <c:delete val="1"/>
              <c:extLst>
                <c:ext xmlns:c15="http://schemas.microsoft.com/office/drawing/2012/chart" uri="{CE6537A1-D6FC-4f65-9D91-7224C49458BB}"/>
                <c:ext xmlns:c16="http://schemas.microsoft.com/office/drawing/2014/chart" uri="{C3380CC4-5D6E-409C-BE32-E72D297353CC}">
                  <c16:uniqueId val="{00000003-52CB-471D-8050-EE0D8672378F}"/>
                </c:ext>
              </c:extLst>
            </c:dLbl>
            <c:dLbl>
              <c:idx val="7"/>
              <c:delete val="1"/>
              <c:extLst>
                <c:ext xmlns:c15="http://schemas.microsoft.com/office/drawing/2012/chart" uri="{CE6537A1-D6FC-4f65-9D91-7224C49458BB}"/>
                <c:ext xmlns:c16="http://schemas.microsoft.com/office/drawing/2014/chart" uri="{C3380CC4-5D6E-409C-BE32-E72D297353CC}">
                  <c16:uniqueId val="{00000004-52CB-471D-8050-EE0D8672378F}"/>
                </c:ext>
              </c:extLst>
            </c:dLbl>
            <c:dLbl>
              <c:idx val="9"/>
              <c:delete val="1"/>
              <c:extLst>
                <c:ext xmlns:c15="http://schemas.microsoft.com/office/drawing/2012/chart" uri="{CE6537A1-D6FC-4f65-9D91-7224C49458BB}"/>
                <c:ext xmlns:c16="http://schemas.microsoft.com/office/drawing/2014/chart" uri="{C3380CC4-5D6E-409C-BE32-E72D297353CC}">
                  <c16:uniqueId val="{00000005-52CB-471D-8050-EE0D8672378F}"/>
                </c:ext>
              </c:extLst>
            </c:dLbl>
            <c:dLbl>
              <c:idx val="10"/>
              <c:delete val="1"/>
              <c:extLst>
                <c:ext xmlns:c15="http://schemas.microsoft.com/office/drawing/2012/chart" uri="{CE6537A1-D6FC-4f65-9D91-7224C49458BB}"/>
                <c:ext xmlns:c16="http://schemas.microsoft.com/office/drawing/2014/chart" uri="{C3380CC4-5D6E-409C-BE32-E72D297353CC}">
                  <c16:uniqueId val="{00000006-52CB-471D-8050-EE0D8672378F}"/>
                </c:ext>
              </c:extLst>
            </c:dLbl>
            <c:spPr>
              <a:solidFill>
                <a:sysClr val="window" lastClr="FFFFFF"/>
              </a:solidFill>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'3. 기초 분석 자료'!$C$36:$V$37</c:f>
              <c:multiLvlStrCache>
                <c:ptCount val="20"/>
                <c:lvl>
                  <c:pt idx="0">
                    <c:v>1Q</c:v>
                  </c:pt>
                  <c:pt idx="1">
                    <c:v>2Q</c:v>
                  </c:pt>
                  <c:pt idx="2">
                    <c:v>3Q</c:v>
                  </c:pt>
                  <c:pt idx="3">
                    <c:v>4Q</c:v>
                  </c:pt>
                  <c:pt idx="4">
                    <c:v>1Q</c:v>
                  </c:pt>
                  <c:pt idx="5">
                    <c:v>2Q</c:v>
                  </c:pt>
                  <c:pt idx="6">
                    <c:v>3Q</c:v>
                  </c:pt>
                  <c:pt idx="7">
                    <c:v>4Q</c:v>
                  </c:pt>
                  <c:pt idx="8">
                    <c:v>1Q</c:v>
                  </c:pt>
                  <c:pt idx="9">
                    <c:v>2Q</c:v>
                  </c:pt>
                  <c:pt idx="10">
                    <c:v>3Q</c:v>
                  </c:pt>
                  <c:pt idx="11">
                    <c:v>4Q</c:v>
                  </c:pt>
                  <c:pt idx="12">
                    <c:v>1Q</c:v>
                  </c:pt>
                  <c:pt idx="13">
                    <c:v>2Q</c:v>
                  </c:pt>
                  <c:pt idx="14">
                    <c:v>3Q</c:v>
                  </c:pt>
                  <c:pt idx="15">
                    <c:v>4Q</c:v>
                  </c:pt>
                  <c:pt idx="16">
                    <c:v>1Q</c:v>
                  </c:pt>
                  <c:pt idx="17">
                    <c:v>2Q</c:v>
                  </c:pt>
                  <c:pt idx="18">
                    <c:v>3Q</c:v>
                  </c:pt>
                  <c:pt idx="19">
                    <c:v>4Q</c:v>
                  </c:pt>
                </c:lvl>
                <c:lvl>
                  <c:pt idx="0">
                    <c:v>1차년도</c:v>
                  </c:pt>
                  <c:pt idx="4">
                    <c:v>2차년도</c:v>
                  </c:pt>
                  <c:pt idx="8">
                    <c:v>3차년도</c:v>
                  </c:pt>
                  <c:pt idx="12">
                    <c:v>4차년도</c:v>
                  </c:pt>
                  <c:pt idx="16">
                    <c:v>5차년도</c:v>
                  </c:pt>
                </c:lvl>
              </c:multiLvlStrCache>
            </c:multiLvlStrRef>
          </c:cat>
          <c:val>
            <c:numRef>
              <c:f>'3. 기초 분석 자료'!$C$235:$V$235</c:f>
              <c:numCache>
                <c:formatCode>_(* #,##0_);_(* \(#,##0\);_(* "-"_);_(@_)</c:formatCode>
                <c:ptCount val="20"/>
                <c:pt idx="0">
                  <c:v>55</c:v>
                </c:pt>
                <c:pt idx="1">
                  <c:v>58</c:v>
                </c:pt>
                <c:pt idx="2">
                  <c:v>63</c:v>
                </c:pt>
                <c:pt idx="3">
                  <c:v>74</c:v>
                </c:pt>
                <c:pt idx="4">
                  <c:v>84</c:v>
                </c:pt>
                <c:pt idx="5">
                  <c:v>96</c:v>
                </c:pt>
                <c:pt idx="6">
                  <c:v>112</c:v>
                </c:pt>
                <c:pt idx="7">
                  <c:v>123</c:v>
                </c:pt>
                <c:pt idx="8">
                  <c:v>126</c:v>
                </c:pt>
                <c:pt idx="9">
                  <c:v>131</c:v>
                </c:pt>
                <c:pt idx="10">
                  <c:v>128</c:v>
                </c:pt>
                <c:pt idx="11">
                  <c:v>130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7-52CB-471D-8050-EE0D8672378F}"/>
            </c:ext>
          </c:extLst>
        </c:ser>
        <c:dLbls>
          <c:showLegendKey val="0"/>
          <c:showVal val="0"/>
          <c:showCatName val="0"/>
          <c:showSerName val="0"/>
          <c:showPercent val="0"/>
          <c:showBubbleSize val="0"/>
        </c:dLbls>
        <c:marker val="1"/>
        <c:smooth val="0"/>
        <c:axId val="2143090032"/>
        <c:axId val="1"/>
      </c:lineChart>
      <c:catAx>
        <c:axId val="2143090032"/>
        <c:scaling>
          <c:orientation val="minMax"/>
        </c:scaling>
        <c:delete val="0"/>
        <c:axPos val="b"/>
        <c:numFmt formatCode="General" sourceLinked="1"/>
        <c:majorTickMark val="out"/>
        <c:minorTickMark val="none"/>
        <c:tickLblPos val="nextTo"/>
        <c:crossAx val="1"/>
        <c:crosses val="autoZero"/>
        <c:auto val="1"/>
        <c:lblAlgn val="ctr"/>
        <c:lblOffset val="100"/>
        <c:noMultiLvlLbl val="0"/>
      </c:catAx>
      <c:valAx>
        <c:axId val="1"/>
        <c:scaling>
          <c:orientation val="minMax"/>
        </c:scaling>
        <c:delete val="0"/>
        <c:axPos val="l"/>
        <c:majorGridlines/>
        <c:title>
          <c:tx>
            <c:rich>
              <a:bodyPr rot="0" vert="wordArtVert"/>
              <a:lstStyle/>
              <a:p>
                <a:pPr algn="ctr">
                  <a:defRPr sz="1100" b="0" i="0" u="none" strike="noStrike" baseline="0">
                    <a:solidFill>
                      <a:srgbClr val="000000"/>
                    </a:solidFill>
                    <a:latin typeface="맑은 고딕"/>
                    <a:ea typeface="맑은 고딕"/>
                    <a:cs typeface="맑은 고딕"/>
                  </a:defRPr>
                </a:pPr>
                <a:r>
                  <a:rPr lang="en-US" sz="1000" b="1" i="0" u="none" strike="noStrike" baseline="0">
                    <a:solidFill>
                      <a:srgbClr val="000000"/>
                    </a:solidFill>
                    <a:latin typeface="맑은 고딕"/>
                    <a:ea typeface="맑은 고딕"/>
                  </a:rPr>
                  <a:t>중국 영업직원수</a:t>
                </a:r>
              </a:p>
            </c:rich>
          </c:tx>
          <c:overlay val="0"/>
          <c:spPr>
            <a:solidFill>
              <a:schemeClr val="accent1">
                <a:lumMod val="20000"/>
                <a:lumOff val="80000"/>
              </a:schemeClr>
            </a:solidFill>
          </c:spPr>
        </c:title>
        <c:numFmt formatCode="_(* #,##0_);_(* \(#,##0\);_(* &quot;-&quot;_);_(@_)" sourceLinked="1"/>
        <c:majorTickMark val="out"/>
        <c:minorTickMark val="none"/>
        <c:tickLblPos val="nextTo"/>
        <c:crossAx val="2143090032"/>
        <c:crosses val="autoZero"/>
        <c:crossBetween val="between"/>
      </c:valAx>
      <c:catAx>
        <c:axId val="3"/>
        <c:scaling>
          <c:orientation val="minMax"/>
        </c:scaling>
        <c:delete val="1"/>
        <c:axPos val="b"/>
        <c:majorTickMark val="out"/>
        <c:minorTickMark val="none"/>
        <c:tickLblPos val="nextTo"/>
        <c:crossAx val="4"/>
        <c:crosses val="autoZero"/>
        <c:auto val="1"/>
        <c:lblAlgn val="ctr"/>
        <c:lblOffset val="100"/>
        <c:noMultiLvlLbl val="0"/>
      </c:catAx>
      <c:valAx>
        <c:axId val="4"/>
        <c:scaling>
          <c:orientation val="minMax"/>
        </c:scaling>
        <c:delete val="0"/>
        <c:axPos val="r"/>
        <c:title>
          <c:tx>
            <c:rich>
              <a:bodyPr rot="0" vert="wordArtVertRtl"/>
              <a:lstStyle/>
              <a:p>
                <a:pPr>
                  <a:defRPr/>
                </a:pPr>
                <a:r>
                  <a:rPr lang="ko-KR" altLang="en-US"/>
                  <a:t>판매량</a:t>
                </a:r>
              </a:p>
            </c:rich>
          </c:tx>
          <c:overlay val="0"/>
          <c:spPr>
            <a:solidFill>
              <a:schemeClr val="accent1">
                <a:lumMod val="20000"/>
                <a:lumOff val="80000"/>
              </a:schemeClr>
            </a:solidFill>
          </c:spPr>
        </c:title>
        <c:numFmt formatCode="_(* #,##0_);_(* \(#,##0\);_(* &quot;-&quot;_);_(@_)" sourceLinked="1"/>
        <c:majorTickMark val="out"/>
        <c:minorTickMark val="none"/>
        <c:tickLblPos val="nextTo"/>
        <c:crossAx val="3"/>
        <c:crosses val="max"/>
        <c:crossBetween val="between"/>
      </c:valAx>
    </c:plotArea>
    <c:legend>
      <c:legendPos val="r"/>
      <c:layout>
        <c:manualLayout>
          <c:xMode val="edge"/>
          <c:yMode val="edge"/>
          <c:x val="0.35389837331355495"/>
          <c:y val="0.92066569297805811"/>
          <c:w val="0.27882902139855842"/>
          <c:h val="6.3494185722624691E-2"/>
        </c:manualLayout>
      </c:layout>
      <c:overlay val="0"/>
    </c:legend>
    <c:plotVisOnly val="1"/>
    <c:dispBlanksAs val="gap"/>
    <c:showDLblsOverMax val="0"/>
  </c:chart>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맑은 고딕"/>
                <a:ea typeface="맑은 고딕"/>
                <a:cs typeface="맑은 고딕"/>
              </a:defRPr>
            </a:pPr>
            <a:r>
              <a:rPr lang="en-US" sz="1600" b="1" i="0" u="none" strike="noStrike" baseline="0">
                <a:solidFill>
                  <a:srgbClr val="000000"/>
                </a:solidFill>
                <a:latin typeface="맑은 고딕"/>
                <a:ea typeface="맑은 고딕"/>
              </a:rPr>
              <a:t>매출액 변화</a:t>
            </a:r>
          </a:p>
        </c:rich>
      </c:tx>
      <c:overlay val="0"/>
    </c:title>
    <c:autoTitleDeleted val="0"/>
    <c:plotArea>
      <c:layout>
        <c:manualLayout>
          <c:layoutTarget val="inner"/>
          <c:xMode val="edge"/>
          <c:yMode val="edge"/>
          <c:x val="0.15474203086896279"/>
          <c:y val="0.16394105953474064"/>
          <c:w val="0.82612306932011248"/>
          <c:h val="0.56683063617762075"/>
        </c:manualLayout>
      </c:layout>
      <c:barChart>
        <c:barDir val="col"/>
        <c:grouping val="clustered"/>
        <c:varyColors val="0"/>
        <c:ser>
          <c:idx val="1"/>
          <c:order val="0"/>
          <c:tx>
            <c:strRef>
              <c:f>'3. 기초 분석 자료'!$B$7</c:f>
              <c:strCache>
                <c:ptCount val="1"/>
                <c:pt idx="0">
                  <c:v>매출액</c:v>
                </c:pt>
              </c:strCache>
            </c:strRef>
          </c:tx>
          <c:spPr>
            <a:solidFill>
              <a:schemeClr val="accent1">
                <a:lumMod val="75000"/>
              </a:schemeClr>
            </a:solidFill>
          </c:spPr>
          <c:invertIfNegative val="0"/>
          <c:trendline>
            <c:spPr>
              <a:ln>
                <a:solidFill>
                  <a:srgbClr val="FF0000"/>
                </a:solidFill>
              </a:ln>
            </c:spPr>
            <c:trendlineType val="movingAvg"/>
            <c:period val="2"/>
            <c:dispRSqr val="0"/>
            <c:dispEq val="0"/>
          </c:trendline>
          <c:cat>
            <c:multiLvlStrRef>
              <c:f>'3. 기초 분석 자료'!$C$5:$V$6</c:f>
              <c:multiLvlStrCache>
                <c:ptCount val="20"/>
                <c:lvl>
                  <c:pt idx="0">
                    <c:v>1Q</c:v>
                  </c:pt>
                  <c:pt idx="1">
                    <c:v>2Q</c:v>
                  </c:pt>
                  <c:pt idx="2">
                    <c:v>3Q</c:v>
                  </c:pt>
                  <c:pt idx="3">
                    <c:v>4Q</c:v>
                  </c:pt>
                  <c:pt idx="4">
                    <c:v>1Q</c:v>
                  </c:pt>
                  <c:pt idx="5">
                    <c:v>2Q</c:v>
                  </c:pt>
                  <c:pt idx="6">
                    <c:v>3Q</c:v>
                  </c:pt>
                  <c:pt idx="7">
                    <c:v>4Q</c:v>
                  </c:pt>
                  <c:pt idx="8">
                    <c:v>1Q</c:v>
                  </c:pt>
                  <c:pt idx="9">
                    <c:v>2Q</c:v>
                  </c:pt>
                  <c:pt idx="10">
                    <c:v>3Q</c:v>
                  </c:pt>
                  <c:pt idx="11">
                    <c:v>4Q</c:v>
                  </c:pt>
                  <c:pt idx="12">
                    <c:v>1Q</c:v>
                  </c:pt>
                  <c:pt idx="13">
                    <c:v>2Q</c:v>
                  </c:pt>
                  <c:pt idx="14">
                    <c:v>3Q</c:v>
                  </c:pt>
                  <c:pt idx="15">
                    <c:v>4Q</c:v>
                  </c:pt>
                  <c:pt idx="16">
                    <c:v>1Q</c:v>
                  </c:pt>
                  <c:pt idx="17">
                    <c:v>2Q</c:v>
                  </c:pt>
                  <c:pt idx="18">
                    <c:v>3Q</c:v>
                  </c:pt>
                  <c:pt idx="19">
                    <c:v>4Q</c:v>
                  </c:pt>
                </c:lvl>
                <c:lvl>
                  <c:pt idx="0">
                    <c:v>1차년도</c:v>
                  </c:pt>
                  <c:pt idx="4">
                    <c:v>2차년도</c:v>
                  </c:pt>
                  <c:pt idx="8">
                    <c:v>3차년도</c:v>
                  </c:pt>
                  <c:pt idx="12">
                    <c:v>4차년도</c:v>
                  </c:pt>
                  <c:pt idx="16">
                    <c:v>5차년도</c:v>
                  </c:pt>
                </c:lvl>
              </c:multiLvlStrCache>
            </c:multiLvlStrRef>
          </c:cat>
          <c:val>
            <c:numRef>
              <c:f>'3. 기초 분석 자료'!$C$7:$V$7</c:f>
              <c:numCache>
                <c:formatCode>#,##0_ </c:formatCode>
                <c:ptCount val="20"/>
                <c:pt idx="0">
                  <c:v>33151687950</c:v>
                </c:pt>
                <c:pt idx="1">
                  <c:v>47523605420</c:v>
                </c:pt>
                <c:pt idx="2">
                  <c:v>46225732120</c:v>
                </c:pt>
                <c:pt idx="3">
                  <c:v>54564429150</c:v>
                </c:pt>
                <c:pt idx="4">
                  <c:v>43306982400</c:v>
                </c:pt>
                <c:pt idx="5">
                  <c:v>63579142610</c:v>
                </c:pt>
                <c:pt idx="6">
                  <c:v>61613796600</c:v>
                </c:pt>
                <c:pt idx="7">
                  <c:v>82256656730</c:v>
                </c:pt>
                <c:pt idx="8">
                  <c:v>71903606400</c:v>
                </c:pt>
                <c:pt idx="9">
                  <c:v>90583806230</c:v>
                </c:pt>
                <c:pt idx="10">
                  <c:v>88839553740</c:v>
                </c:pt>
                <c:pt idx="11">
                  <c:v>88631620000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5E49-43F2-969C-9555D3083D1B}"/>
            </c:ext>
          </c:extLst>
        </c:ser>
        <c:dLbls>
          <c:showLegendKey val="0"/>
          <c:showVal val="0"/>
          <c:showCatName val="0"/>
          <c:showSerName val="0"/>
          <c:showPercent val="0"/>
          <c:showBubbleSize val="0"/>
        </c:dLbls>
        <c:gapWidth val="150"/>
        <c:axId val="2145416864"/>
        <c:axId val="1"/>
      </c:barChart>
      <c:catAx>
        <c:axId val="2145416864"/>
        <c:scaling>
          <c:orientation val="minMax"/>
        </c:scaling>
        <c:delete val="0"/>
        <c:axPos val="b"/>
        <c:numFmt formatCode="General" sourceLinked="1"/>
        <c:majorTickMark val="out"/>
        <c:minorTickMark val="none"/>
        <c:tickLblPos val="nextTo"/>
        <c:crossAx val="1"/>
        <c:crosses val="autoZero"/>
        <c:auto val="1"/>
        <c:lblAlgn val="ctr"/>
        <c:lblOffset val="100"/>
        <c:noMultiLvlLbl val="0"/>
      </c:catAx>
      <c:valAx>
        <c:axId val="1"/>
        <c:scaling>
          <c:orientation val="minMax"/>
        </c:scaling>
        <c:delete val="0"/>
        <c:axPos val="l"/>
        <c:majorGridlines/>
        <c:title>
          <c:tx>
            <c:rich>
              <a:bodyPr rot="0" vert="wordArtVertRtl" anchor="t" anchorCtr="0"/>
              <a:lstStyle/>
              <a:p>
                <a:pPr>
                  <a:defRPr/>
                </a:pPr>
                <a:r>
                  <a:rPr lang="ko-KR" altLang="en-US"/>
                  <a:t>매출액</a:t>
                </a:r>
              </a:p>
            </c:rich>
          </c:tx>
          <c:overlay val="0"/>
          <c:spPr>
            <a:solidFill>
              <a:schemeClr val="accent1">
                <a:lumMod val="20000"/>
                <a:lumOff val="80000"/>
              </a:schemeClr>
            </a:solidFill>
          </c:spPr>
        </c:title>
        <c:numFmt formatCode="#,##0_ " sourceLinked="1"/>
        <c:majorTickMark val="out"/>
        <c:minorTickMark val="none"/>
        <c:tickLblPos val="low"/>
        <c:crossAx val="2145416864"/>
        <c:crosses val="autoZero"/>
        <c:crossBetween val="between"/>
        <c:dispUnits>
          <c:builtInUnit val="millions"/>
          <c:dispUnitsLbl>
            <c:layout>
              <c:manualLayout>
                <c:xMode val="edge"/>
                <c:yMode val="edge"/>
                <c:x val="0.10178903779807022"/>
                <c:y val="7.1449670701524595E-2"/>
              </c:manualLayout>
            </c:layout>
            <c:tx>
              <c:rich>
                <a:bodyPr rot="0" vert="horz"/>
                <a:lstStyle/>
                <a:p>
                  <a:pPr algn="ctr">
                    <a:defRPr sz="1100" b="0" i="0" u="none" strike="noStrike" baseline="0">
                      <a:solidFill>
                        <a:srgbClr val="000000"/>
                      </a:solidFill>
                      <a:latin typeface="맑은 고딕"/>
                      <a:ea typeface="맑은 고딕"/>
                      <a:cs typeface="맑은 고딕"/>
                    </a:defRPr>
                  </a:pPr>
                  <a:r>
                    <a:rPr lang="en-US" sz="1000" b="1" i="0" u="none" strike="noStrike" baseline="0">
                      <a:solidFill>
                        <a:srgbClr val="000000"/>
                      </a:solidFill>
                      <a:latin typeface="Calibri"/>
                      <a:cs typeface="Calibri"/>
                    </a:rPr>
                    <a:t>(</a:t>
                  </a:r>
                  <a:r>
                    <a:rPr lang="en-US" sz="1000" b="1" i="0" u="none" strike="noStrike" baseline="0">
                      <a:solidFill>
                        <a:srgbClr val="000000"/>
                      </a:solidFill>
                      <a:latin typeface="맑은 고딕"/>
                      <a:ea typeface="맑은 고딕"/>
                      <a:cs typeface="Calibri"/>
                    </a:rPr>
                    <a:t>백만</a:t>
                  </a:r>
                  <a:r>
                    <a:rPr lang="en-US" sz="1000" b="1" i="0" u="none" strike="noStrike" baseline="0">
                      <a:solidFill>
                        <a:srgbClr val="000000"/>
                      </a:solidFill>
                      <a:latin typeface="Calibri"/>
                      <a:ea typeface="맑은 고딕"/>
                      <a:cs typeface="Calibri"/>
                    </a:rPr>
                    <a:t>)</a:t>
                  </a:r>
                  <a:endParaRPr lang="en-US" sz="1000" b="1" i="0" u="none" strike="noStrike" baseline="0">
                    <a:solidFill>
                      <a:srgbClr val="000000"/>
                    </a:solidFill>
                    <a:latin typeface="Calibri"/>
                    <a:cs typeface="Calibri"/>
                  </a:endParaRPr>
                </a:p>
              </c:rich>
            </c:tx>
          </c:dispUnitsLbl>
        </c:dispUnits>
      </c:valAx>
    </c:plotArea>
    <c:legend>
      <c:legendPos val="r"/>
      <c:layout>
        <c:manualLayout>
          <c:xMode val="edge"/>
          <c:yMode val="edge"/>
          <c:x val="0.31708330364184101"/>
          <c:y val="0.92797665985174926"/>
          <c:w val="0.38659772020947536"/>
          <c:h val="5.2403387850451719E-2"/>
        </c:manualLayout>
      </c:layout>
      <c:overlay val="0"/>
    </c:legend>
    <c:plotVisOnly val="1"/>
    <c:dispBlanksAs val="gap"/>
    <c:showDLblsOverMax val="0"/>
  </c:chart>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맑은 고딕"/>
                <a:ea typeface="맑은 고딕"/>
                <a:cs typeface="맑은 고딕"/>
              </a:defRPr>
            </a:pPr>
            <a:r>
              <a:rPr lang="en-US" sz="1600" b="1" i="0" u="none" strike="noStrike" baseline="0">
                <a:solidFill>
                  <a:srgbClr val="000000"/>
                </a:solidFill>
                <a:latin typeface="맑은 고딕"/>
                <a:ea typeface="맑은 고딕"/>
              </a:rPr>
              <a:t>당기순이익과 신용등급 변화</a:t>
            </a:r>
          </a:p>
        </c:rich>
      </c:tx>
      <c:overlay val="0"/>
    </c:title>
    <c:autoTitleDeleted val="0"/>
    <c:plotArea>
      <c:layout>
        <c:manualLayout>
          <c:layoutTarget val="inner"/>
          <c:xMode val="edge"/>
          <c:yMode val="edge"/>
          <c:x val="0.11846111008103458"/>
          <c:y val="0.16846396127655014"/>
          <c:w val="0.7824060227203089"/>
          <c:h val="0.64650927302642314"/>
        </c:manualLayout>
      </c:layout>
      <c:barChart>
        <c:barDir val="col"/>
        <c:grouping val="clustered"/>
        <c:varyColors val="0"/>
        <c:ser>
          <c:idx val="0"/>
          <c:order val="0"/>
          <c:tx>
            <c:strRef>
              <c:f>'3. 기초 분석 자료'!$B$8</c:f>
              <c:strCache>
                <c:ptCount val="1"/>
                <c:pt idx="0">
                  <c:v>당기순이익</c:v>
                </c:pt>
              </c:strCache>
            </c:strRef>
          </c:tx>
          <c:spPr>
            <a:solidFill>
              <a:srgbClr val="FFC000"/>
            </a:solidFill>
            <a:ln>
              <a:noFill/>
            </a:ln>
          </c:spPr>
          <c:invertIfNegative val="0"/>
          <c:cat>
            <c:multiLvlStrRef>
              <c:f>'3. 기초 분석 자료'!$C$36:$V$37</c:f>
              <c:multiLvlStrCache>
                <c:ptCount val="20"/>
                <c:lvl>
                  <c:pt idx="0">
                    <c:v>1Q</c:v>
                  </c:pt>
                  <c:pt idx="1">
                    <c:v>2Q</c:v>
                  </c:pt>
                  <c:pt idx="2">
                    <c:v>3Q</c:v>
                  </c:pt>
                  <c:pt idx="3">
                    <c:v>4Q</c:v>
                  </c:pt>
                  <c:pt idx="4">
                    <c:v>1Q</c:v>
                  </c:pt>
                  <c:pt idx="5">
                    <c:v>2Q</c:v>
                  </c:pt>
                  <c:pt idx="6">
                    <c:v>3Q</c:v>
                  </c:pt>
                  <c:pt idx="7">
                    <c:v>4Q</c:v>
                  </c:pt>
                  <c:pt idx="8">
                    <c:v>1Q</c:v>
                  </c:pt>
                  <c:pt idx="9">
                    <c:v>2Q</c:v>
                  </c:pt>
                  <c:pt idx="10">
                    <c:v>3Q</c:v>
                  </c:pt>
                  <c:pt idx="11">
                    <c:v>4Q</c:v>
                  </c:pt>
                  <c:pt idx="12">
                    <c:v>1Q</c:v>
                  </c:pt>
                  <c:pt idx="13">
                    <c:v>2Q</c:v>
                  </c:pt>
                  <c:pt idx="14">
                    <c:v>3Q</c:v>
                  </c:pt>
                  <c:pt idx="15">
                    <c:v>4Q</c:v>
                  </c:pt>
                  <c:pt idx="16">
                    <c:v>1Q</c:v>
                  </c:pt>
                  <c:pt idx="17">
                    <c:v>2Q</c:v>
                  </c:pt>
                  <c:pt idx="18">
                    <c:v>3Q</c:v>
                  </c:pt>
                  <c:pt idx="19">
                    <c:v>4Q</c:v>
                  </c:pt>
                </c:lvl>
                <c:lvl>
                  <c:pt idx="0">
                    <c:v>1차년도</c:v>
                  </c:pt>
                  <c:pt idx="4">
                    <c:v>2차년도</c:v>
                  </c:pt>
                  <c:pt idx="8">
                    <c:v>3차년도</c:v>
                  </c:pt>
                  <c:pt idx="12">
                    <c:v>4차년도</c:v>
                  </c:pt>
                  <c:pt idx="16">
                    <c:v>5차년도</c:v>
                  </c:pt>
                </c:lvl>
              </c:multiLvlStrCache>
            </c:multiLvlStrRef>
          </c:cat>
          <c:val>
            <c:numRef>
              <c:f>'3. 기초 분석 자료'!$C$8:$V$8</c:f>
              <c:numCache>
                <c:formatCode>#,##0_ </c:formatCode>
                <c:ptCount val="20"/>
                <c:pt idx="0">
                  <c:v>-364768440</c:v>
                </c:pt>
                <c:pt idx="1">
                  <c:v>3059295121</c:v>
                </c:pt>
                <c:pt idx="2">
                  <c:v>2984019702</c:v>
                </c:pt>
                <c:pt idx="3">
                  <c:v>4654162032</c:v>
                </c:pt>
                <c:pt idx="4">
                  <c:v>3456071751</c:v>
                </c:pt>
                <c:pt idx="5">
                  <c:v>5911264883</c:v>
                </c:pt>
                <c:pt idx="6">
                  <c:v>4343778682</c:v>
                </c:pt>
                <c:pt idx="7">
                  <c:v>3075618589</c:v>
                </c:pt>
                <c:pt idx="8">
                  <c:v>2689559000</c:v>
                </c:pt>
                <c:pt idx="9">
                  <c:v>4870881691</c:v>
                </c:pt>
                <c:pt idx="10">
                  <c:v>4969523434</c:v>
                </c:pt>
                <c:pt idx="11">
                  <c:v>4119883657</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94DB-4BFA-BEB4-F1FF5C8F6912}"/>
            </c:ext>
          </c:extLst>
        </c:ser>
        <c:dLbls>
          <c:showLegendKey val="0"/>
          <c:showVal val="0"/>
          <c:showCatName val="0"/>
          <c:showSerName val="0"/>
          <c:showPercent val="0"/>
          <c:showBubbleSize val="0"/>
        </c:dLbls>
        <c:gapWidth val="150"/>
        <c:axId val="2145422464"/>
        <c:axId val="1"/>
      </c:barChart>
      <c:lineChart>
        <c:grouping val="standard"/>
        <c:varyColors val="0"/>
        <c:ser>
          <c:idx val="1"/>
          <c:order val="1"/>
          <c:tx>
            <c:strRef>
              <c:f>'3. 기초 분석 자료'!$B$9</c:f>
              <c:strCache>
                <c:ptCount val="1"/>
                <c:pt idx="0">
                  <c:v>신용등급</c:v>
                </c:pt>
              </c:strCache>
            </c:strRef>
          </c:tx>
          <c:val>
            <c:numRef>
              <c:f>'3. 기초 분석 자료'!$C$9:$V$9</c:f>
              <c:numCache>
                <c:formatCode>#,##0_ </c:formatCode>
                <c:ptCount val="20"/>
                <c:pt idx="0">
                  <c:v>7</c:v>
                </c:pt>
                <c:pt idx="1">
                  <c:v>4</c:v>
                </c:pt>
                <c:pt idx="2">
                  <c:v>7</c:v>
                </c:pt>
                <c:pt idx="3">
                  <c:v>3</c:v>
                </c:pt>
                <c:pt idx="4">
                  <c:v>7</c:v>
                </c:pt>
                <c:pt idx="5">
                  <c:v>3</c:v>
                </c:pt>
                <c:pt idx="6">
                  <c:v>3</c:v>
                </c:pt>
                <c:pt idx="7">
                  <c:v>2</c:v>
                </c:pt>
                <c:pt idx="8">
                  <c:v>4</c:v>
                </c:pt>
                <c:pt idx="9">
                  <c:v>2</c:v>
                </c:pt>
                <c:pt idx="10">
                  <c:v>3</c:v>
                </c:pt>
                <c:pt idx="11">
                  <c:v>4</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1-94DB-4BFA-BEB4-F1FF5C8F6912}"/>
            </c:ext>
          </c:extLst>
        </c:ser>
        <c:dLbls>
          <c:showLegendKey val="0"/>
          <c:showVal val="0"/>
          <c:showCatName val="0"/>
          <c:showSerName val="0"/>
          <c:showPercent val="0"/>
          <c:showBubbleSize val="0"/>
        </c:dLbls>
        <c:marker val="1"/>
        <c:smooth val="0"/>
        <c:axId val="3"/>
        <c:axId val="4"/>
      </c:lineChart>
      <c:catAx>
        <c:axId val="2145422464"/>
        <c:scaling>
          <c:orientation val="minMax"/>
        </c:scaling>
        <c:delete val="0"/>
        <c:axPos val="b"/>
        <c:numFmt formatCode="General" sourceLinked="1"/>
        <c:majorTickMark val="out"/>
        <c:minorTickMark val="none"/>
        <c:tickLblPos val="nextTo"/>
        <c:crossAx val="1"/>
        <c:crosses val="autoZero"/>
        <c:auto val="1"/>
        <c:lblAlgn val="ctr"/>
        <c:lblOffset val="100"/>
        <c:noMultiLvlLbl val="0"/>
      </c:catAx>
      <c:valAx>
        <c:axId val="1"/>
        <c:scaling>
          <c:orientation val="minMax"/>
        </c:scaling>
        <c:delete val="0"/>
        <c:axPos val="l"/>
        <c:majorGridlines/>
        <c:title>
          <c:tx>
            <c:rich>
              <a:bodyPr rot="0" vert="wordArtVertRtl" anchor="t" anchorCtr="0"/>
              <a:lstStyle/>
              <a:p>
                <a:pPr>
                  <a:defRPr/>
                </a:pPr>
                <a:r>
                  <a:rPr lang="ko-KR" altLang="en-US"/>
                  <a:t>당기순이익</a:t>
                </a:r>
              </a:p>
            </c:rich>
          </c:tx>
          <c:overlay val="0"/>
          <c:spPr>
            <a:solidFill>
              <a:schemeClr val="accent1">
                <a:lumMod val="20000"/>
                <a:lumOff val="80000"/>
              </a:schemeClr>
            </a:solidFill>
          </c:spPr>
        </c:title>
        <c:numFmt formatCode="#,##0_ " sourceLinked="1"/>
        <c:majorTickMark val="out"/>
        <c:minorTickMark val="none"/>
        <c:tickLblPos val="nextTo"/>
        <c:crossAx val="2145422464"/>
        <c:crosses val="autoZero"/>
        <c:crossBetween val="between"/>
        <c:dispUnits>
          <c:builtInUnit val="millions"/>
          <c:dispUnitsLbl>
            <c:layout>
              <c:manualLayout>
                <c:xMode val="edge"/>
                <c:yMode val="edge"/>
                <c:x val="8.0508125213229115E-2"/>
                <c:y val="6.4873605783348165E-2"/>
              </c:manualLayout>
            </c:layout>
            <c:tx>
              <c:rich>
                <a:bodyPr rot="0" vert="horz"/>
                <a:lstStyle/>
                <a:p>
                  <a:pPr algn="ctr">
                    <a:defRPr sz="1100" b="0" i="0" u="none" strike="noStrike" baseline="0">
                      <a:solidFill>
                        <a:srgbClr val="000000"/>
                      </a:solidFill>
                      <a:latin typeface="맑은 고딕"/>
                      <a:ea typeface="맑은 고딕"/>
                      <a:cs typeface="맑은 고딕"/>
                    </a:defRPr>
                  </a:pPr>
                  <a:r>
                    <a:rPr lang="en-US" sz="1000" b="1" i="0" u="none" strike="noStrike" baseline="0">
                      <a:solidFill>
                        <a:srgbClr val="000000"/>
                      </a:solidFill>
                      <a:latin typeface="Calibri"/>
                      <a:cs typeface="Calibri"/>
                    </a:rPr>
                    <a:t>(</a:t>
                  </a:r>
                  <a:r>
                    <a:rPr lang="en-US" sz="1000" b="1" i="0" u="none" strike="noStrike" baseline="0">
                      <a:solidFill>
                        <a:srgbClr val="000000"/>
                      </a:solidFill>
                      <a:latin typeface="맑은 고딕"/>
                      <a:ea typeface="맑은 고딕"/>
                      <a:cs typeface="Calibri"/>
                    </a:rPr>
                    <a:t>백만</a:t>
                  </a:r>
                  <a:r>
                    <a:rPr lang="en-US" sz="1000" b="1" i="0" u="none" strike="noStrike" baseline="0">
                      <a:solidFill>
                        <a:srgbClr val="000000"/>
                      </a:solidFill>
                      <a:latin typeface="Calibri"/>
                      <a:ea typeface="맑은 고딕"/>
                      <a:cs typeface="Calibri"/>
                    </a:rPr>
                    <a:t>)</a:t>
                  </a:r>
                  <a:endParaRPr lang="en-US" sz="1000" b="1" i="0" u="none" strike="noStrike" baseline="0">
                    <a:solidFill>
                      <a:srgbClr val="000000"/>
                    </a:solidFill>
                    <a:latin typeface="Calibri"/>
                    <a:cs typeface="Calibri"/>
                  </a:endParaRPr>
                </a:p>
              </c:rich>
            </c:tx>
          </c:dispUnitsLbl>
        </c:dispUnits>
      </c:valAx>
      <c:catAx>
        <c:axId val="3"/>
        <c:scaling>
          <c:orientation val="minMax"/>
        </c:scaling>
        <c:delete val="1"/>
        <c:axPos val="t"/>
        <c:majorTickMark val="out"/>
        <c:minorTickMark val="none"/>
        <c:tickLblPos val="nextTo"/>
        <c:crossAx val="4"/>
        <c:crosses val="autoZero"/>
        <c:auto val="1"/>
        <c:lblAlgn val="ctr"/>
        <c:lblOffset val="100"/>
        <c:noMultiLvlLbl val="0"/>
      </c:catAx>
      <c:valAx>
        <c:axId val="4"/>
        <c:scaling>
          <c:orientation val="maxMin"/>
          <c:max val="10"/>
          <c:min val="1"/>
        </c:scaling>
        <c:delete val="0"/>
        <c:axPos val="r"/>
        <c:title>
          <c:tx>
            <c:rich>
              <a:bodyPr rot="0" vert="wordArtVertRtl"/>
              <a:lstStyle/>
              <a:p>
                <a:pPr>
                  <a:defRPr/>
                </a:pPr>
                <a:r>
                  <a:rPr lang="ko-KR" altLang="en-US"/>
                  <a:t>신용등급</a:t>
                </a:r>
              </a:p>
            </c:rich>
          </c:tx>
          <c:overlay val="0"/>
          <c:spPr>
            <a:solidFill>
              <a:schemeClr val="accent1">
                <a:lumMod val="20000"/>
                <a:lumOff val="80000"/>
              </a:schemeClr>
            </a:solidFill>
          </c:spPr>
        </c:title>
        <c:numFmt formatCode="#,##0_ " sourceLinked="1"/>
        <c:majorTickMark val="out"/>
        <c:minorTickMark val="none"/>
        <c:tickLblPos val="nextTo"/>
        <c:txPr>
          <a:bodyPr/>
          <a:lstStyle/>
          <a:p>
            <a:pPr>
              <a:defRPr sz="1200"/>
            </a:pPr>
            <a:endParaRPr lang="ko-KR"/>
          </a:p>
        </c:txPr>
        <c:crossAx val="3"/>
        <c:crosses val="max"/>
        <c:crossBetween val="between"/>
      </c:valAx>
    </c:plotArea>
    <c:legend>
      <c:legendPos val="r"/>
      <c:layout>
        <c:manualLayout>
          <c:xMode val="edge"/>
          <c:yMode val="edge"/>
          <c:x val="0.374294027016917"/>
          <c:y val="0.92797665985174926"/>
          <c:w val="0.25259106117706054"/>
          <c:h val="5.2403387850451719E-2"/>
        </c:manualLayout>
      </c:layout>
      <c:overlay val="0"/>
    </c:legend>
    <c:plotVisOnly val="1"/>
    <c:dispBlanksAs val="gap"/>
    <c:showDLblsOverMax val="0"/>
  </c:chart>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맑은 고딕"/>
                <a:ea typeface="맑은 고딕"/>
                <a:cs typeface="맑은 고딕"/>
              </a:defRPr>
            </a:pPr>
            <a:r>
              <a:rPr lang="en-US" sz="1600" b="1" i="0" u="none" strike="noStrike" baseline="0">
                <a:solidFill>
                  <a:srgbClr val="000000"/>
                </a:solidFill>
                <a:latin typeface="맑은 고딕"/>
                <a:ea typeface="맑은 고딕"/>
              </a:rPr>
              <a:t>기말현금과 주가 변화</a:t>
            </a:r>
          </a:p>
        </c:rich>
      </c:tx>
      <c:overlay val="0"/>
    </c:title>
    <c:autoTitleDeleted val="0"/>
    <c:plotArea>
      <c:layout>
        <c:manualLayout>
          <c:layoutTarget val="inner"/>
          <c:xMode val="edge"/>
          <c:yMode val="edge"/>
          <c:x val="0.11846111008103458"/>
          <c:y val="0.16846396127655014"/>
          <c:w val="0.7824060227203089"/>
          <c:h val="0.58731478417316496"/>
        </c:manualLayout>
      </c:layout>
      <c:barChart>
        <c:barDir val="col"/>
        <c:grouping val="clustered"/>
        <c:varyColors val="0"/>
        <c:ser>
          <c:idx val="0"/>
          <c:order val="0"/>
          <c:tx>
            <c:strRef>
              <c:f>'3. 기초 분석 자료'!$B$11</c:f>
              <c:strCache>
                <c:ptCount val="1"/>
                <c:pt idx="0">
                  <c:v>기말현금</c:v>
                </c:pt>
              </c:strCache>
            </c:strRef>
          </c:tx>
          <c:spPr>
            <a:solidFill>
              <a:schemeClr val="accent5">
                <a:lumMod val="75000"/>
              </a:schemeClr>
            </a:solidFill>
            <a:ln>
              <a:noFill/>
            </a:ln>
          </c:spPr>
          <c:invertIfNegative val="0"/>
          <c:cat>
            <c:multiLvlStrRef>
              <c:f>'3. 기초 분석 자료'!$C$36:$V$37</c:f>
              <c:multiLvlStrCache>
                <c:ptCount val="20"/>
                <c:lvl>
                  <c:pt idx="0">
                    <c:v>1Q</c:v>
                  </c:pt>
                  <c:pt idx="1">
                    <c:v>2Q</c:v>
                  </c:pt>
                  <c:pt idx="2">
                    <c:v>3Q</c:v>
                  </c:pt>
                  <c:pt idx="3">
                    <c:v>4Q</c:v>
                  </c:pt>
                  <c:pt idx="4">
                    <c:v>1Q</c:v>
                  </c:pt>
                  <c:pt idx="5">
                    <c:v>2Q</c:v>
                  </c:pt>
                  <c:pt idx="6">
                    <c:v>3Q</c:v>
                  </c:pt>
                  <c:pt idx="7">
                    <c:v>4Q</c:v>
                  </c:pt>
                  <c:pt idx="8">
                    <c:v>1Q</c:v>
                  </c:pt>
                  <c:pt idx="9">
                    <c:v>2Q</c:v>
                  </c:pt>
                  <c:pt idx="10">
                    <c:v>3Q</c:v>
                  </c:pt>
                  <c:pt idx="11">
                    <c:v>4Q</c:v>
                  </c:pt>
                  <c:pt idx="12">
                    <c:v>1Q</c:v>
                  </c:pt>
                  <c:pt idx="13">
                    <c:v>2Q</c:v>
                  </c:pt>
                  <c:pt idx="14">
                    <c:v>3Q</c:v>
                  </c:pt>
                  <c:pt idx="15">
                    <c:v>4Q</c:v>
                  </c:pt>
                  <c:pt idx="16">
                    <c:v>1Q</c:v>
                  </c:pt>
                  <c:pt idx="17">
                    <c:v>2Q</c:v>
                  </c:pt>
                  <c:pt idx="18">
                    <c:v>3Q</c:v>
                  </c:pt>
                  <c:pt idx="19">
                    <c:v>4Q</c:v>
                  </c:pt>
                </c:lvl>
                <c:lvl>
                  <c:pt idx="0">
                    <c:v>1차년도</c:v>
                  </c:pt>
                  <c:pt idx="4">
                    <c:v>2차년도</c:v>
                  </c:pt>
                  <c:pt idx="8">
                    <c:v>3차년도</c:v>
                  </c:pt>
                  <c:pt idx="12">
                    <c:v>4차년도</c:v>
                  </c:pt>
                  <c:pt idx="16">
                    <c:v>5차년도</c:v>
                  </c:pt>
                </c:lvl>
              </c:multiLvlStrCache>
            </c:multiLvlStrRef>
          </c:cat>
          <c:val>
            <c:numRef>
              <c:f>'3. 기초 분석 자료'!$C$11:$V$11</c:f>
              <c:numCache>
                <c:formatCode>#,##0_ </c:formatCode>
                <c:ptCount val="20"/>
                <c:pt idx="0">
                  <c:v>2802876690.1500015</c:v>
                </c:pt>
                <c:pt idx="1">
                  <c:v>3518088223.2176499</c:v>
                </c:pt>
                <c:pt idx="2">
                  <c:v>6333129594.7759094</c:v>
                </c:pt>
                <c:pt idx="3">
                  <c:v>9206735265.2291222</c:v>
                </c:pt>
                <c:pt idx="4">
                  <c:v>4760492516.070981</c:v>
                </c:pt>
                <c:pt idx="5">
                  <c:v>3527733515.2710323</c:v>
                </c:pt>
                <c:pt idx="6">
                  <c:v>6768786001.360507</c:v>
                </c:pt>
                <c:pt idx="7">
                  <c:v>4528388338.2405128</c:v>
                </c:pt>
                <c:pt idx="8">
                  <c:v>8649800070.1016026</c:v>
                </c:pt>
                <c:pt idx="9">
                  <c:v>11209511728.821596</c:v>
                </c:pt>
                <c:pt idx="10">
                  <c:v>14218477611.821596</c:v>
                </c:pt>
                <c:pt idx="11">
                  <c:v>15025724183</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1ED0-40AB-856F-7F90C3A4AADE}"/>
            </c:ext>
          </c:extLst>
        </c:ser>
        <c:dLbls>
          <c:showLegendKey val="0"/>
          <c:showVal val="0"/>
          <c:showCatName val="0"/>
          <c:showSerName val="0"/>
          <c:showPercent val="0"/>
          <c:showBubbleSize val="0"/>
        </c:dLbls>
        <c:gapWidth val="150"/>
        <c:axId val="2145416464"/>
        <c:axId val="1"/>
      </c:barChart>
      <c:lineChart>
        <c:grouping val="standard"/>
        <c:varyColors val="0"/>
        <c:ser>
          <c:idx val="1"/>
          <c:order val="1"/>
          <c:tx>
            <c:strRef>
              <c:f>'3. 기초 분석 자료'!$B$10</c:f>
              <c:strCache>
                <c:ptCount val="1"/>
                <c:pt idx="0">
                  <c:v>주가</c:v>
                </c:pt>
              </c:strCache>
            </c:strRef>
          </c:tx>
          <c:val>
            <c:numRef>
              <c:f>'3. 기초 분석 자료'!$C$10:$V$10</c:f>
              <c:numCache>
                <c:formatCode>#,##0_ </c:formatCode>
                <c:ptCount val="20"/>
                <c:pt idx="0">
                  <c:v>4583</c:v>
                </c:pt>
                <c:pt idx="1">
                  <c:v>5252</c:v>
                </c:pt>
                <c:pt idx="2">
                  <c:v>5056</c:v>
                </c:pt>
                <c:pt idx="3">
                  <c:v>6097</c:v>
                </c:pt>
                <c:pt idx="4">
                  <c:v>4878</c:v>
                </c:pt>
                <c:pt idx="5">
                  <c:v>6389</c:v>
                </c:pt>
                <c:pt idx="6">
                  <c:v>6251</c:v>
                </c:pt>
                <c:pt idx="7">
                  <c:v>6547</c:v>
                </c:pt>
                <c:pt idx="8">
                  <c:v>5724</c:v>
                </c:pt>
                <c:pt idx="9">
                  <c:v>6839</c:v>
                </c:pt>
                <c:pt idx="10">
                  <c:v>6142</c:v>
                </c:pt>
                <c:pt idx="11">
                  <c:v>5774</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1-1ED0-40AB-856F-7F90C3A4AADE}"/>
            </c:ext>
          </c:extLst>
        </c:ser>
        <c:dLbls>
          <c:showLegendKey val="0"/>
          <c:showVal val="0"/>
          <c:showCatName val="0"/>
          <c:showSerName val="0"/>
          <c:showPercent val="0"/>
          <c:showBubbleSize val="0"/>
        </c:dLbls>
        <c:marker val="1"/>
        <c:smooth val="0"/>
        <c:axId val="3"/>
        <c:axId val="4"/>
      </c:lineChart>
      <c:catAx>
        <c:axId val="2145416464"/>
        <c:scaling>
          <c:orientation val="minMax"/>
        </c:scaling>
        <c:delete val="0"/>
        <c:axPos val="b"/>
        <c:numFmt formatCode="General" sourceLinked="1"/>
        <c:majorTickMark val="out"/>
        <c:minorTickMark val="none"/>
        <c:tickLblPos val="nextTo"/>
        <c:crossAx val="1"/>
        <c:crosses val="autoZero"/>
        <c:auto val="1"/>
        <c:lblAlgn val="ctr"/>
        <c:lblOffset val="100"/>
        <c:noMultiLvlLbl val="0"/>
      </c:catAx>
      <c:valAx>
        <c:axId val="1"/>
        <c:scaling>
          <c:orientation val="minMax"/>
        </c:scaling>
        <c:delete val="0"/>
        <c:axPos val="l"/>
        <c:majorGridlines/>
        <c:title>
          <c:tx>
            <c:rich>
              <a:bodyPr rot="0" vert="wordArtVertRtl" anchor="t" anchorCtr="0"/>
              <a:lstStyle/>
              <a:p>
                <a:pPr>
                  <a:defRPr/>
                </a:pPr>
                <a:r>
                  <a:rPr lang="ko-KR" altLang="en-US"/>
                  <a:t>기말현금</a:t>
                </a:r>
              </a:p>
            </c:rich>
          </c:tx>
          <c:overlay val="0"/>
          <c:spPr>
            <a:solidFill>
              <a:schemeClr val="accent1">
                <a:lumMod val="20000"/>
                <a:lumOff val="80000"/>
              </a:schemeClr>
            </a:solidFill>
          </c:spPr>
        </c:title>
        <c:numFmt formatCode="#,##0_ " sourceLinked="1"/>
        <c:majorTickMark val="out"/>
        <c:minorTickMark val="none"/>
        <c:tickLblPos val="nextTo"/>
        <c:crossAx val="2145416464"/>
        <c:crosses val="autoZero"/>
        <c:crossBetween val="between"/>
        <c:dispUnits>
          <c:builtInUnit val="millions"/>
          <c:dispUnitsLbl>
            <c:layout>
              <c:manualLayout>
                <c:xMode val="edge"/>
                <c:yMode val="edge"/>
                <c:x val="8.0508125213229115E-2"/>
                <c:y val="6.4873605783348165E-2"/>
              </c:manualLayout>
            </c:layout>
            <c:tx>
              <c:rich>
                <a:bodyPr rot="0" vert="horz"/>
                <a:lstStyle/>
                <a:p>
                  <a:pPr algn="ctr">
                    <a:defRPr sz="1100" b="0" i="0" u="none" strike="noStrike" baseline="0">
                      <a:solidFill>
                        <a:srgbClr val="000000"/>
                      </a:solidFill>
                      <a:latin typeface="맑은 고딕"/>
                      <a:ea typeface="맑은 고딕"/>
                      <a:cs typeface="맑은 고딕"/>
                    </a:defRPr>
                  </a:pPr>
                  <a:r>
                    <a:rPr lang="en-US" sz="1000" b="1" i="0" u="none" strike="noStrike" baseline="0">
                      <a:solidFill>
                        <a:srgbClr val="000000"/>
                      </a:solidFill>
                      <a:latin typeface="Calibri"/>
                      <a:cs typeface="Calibri"/>
                    </a:rPr>
                    <a:t>(</a:t>
                  </a:r>
                  <a:r>
                    <a:rPr lang="en-US" sz="1000" b="1" i="0" u="none" strike="noStrike" baseline="0">
                      <a:solidFill>
                        <a:srgbClr val="000000"/>
                      </a:solidFill>
                      <a:latin typeface="맑은 고딕"/>
                      <a:ea typeface="맑은 고딕"/>
                      <a:cs typeface="Calibri"/>
                    </a:rPr>
                    <a:t>백만</a:t>
                  </a:r>
                  <a:r>
                    <a:rPr lang="en-US" sz="1000" b="1" i="0" u="none" strike="noStrike" baseline="0">
                      <a:solidFill>
                        <a:srgbClr val="000000"/>
                      </a:solidFill>
                      <a:latin typeface="Calibri"/>
                      <a:ea typeface="맑은 고딕"/>
                      <a:cs typeface="Calibri"/>
                    </a:rPr>
                    <a:t>)</a:t>
                  </a:r>
                  <a:endParaRPr lang="en-US" sz="1000" b="1" i="0" u="none" strike="noStrike" baseline="0">
                    <a:solidFill>
                      <a:srgbClr val="000000"/>
                    </a:solidFill>
                    <a:latin typeface="Calibri"/>
                    <a:cs typeface="Calibri"/>
                  </a:endParaRPr>
                </a:p>
              </c:rich>
            </c:tx>
          </c:dispUnitsLbl>
        </c:dispUnits>
      </c:valAx>
      <c:catAx>
        <c:axId val="3"/>
        <c:scaling>
          <c:orientation val="minMax"/>
        </c:scaling>
        <c:delete val="1"/>
        <c:axPos val="b"/>
        <c:majorTickMark val="out"/>
        <c:minorTickMark val="none"/>
        <c:tickLblPos val="nextTo"/>
        <c:crossAx val="4"/>
        <c:crosses val="autoZero"/>
        <c:auto val="1"/>
        <c:lblAlgn val="ctr"/>
        <c:lblOffset val="100"/>
        <c:noMultiLvlLbl val="0"/>
      </c:catAx>
      <c:valAx>
        <c:axId val="4"/>
        <c:scaling>
          <c:orientation val="minMax"/>
          <c:min val="2000"/>
        </c:scaling>
        <c:delete val="0"/>
        <c:axPos val="r"/>
        <c:title>
          <c:tx>
            <c:rich>
              <a:bodyPr rot="0" vert="wordArtVertRtl"/>
              <a:lstStyle/>
              <a:p>
                <a:pPr>
                  <a:defRPr/>
                </a:pPr>
                <a:r>
                  <a:rPr lang="ko-KR" altLang="en-US"/>
                  <a:t>주가</a:t>
                </a:r>
              </a:p>
            </c:rich>
          </c:tx>
          <c:overlay val="0"/>
          <c:spPr>
            <a:solidFill>
              <a:schemeClr val="accent1">
                <a:lumMod val="20000"/>
                <a:lumOff val="80000"/>
              </a:schemeClr>
            </a:solidFill>
          </c:spPr>
        </c:title>
        <c:numFmt formatCode="#,##0_ " sourceLinked="1"/>
        <c:majorTickMark val="out"/>
        <c:minorTickMark val="none"/>
        <c:tickLblPos val="nextTo"/>
        <c:txPr>
          <a:bodyPr/>
          <a:lstStyle/>
          <a:p>
            <a:pPr>
              <a:defRPr sz="1200"/>
            </a:pPr>
            <a:endParaRPr lang="ko-KR"/>
          </a:p>
        </c:txPr>
        <c:crossAx val="3"/>
        <c:crosses val="max"/>
        <c:crossBetween val="between"/>
      </c:valAx>
    </c:plotArea>
    <c:legend>
      <c:legendPos val="r"/>
      <c:layout>
        <c:manualLayout>
          <c:xMode val="edge"/>
          <c:yMode val="edge"/>
          <c:x val="0.37731674610527266"/>
          <c:y val="0.92797665985174926"/>
          <c:w val="0.24397924936130413"/>
          <c:h val="5.2403387850451719E-2"/>
        </c:manualLayout>
      </c:layout>
      <c:overlay val="0"/>
    </c:legend>
    <c:plotVisOnly val="1"/>
    <c:dispBlanksAs val="gap"/>
    <c:showDLblsOverMax val="0"/>
  </c:chart>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ko-KR" altLang="en-US" sz="1400" b="1" i="0" u="none" strike="noStrike" kern="1200" spc="0" baseline="0">
                <a:solidFill>
                  <a:sysClr val="windowText" lastClr="000000">
                    <a:lumMod val="65000"/>
                    <a:lumOff val="35000"/>
                  </a:sysClr>
                </a:solidFill>
              </a:rPr>
              <a:t>디지털 마케팅 인력 증감과 브랜드 등급의 연관성</a:t>
            </a:r>
            <a:endParaRPr lang="en-US" altLang="ko-KR" sz="1400" b="1"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ko-KR"/>
        </a:p>
      </c:txPr>
    </c:title>
    <c:autoTitleDeleted val="0"/>
    <c:plotArea>
      <c:layout/>
      <c:barChart>
        <c:barDir val="col"/>
        <c:grouping val="clustered"/>
        <c:varyColors val="0"/>
        <c:ser>
          <c:idx val="1"/>
          <c:order val="1"/>
          <c:tx>
            <c:strRef>
              <c:f>'3. 기초 분석 자료'!$B$406</c:f>
              <c:strCache>
                <c:ptCount val="1"/>
                <c:pt idx="0">
                  <c:v>브랜드 등급</c:v>
                </c:pt>
              </c:strCache>
            </c:strRef>
          </c:tx>
          <c:spPr>
            <a:solidFill>
              <a:schemeClr val="accent5">
                <a:shade val="76000"/>
              </a:schemeClr>
            </a:solidFill>
            <a:ln>
              <a:noFill/>
            </a:ln>
            <a:effectLst/>
          </c:spPr>
          <c:invertIfNegative val="0"/>
          <c:cat>
            <c:multiLvlStrRef>
              <c:f>'3. 기초 분석 자료'!$C$403:$V$404</c:f>
              <c:multiLvlStrCache>
                <c:ptCount val="20"/>
                <c:lvl>
                  <c:pt idx="0">
                    <c:v>1Q</c:v>
                  </c:pt>
                  <c:pt idx="1">
                    <c:v>2Q</c:v>
                  </c:pt>
                  <c:pt idx="2">
                    <c:v>3Q</c:v>
                  </c:pt>
                  <c:pt idx="3">
                    <c:v>4Q</c:v>
                  </c:pt>
                  <c:pt idx="4">
                    <c:v>1Q</c:v>
                  </c:pt>
                  <c:pt idx="5">
                    <c:v>2Q</c:v>
                  </c:pt>
                  <c:pt idx="6">
                    <c:v>3Q</c:v>
                  </c:pt>
                  <c:pt idx="7">
                    <c:v>4Q</c:v>
                  </c:pt>
                  <c:pt idx="8">
                    <c:v>1Q</c:v>
                  </c:pt>
                  <c:pt idx="9">
                    <c:v>2Q</c:v>
                  </c:pt>
                  <c:pt idx="10">
                    <c:v>3Q</c:v>
                  </c:pt>
                  <c:pt idx="11">
                    <c:v>4Q</c:v>
                  </c:pt>
                  <c:pt idx="12">
                    <c:v>1Q</c:v>
                  </c:pt>
                  <c:pt idx="13">
                    <c:v>2Q</c:v>
                  </c:pt>
                  <c:pt idx="14">
                    <c:v>3Q</c:v>
                  </c:pt>
                  <c:pt idx="15">
                    <c:v>4Q</c:v>
                  </c:pt>
                  <c:pt idx="16">
                    <c:v>1Q</c:v>
                  </c:pt>
                  <c:pt idx="17">
                    <c:v>2Q</c:v>
                  </c:pt>
                  <c:pt idx="18">
                    <c:v>3Q</c:v>
                  </c:pt>
                  <c:pt idx="19">
                    <c:v>4Q</c:v>
                  </c:pt>
                </c:lvl>
                <c:lvl>
                  <c:pt idx="0">
                    <c:v>1차년도</c:v>
                  </c:pt>
                  <c:pt idx="4">
                    <c:v>2차년도</c:v>
                  </c:pt>
                  <c:pt idx="8">
                    <c:v>3차년도</c:v>
                  </c:pt>
                  <c:pt idx="12">
                    <c:v>4차년도</c:v>
                  </c:pt>
                  <c:pt idx="16">
                    <c:v>5차년도</c:v>
                  </c:pt>
                </c:lvl>
              </c:multiLvlStrCache>
            </c:multiLvlStrRef>
          </c:cat>
          <c:val>
            <c:numRef>
              <c:f>'3. 기초 분석 자료'!$C$406:$V$406</c:f>
              <c:numCache>
                <c:formatCode>_(* #,##0_);_(* \(#,##0\);_(* "-"_);_(@_)</c:formatCode>
                <c:ptCount val="20"/>
                <c:pt idx="0">
                  <c:v>7</c:v>
                </c:pt>
                <c:pt idx="1">
                  <c:v>7</c:v>
                </c:pt>
                <c:pt idx="2">
                  <c:v>6</c:v>
                </c:pt>
                <c:pt idx="3">
                  <c:v>6</c:v>
                </c:pt>
                <c:pt idx="4">
                  <c:v>6</c:v>
                </c:pt>
                <c:pt idx="5">
                  <c:v>5</c:v>
                </c:pt>
                <c:pt idx="6">
                  <c:v>5</c:v>
                </c:pt>
                <c:pt idx="7">
                  <c:v>5</c:v>
                </c:pt>
                <c:pt idx="8">
                  <c:v>4</c:v>
                </c:pt>
                <c:pt idx="9">
                  <c:v>4</c:v>
                </c:pt>
                <c:pt idx="10">
                  <c:v>4</c:v>
                </c:pt>
                <c:pt idx="11">
                  <c:v>4</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370A-4767-8664-7424C617455D}"/>
            </c:ext>
          </c:extLst>
        </c:ser>
        <c:dLbls>
          <c:showLegendKey val="0"/>
          <c:showVal val="0"/>
          <c:showCatName val="0"/>
          <c:showSerName val="0"/>
          <c:showPercent val="0"/>
          <c:showBubbleSize val="0"/>
        </c:dLbls>
        <c:gapWidth val="219"/>
        <c:axId val="385838351"/>
        <c:axId val="1289427375"/>
      </c:barChart>
      <c:lineChart>
        <c:grouping val="standard"/>
        <c:varyColors val="0"/>
        <c:ser>
          <c:idx val="0"/>
          <c:order val="0"/>
          <c:tx>
            <c:strRef>
              <c:f>'3. 기초 분석 자료'!$B$405</c:f>
              <c:strCache>
                <c:ptCount val="1"/>
                <c:pt idx="0">
                  <c:v>디지털 마케팅 인력 증감</c:v>
                </c:pt>
              </c:strCache>
            </c:strRef>
          </c:tx>
          <c:spPr>
            <a:ln w="28575" cap="rnd">
              <a:solidFill>
                <a:schemeClr val="accent5">
                  <a:tint val="77000"/>
                </a:schemeClr>
              </a:solidFill>
              <a:round/>
            </a:ln>
            <a:effectLst/>
          </c:spPr>
          <c:marker>
            <c:symbol val="none"/>
          </c:marker>
          <c:cat>
            <c:multiLvlStrRef>
              <c:f>'3. 기초 분석 자료'!$C$403:$V$404</c:f>
              <c:multiLvlStrCache>
                <c:ptCount val="20"/>
                <c:lvl>
                  <c:pt idx="0">
                    <c:v>1Q</c:v>
                  </c:pt>
                  <c:pt idx="1">
                    <c:v>2Q</c:v>
                  </c:pt>
                  <c:pt idx="2">
                    <c:v>3Q</c:v>
                  </c:pt>
                  <c:pt idx="3">
                    <c:v>4Q</c:v>
                  </c:pt>
                  <c:pt idx="4">
                    <c:v>1Q</c:v>
                  </c:pt>
                  <c:pt idx="5">
                    <c:v>2Q</c:v>
                  </c:pt>
                  <c:pt idx="6">
                    <c:v>3Q</c:v>
                  </c:pt>
                  <c:pt idx="7">
                    <c:v>4Q</c:v>
                  </c:pt>
                  <c:pt idx="8">
                    <c:v>1Q</c:v>
                  </c:pt>
                  <c:pt idx="9">
                    <c:v>2Q</c:v>
                  </c:pt>
                  <c:pt idx="10">
                    <c:v>3Q</c:v>
                  </c:pt>
                  <c:pt idx="11">
                    <c:v>4Q</c:v>
                  </c:pt>
                  <c:pt idx="12">
                    <c:v>1Q</c:v>
                  </c:pt>
                  <c:pt idx="13">
                    <c:v>2Q</c:v>
                  </c:pt>
                  <c:pt idx="14">
                    <c:v>3Q</c:v>
                  </c:pt>
                  <c:pt idx="15">
                    <c:v>4Q</c:v>
                  </c:pt>
                  <c:pt idx="16">
                    <c:v>1Q</c:v>
                  </c:pt>
                  <c:pt idx="17">
                    <c:v>2Q</c:v>
                  </c:pt>
                  <c:pt idx="18">
                    <c:v>3Q</c:v>
                  </c:pt>
                  <c:pt idx="19">
                    <c:v>4Q</c:v>
                  </c:pt>
                </c:lvl>
                <c:lvl>
                  <c:pt idx="0">
                    <c:v>1차년도</c:v>
                  </c:pt>
                  <c:pt idx="4">
                    <c:v>2차년도</c:v>
                  </c:pt>
                  <c:pt idx="8">
                    <c:v>3차년도</c:v>
                  </c:pt>
                  <c:pt idx="12">
                    <c:v>4차년도</c:v>
                  </c:pt>
                  <c:pt idx="16">
                    <c:v>5차년도</c:v>
                  </c:pt>
                </c:lvl>
              </c:multiLvlStrCache>
            </c:multiLvlStrRef>
          </c:cat>
          <c:val>
            <c:numRef>
              <c:f>'3. 기초 분석 자료'!$C$405:$V$405</c:f>
              <c:numCache>
                <c:formatCode>_(* #,##0_);_(* \(#,##0\);_(* "-"_);_(@_)</c:formatCode>
                <c:ptCount val="20"/>
                <c:pt idx="0">
                  <c:v>0</c:v>
                </c:pt>
                <c:pt idx="1">
                  <c:v>0</c:v>
                </c:pt>
                <c:pt idx="2">
                  <c:v>0</c:v>
                </c:pt>
                <c:pt idx="3">
                  <c:v>0</c:v>
                </c:pt>
                <c:pt idx="4">
                  <c:v>2</c:v>
                </c:pt>
                <c:pt idx="5">
                  <c:v>3</c:v>
                </c:pt>
                <c:pt idx="6">
                  <c:v>4</c:v>
                </c:pt>
                <c:pt idx="7">
                  <c:v>4</c:v>
                </c:pt>
                <c:pt idx="8">
                  <c:v>4</c:v>
                </c:pt>
                <c:pt idx="9">
                  <c:v>4</c:v>
                </c:pt>
                <c:pt idx="10">
                  <c:v>7</c:v>
                </c:pt>
                <c:pt idx="11">
                  <c:v>5</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0-370A-4767-8664-7424C617455D}"/>
            </c:ext>
          </c:extLst>
        </c:ser>
        <c:dLbls>
          <c:showLegendKey val="0"/>
          <c:showVal val="0"/>
          <c:showCatName val="0"/>
          <c:showSerName val="0"/>
          <c:showPercent val="0"/>
          <c:showBubbleSize val="0"/>
        </c:dLbls>
        <c:marker val="1"/>
        <c:smooth val="0"/>
        <c:axId val="385838351"/>
        <c:axId val="1289427375"/>
      </c:lineChart>
      <c:catAx>
        <c:axId val="385838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289427375"/>
        <c:crosses val="autoZero"/>
        <c:auto val="1"/>
        <c:lblAlgn val="ctr"/>
        <c:lblOffset val="100"/>
        <c:noMultiLvlLbl val="0"/>
      </c:catAx>
      <c:valAx>
        <c:axId val="1289427375"/>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3858383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ko-KR" altLang="en-US" sz="1600" b="1" i="0" u="none" strike="noStrike" kern="1200" spc="0" baseline="0">
                <a:solidFill>
                  <a:sysClr val="windowText" lastClr="000000">
                    <a:lumMod val="65000"/>
                    <a:lumOff val="35000"/>
                  </a:sysClr>
                </a:solidFill>
              </a:rPr>
              <a:t>연구 개발인원의 증감과 판매제품 모델의 변화</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barChart>
        <c:barDir val="col"/>
        <c:grouping val="clustered"/>
        <c:varyColors val="0"/>
        <c:ser>
          <c:idx val="0"/>
          <c:order val="0"/>
          <c:tx>
            <c:strRef>
              <c:f>'3. 기초 분석 자료'!$B$426</c:f>
              <c:strCache>
                <c:ptCount val="1"/>
                <c:pt idx="0">
                  <c:v>R&amp;D 연구인원수 증감</c:v>
                </c:pt>
              </c:strCache>
            </c:strRef>
          </c:tx>
          <c:spPr>
            <a:solidFill>
              <a:schemeClr val="accent5">
                <a:tint val="77000"/>
              </a:schemeClr>
            </a:solidFill>
            <a:ln>
              <a:noFill/>
            </a:ln>
            <a:effectLst/>
          </c:spPr>
          <c:invertIfNegative val="0"/>
          <c:cat>
            <c:multiLvlStrRef>
              <c:f>'3. 기초 분석 자료'!$C$424:$V$425</c:f>
              <c:multiLvlStrCache>
                <c:ptCount val="20"/>
                <c:lvl>
                  <c:pt idx="0">
                    <c:v>1Q</c:v>
                  </c:pt>
                  <c:pt idx="1">
                    <c:v>2Q</c:v>
                  </c:pt>
                  <c:pt idx="2">
                    <c:v>3Q</c:v>
                  </c:pt>
                  <c:pt idx="3">
                    <c:v>4Q</c:v>
                  </c:pt>
                  <c:pt idx="4">
                    <c:v>1Q</c:v>
                  </c:pt>
                  <c:pt idx="5">
                    <c:v>2Q</c:v>
                  </c:pt>
                  <c:pt idx="6">
                    <c:v>3Q</c:v>
                  </c:pt>
                  <c:pt idx="7">
                    <c:v>4Q</c:v>
                  </c:pt>
                  <c:pt idx="8">
                    <c:v>1Q</c:v>
                  </c:pt>
                  <c:pt idx="9">
                    <c:v>2Q</c:v>
                  </c:pt>
                  <c:pt idx="10">
                    <c:v>3Q</c:v>
                  </c:pt>
                  <c:pt idx="11">
                    <c:v>4Q</c:v>
                  </c:pt>
                  <c:pt idx="12">
                    <c:v>1Q</c:v>
                  </c:pt>
                  <c:pt idx="13">
                    <c:v>2Q</c:v>
                  </c:pt>
                  <c:pt idx="14">
                    <c:v>3Q</c:v>
                  </c:pt>
                  <c:pt idx="15">
                    <c:v>4Q</c:v>
                  </c:pt>
                  <c:pt idx="16">
                    <c:v>1Q</c:v>
                  </c:pt>
                  <c:pt idx="17">
                    <c:v>2Q</c:v>
                  </c:pt>
                  <c:pt idx="18">
                    <c:v>3Q</c:v>
                  </c:pt>
                  <c:pt idx="19">
                    <c:v>4Q</c:v>
                  </c:pt>
                </c:lvl>
                <c:lvl>
                  <c:pt idx="0">
                    <c:v>1차년도</c:v>
                  </c:pt>
                  <c:pt idx="4">
                    <c:v>2차년도</c:v>
                  </c:pt>
                  <c:pt idx="8">
                    <c:v>3차년도</c:v>
                  </c:pt>
                  <c:pt idx="12">
                    <c:v>4차년도</c:v>
                  </c:pt>
                  <c:pt idx="16">
                    <c:v>5차년도</c:v>
                  </c:pt>
                </c:lvl>
              </c:multiLvlStrCache>
            </c:multiLvlStrRef>
          </c:cat>
          <c:val>
            <c:numRef>
              <c:f>'3. 기초 분석 자료'!$C$426:$V$426</c:f>
              <c:numCache>
                <c:formatCode>_(* #,##0_);_(* \(#,##0\);_(* "-"_);_(@_)</c:formatCode>
                <c:ptCount val="20"/>
                <c:pt idx="0">
                  <c:v>10</c:v>
                </c:pt>
                <c:pt idx="1">
                  <c:v>9</c:v>
                </c:pt>
                <c:pt idx="2">
                  <c:v>8</c:v>
                </c:pt>
                <c:pt idx="3">
                  <c:v>8</c:v>
                </c:pt>
                <c:pt idx="4">
                  <c:v>6</c:v>
                </c:pt>
                <c:pt idx="5">
                  <c:v>6</c:v>
                </c:pt>
                <c:pt idx="6">
                  <c:v>6</c:v>
                </c:pt>
                <c:pt idx="7">
                  <c:v>5</c:v>
                </c:pt>
                <c:pt idx="8">
                  <c:v>4</c:v>
                </c:pt>
                <c:pt idx="9">
                  <c:v>4</c:v>
                </c:pt>
                <c:pt idx="10">
                  <c:v>5</c:v>
                </c:pt>
                <c:pt idx="11">
                  <c:v>5</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9145-40E6-9460-117E421432FE}"/>
            </c:ext>
          </c:extLst>
        </c:ser>
        <c:dLbls>
          <c:showLegendKey val="0"/>
          <c:showVal val="0"/>
          <c:showCatName val="0"/>
          <c:showSerName val="0"/>
          <c:showPercent val="0"/>
          <c:showBubbleSize val="0"/>
        </c:dLbls>
        <c:gapWidth val="219"/>
        <c:axId val="359879375"/>
        <c:axId val="1289442751"/>
      </c:barChart>
      <c:lineChart>
        <c:grouping val="standard"/>
        <c:varyColors val="0"/>
        <c:ser>
          <c:idx val="1"/>
          <c:order val="1"/>
          <c:tx>
            <c:strRef>
              <c:f>'3. 기초 분석 자료'!$B$428</c:f>
              <c:strCache>
                <c:ptCount val="1"/>
                <c:pt idx="0">
                  <c:v>판매제품 모델</c:v>
                </c:pt>
              </c:strCache>
            </c:strRef>
          </c:tx>
          <c:spPr>
            <a:ln w="28575" cap="rnd">
              <a:solidFill>
                <a:schemeClr val="accent5">
                  <a:shade val="76000"/>
                </a:schemeClr>
              </a:solidFill>
              <a:round/>
            </a:ln>
            <a:effectLst/>
          </c:spPr>
          <c:marker>
            <c:symbol val="none"/>
          </c:marker>
          <c:cat>
            <c:multiLvlStrRef>
              <c:f>'3. 기초 분석 자료'!$C$424:$V$425</c:f>
              <c:multiLvlStrCache>
                <c:ptCount val="20"/>
                <c:lvl>
                  <c:pt idx="0">
                    <c:v>1Q</c:v>
                  </c:pt>
                  <c:pt idx="1">
                    <c:v>2Q</c:v>
                  </c:pt>
                  <c:pt idx="2">
                    <c:v>3Q</c:v>
                  </c:pt>
                  <c:pt idx="3">
                    <c:v>4Q</c:v>
                  </c:pt>
                  <c:pt idx="4">
                    <c:v>1Q</c:v>
                  </c:pt>
                  <c:pt idx="5">
                    <c:v>2Q</c:v>
                  </c:pt>
                  <c:pt idx="6">
                    <c:v>3Q</c:v>
                  </c:pt>
                  <c:pt idx="7">
                    <c:v>4Q</c:v>
                  </c:pt>
                  <c:pt idx="8">
                    <c:v>1Q</c:v>
                  </c:pt>
                  <c:pt idx="9">
                    <c:v>2Q</c:v>
                  </c:pt>
                  <c:pt idx="10">
                    <c:v>3Q</c:v>
                  </c:pt>
                  <c:pt idx="11">
                    <c:v>4Q</c:v>
                  </c:pt>
                  <c:pt idx="12">
                    <c:v>1Q</c:v>
                  </c:pt>
                  <c:pt idx="13">
                    <c:v>2Q</c:v>
                  </c:pt>
                  <c:pt idx="14">
                    <c:v>3Q</c:v>
                  </c:pt>
                  <c:pt idx="15">
                    <c:v>4Q</c:v>
                  </c:pt>
                  <c:pt idx="16">
                    <c:v>1Q</c:v>
                  </c:pt>
                  <c:pt idx="17">
                    <c:v>2Q</c:v>
                  </c:pt>
                  <c:pt idx="18">
                    <c:v>3Q</c:v>
                  </c:pt>
                  <c:pt idx="19">
                    <c:v>4Q</c:v>
                  </c:pt>
                </c:lvl>
                <c:lvl>
                  <c:pt idx="0">
                    <c:v>1차년도</c:v>
                  </c:pt>
                  <c:pt idx="4">
                    <c:v>2차년도</c:v>
                  </c:pt>
                  <c:pt idx="8">
                    <c:v>3차년도</c:v>
                  </c:pt>
                  <c:pt idx="12">
                    <c:v>4차년도</c:v>
                  </c:pt>
                  <c:pt idx="16">
                    <c:v>5차년도</c:v>
                  </c:pt>
                </c:lvl>
              </c:multiLvlStrCache>
            </c:multiLvlStrRef>
          </c:cat>
          <c:val>
            <c:numRef>
              <c:f>'3. 기초 분석 자료'!$C$428:$V$428</c:f>
              <c:numCache>
                <c:formatCode>_(* #,##0_);_(* \(#,##0\);_(* "-"_);_(@_)</c:formatCode>
                <c:ptCount val="20"/>
                <c:pt idx="0">
                  <c:v>1</c:v>
                </c:pt>
                <c:pt idx="1">
                  <c:v>1</c:v>
                </c:pt>
                <c:pt idx="2">
                  <c:v>1</c:v>
                </c:pt>
                <c:pt idx="3">
                  <c:v>1</c:v>
                </c:pt>
                <c:pt idx="4">
                  <c:v>2</c:v>
                </c:pt>
                <c:pt idx="5">
                  <c:v>2</c:v>
                </c:pt>
                <c:pt idx="6">
                  <c:v>2</c:v>
                </c:pt>
                <c:pt idx="7">
                  <c:v>2</c:v>
                </c:pt>
                <c:pt idx="8">
                  <c:v>3</c:v>
                </c:pt>
                <c:pt idx="9">
                  <c:v>3</c:v>
                </c:pt>
                <c:pt idx="10">
                  <c:v>4</c:v>
                </c:pt>
                <c:pt idx="11">
                  <c:v>4</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1-9145-40E6-9460-117E421432FE}"/>
            </c:ext>
          </c:extLst>
        </c:ser>
        <c:dLbls>
          <c:showLegendKey val="0"/>
          <c:showVal val="0"/>
          <c:showCatName val="0"/>
          <c:showSerName val="0"/>
          <c:showPercent val="0"/>
          <c:showBubbleSize val="0"/>
        </c:dLbls>
        <c:marker val="1"/>
        <c:smooth val="0"/>
        <c:axId val="359883695"/>
        <c:axId val="1289437791"/>
      </c:lineChart>
      <c:catAx>
        <c:axId val="359879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289442751"/>
        <c:crosses val="autoZero"/>
        <c:auto val="1"/>
        <c:lblAlgn val="ctr"/>
        <c:lblOffset val="100"/>
        <c:noMultiLvlLbl val="0"/>
      </c:catAx>
      <c:valAx>
        <c:axId val="128944275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359879375"/>
        <c:crosses val="autoZero"/>
        <c:crossBetween val="between"/>
      </c:valAx>
      <c:valAx>
        <c:axId val="1289437791"/>
        <c:scaling>
          <c:orientation val="minMax"/>
        </c:scaling>
        <c:delete val="0"/>
        <c:axPos val="r"/>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359883695"/>
        <c:crosses val="max"/>
        <c:crossBetween val="between"/>
      </c:valAx>
      <c:catAx>
        <c:axId val="359883695"/>
        <c:scaling>
          <c:orientation val="minMax"/>
        </c:scaling>
        <c:delete val="1"/>
        <c:axPos val="b"/>
        <c:numFmt formatCode="General" sourceLinked="1"/>
        <c:majorTickMark val="out"/>
        <c:minorTickMark val="none"/>
        <c:tickLblPos val="nextTo"/>
        <c:crossAx val="128943779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ko-KR"/>
              <a:t>고급인력 증감과 판매제품 모델의 변화</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'3. 기초 분석 자료'!$B$427</c:f>
              <c:strCache>
                <c:ptCount val="1"/>
                <c:pt idx="0">
                  <c:v>R&amp;D고급인력 증감</c:v>
                </c:pt>
              </c:strCache>
            </c:strRef>
          </c:tx>
          <c:spPr>
            <a:solidFill>
              <a:schemeClr val="accent5">
                <a:tint val="77000"/>
              </a:schemeClr>
            </a:solidFill>
            <a:ln>
              <a:noFill/>
            </a:ln>
            <a:effectLst/>
          </c:spPr>
          <c:invertIfNegative val="0"/>
          <c:cat>
            <c:multiLvlStrRef>
              <c:f>'3. 기초 분석 자료'!$C$424:$V$425</c:f>
              <c:multiLvlStrCache>
                <c:ptCount val="20"/>
                <c:lvl>
                  <c:pt idx="0">
                    <c:v>1Q</c:v>
                  </c:pt>
                  <c:pt idx="1">
                    <c:v>2Q</c:v>
                  </c:pt>
                  <c:pt idx="2">
                    <c:v>3Q</c:v>
                  </c:pt>
                  <c:pt idx="3">
                    <c:v>4Q</c:v>
                  </c:pt>
                  <c:pt idx="4">
                    <c:v>1Q</c:v>
                  </c:pt>
                  <c:pt idx="5">
                    <c:v>2Q</c:v>
                  </c:pt>
                  <c:pt idx="6">
                    <c:v>3Q</c:v>
                  </c:pt>
                  <c:pt idx="7">
                    <c:v>4Q</c:v>
                  </c:pt>
                  <c:pt idx="8">
                    <c:v>1Q</c:v>
                  </c:pt>
                  <c:pt idx="9">
                    <c:v>2Q</c:v>
                  </c:pt>
                  <c:pt idx="10">
                    <c:v>3Q</c:v>
                  </c:pt>
                  <c:pt idx="11">
                    <c:v>4Q</c:v>
                  </c:pt>
                  <c:pt idx="12">
                    <c:v>1Q</c:v>
                  </c:pt>
                  <c:pt idx="13">
                    <c:v>2Q</c:v>
                  </c:pt>
                  <c:pt idx="14">
                    <c:v>3Q</c:v>
                  </c:pt>
                  <c:pt idx="15">
                    <c:v>4Q</c:v>
                  </c:pt>
                  <c:pt idx="16">
                    <c:v>1Q</c:v>
                  </c:pt>
                  <c:pt idx="17">
                    <c:v>2Q</c:v>
                  </c:pt>
                  <c:pt idx="18">
                    <c:v>3Q</c:v>
                  </c:pt>
                  <c:pt idx="19">
                    <c:v>4Q</c:v>
                  </c:pt>
                </c:lvl>
                <c:lvl>
                  <c:pt idx="0">
                    <c:v>1차년도</c:v>
                  </c:pt>
                  <c:pt idx="4">
                    <c:v>2차년도</c:v>
                  </c:pt>
                  <c:pt idx="8">
                    <c:v>3차년도</c:v>
                  </c:pt>
                  <c:pt idx="12">
                    <c:v>4차년도</c:v>
                  </c:pt>
                  <c:pt idx="16">
                    <c:v>5차년도</c:v>
                  </c:pt>
                </c:lvl>
              </c:multiLvlStrCache>
            </c:multiLvlStrRef>
          </c:cat>
          <c:val>
            <c:numRef>
              <c:f>'3. 기초 분석 자료'!$C$427:$V$427</c:f>
              <c:numCache>
                <c:formatCode>_(* #,##0_);_(* \(#,##0\);_(* "-"_);_(@_)</c:formatCode>
                <c:ptCount val="20"/>
                <c:pt idx="0">
                  <c:v>0</c:v>
                </c:pt>
                <c:pt idx="1">
                  <c:v>0</c:v>
                </c:pt>
                <c:pt idx="2">
                  <c:v>0</c:v>
                </c:pt>
                <c:pt idx="3">
                  <c:v>4</c:v>
                </c:pt>
                <c:pt idx="4">
                  <c:v>5</c:v>
                </c:pt>
                <c:pt idx="5">
                  <c:v>7</c:v>
                </c:pt>
                <c:pt idx="6">
                  <c:v>7</c:v>
                </c:pt>
                <c:pt idx="7">
                  <c:v>6</c:v>
                </c:pt>
                <c:pt idx="8">
                  <c:v>7</c:v>
                </c:pt>
                <c:pt idx="9">
                  <c:v>7</c:v>
                </c:pt>
                <c:pt idx="10">
                  <c:v>5</c:v>
                </c:pt>
                <c:pt idx="11">
                  <c:v>3</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1932-44ED-AD6B-440FD3BDD989}"/>
            </c:ext>
          </c:extLst>
        </c:ser>
        <c:dLbls>
          <c:showLegendKey val="0"/>
          <c:showVal val="0"/>
          <c:showCatName val="0"/>
          <c:showSerName val="0"/>
          <c:showPercent val="0"/>
          <c:showBubbleSize val="0"/>
        </c:dLbls>
        <c:gapWidth val="219"/>
        <c:axId val="359882735"/>
        <c:axId val="1287561183"/>
      </c:barChart>
      <c:lineChart>
        <c:grouping val="standard"/>
        <c:varyColors val="0"/>
        <c:ser>
          <c:idx val="1"/>
          <c:order val="1"/>
          <c:tx>
            <c:strRef>
              <c:f>'3. 기초 분석 자료'!$B$428</c:f>
              <c:strCache>
                <c:ptCount val="1"/>
                <c:pt idx="0">
                  <c:v>판매제품 모델</c:v>
                </c:pt>
              </c:strCache>
            </c:strRef>
          </c:tx>
          <c:spPr>
            <a:ln w="28575" cap="rnd">
              <a:solidFill>
                <a:schemeClr val="accent5">
                  <a:shade val="76000"/>
                </a:schemeClr>
              </a:solidFill>
              <a:round/>
            </a:ln>
            <a:effectLst/>
          </c:spPr>
          <c:marker>
            <c:symbol val="none"/>
          </c:marker>
          <c:cat>
            <c:multiLvlStrRef>
              <c:f>'3. 기초 분석 자료'!$C$424:$V$425</c:f>
              <c:multiLvlStrCache>
                <c:ptCount val="20"/>
                <c:lvl>
                  <c:pt idx="0">
                    <c:v>1Q</c:v>
                  </c:pt>
                  <c:pt idx="1">
                    <c:v>2Q</c:v>
                  </c:pt>
                  <c:pt idx="2">
                    <c:v>3Q</c:v>
                  </c:pt>
                  <c:pt idx="3">
                    <c:v>4Q</c:v>
                  </c:pt>
                  <c:pt idx="4">
                    <c:v>1Q</c:v>
                  </c:pt>
                  <c:pt idx="5">
                    <c:v>2Q</c:v>
                  </c:pt>
                  <c:pt idx="6">
                    <c:v>3Q</c:v>
                  </c:pt>
                  <c:pt idx="7">
                    <c:v>4Q</c:v>
                  </c:pt>
                  <c:pt idx="8">
                    <c:v>1Q</c:v>
                  </c:pt>
                  <c:pt idx="9">
                    <c:v>2Q</c:v>
                  </c:pt>
                  <c:pt idx="10">
                    <c:v>3Q</c:v>
                  </c:pt>
                  <c:pt idx="11">
                    <c:v>4Q</c:v>
                  </c:pt>
                  <c:pt idx="12">
                    <c:v>1Q</c:v>
                  </c:pt>
                  <c:pt idx="13">
                    <c:v>2Q</c:v>
                  </c:pt>
                  <c:pt idx="14">
                    <c:v>3Q</c:v>
                  </c:pt>
                  <c:pt idx="15">
                    <c:v>4Q</c:v>
                  </c:pt>
                  <c:pt idx="16">
                    <c:v>1Q</c:v>
                  </c:pt>
                  <c:pt idx="17">
                    <c:v>2Q</c:v>
                  </c:pt>
                  <c:pt idx="18">
                    <c:v>3Q</c:v>
                  </c:pt>
                  <c:pt idx="19">
                    <c:v>4Q</c:v>
                  </c:pt>
                </c:lvl>
                <c:lvl>
                  <c:pt idx="0">
                    <c:v>1차년도</c:v>
                  </c:pt>
                  <c:pt idx="4">
                    <c:v>2차년도</c:v>
                  </c:pt>
                  <c:pt idx="8">
                    <c:v>3차년도</c:v>
                  </c:pt>
                  <c:pt idx="12">
                    <c:v>4차년도</c:v>
                  </c:pt>
                  <c:pt idx="16">
                    <c:v>5차년도</c:v>
                  </c:pt>
                </c:lvl>
              </c:multiLvlStrCache>
            </c:multiLvlStrRef>
          </c:cat>
          <c:val>
            <c:numRef>
              <c:f>'3. 기초 분석 자료'!$C$428:$V$428</c:f>
              <c:numCache>
                <c:formatCode>_(* #,##0_);_(* \(#,##0\);_(* "-"_);_(@_)</c:formatCode>
                <c:ptCount val="20"/>
                <c:pt idx="0">
                  <c:v>1</c:v>
                </c:pt>
                <c:pt idx="1">
                  <c:v>1</c:v>
                </c:pt>
                <c:pt idx="2">
                  <c:v>1</c:v>
                </c:pt>
                <c:pt idx="3">
                  <c:v>1</c:v>
                </c:pt>
                <c:pt idx="4">
                  <c:v>2</c:v>
                </c:pt>
                <c:pt idx="5">
                  <c:v>2</c:v>
                </c:pt>
                <c:pt idx="6">
                  <c:v>2</c:v>
                </c:pt>
                <c:pt idx="7">
                  <c:v>2</c:v>
                </c:pt>
                <c:pt idx="8">
                  <c:v>3</c:v>
                </c:pt>
                <c:pt idx="9">
                  <c:v>3</c:v>
                </c:pt>
                <c:pt idx="10">
                  <c:v>4</c:v>
                </c:pt>
                <c:pt idx="11">
                  <c:v>4</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1-1932-44ED-AD6B-440FD3BDD989}"/>
            </c:ext>
          </c:extLst>
        </c:ser>
        <c:dLbls>
          <c:showLegendKey val="0"/>
          <c:showVal val="0"/>
          <c:showCatName val="0"/>
          <c:showSerName val="0"/>
          <c:showPercent val="0"/>
          <c:showBubbleSize val="0"/>
        </c:dLbls>
        <c:marker val="1"/>
        <c:smooth val="0"/>
        <c:axId val="359882735"/>
        <c:axId val="1287561183"/>
      </c:lineChart>
      <c:catAx>
        <c:axId val="359882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287561183"/>
        <c:crosses val="autoZero"/>
        <c:auto val="1"/>
        <c:lblAlgn val="ctr"/>
        <c:lblOffset val="100"/>
        <c:noMultiLvlLbl val="0"/>
      </c:catAx>
      <c:valAx>
        <c:axId val="1287561183"/>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3598827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맑은 고딕"/>
                <a:ea typeface="맑은 고딕"/>
                <a:cs typeface="맑은 고딕"/>
              </a:defRPr>
            </a:pPr>
            <a:r>
              <a:rPr lang="en-US" sz="1600" b="1" i="0" u="none" strike="noStrike" baseline="0">
                <a:solidFill>
                  <a:srgbClr val="000000"/>
                </a:solidFill>
                <a:latin typeface="맑은 고딕"/>
                <a:ea typeface="맑은 고딕"/>
              </a:rPr>
              <a:t>손익계산서 추정치 </a:t>
            </a:r>
          </a:p>
        </c:rich>
      </c:tx>
      <c:overlay val="0"/>
    </c:title>
    <c:autoTitleDeleted val="0"/>
    <c:plotArea>
      <c:layout/>
      <c:barChart>
        <c:barDir val="col"/>
        <c:grouping val="clustered"/>
        <c:varyColors val="0"/>
        <c:ser>
          <c:idx val="0"/>
          <c:order val="0"/>
          <c:tx>
            <c:strRef>
              <c:f>'4. 재무분석도구'!$P$5:$Q$5</c:f>
              <c:strCache>
                <c:ptCount val="1"/>
                <c:pt idx="0">
                  <c:v>예상치 비율</c:v>
                </c:pt>
              </c:strCache>
            </c:strRef>
          </c:tx>
          <c:invertIfNegative val="0"/>
          <c:dLbls>
            <c:spPr>
              <a:solidFill>
                <a:schemeClr val="bg1"/>
              </a:solidFill>
            </c:spPr>
            <c:txPr>
              <a:bodyPr/>
              <a:lstStyle/>
              <a:p>
                <a:pPr>
                  <a:defRPr sz="1200"/>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('4. 재무분석도구'!$O$6,'4. 재무분석도구'!$O$10,'4. 재무분석도구'!$O$14,'4. 재무분석도구'!$O$15,'4. 재무분석도구'!$O$29,'4. 재무분석도구'!$O$41)</c:f>
              <c:strCache>
                <c:ptCount val="6"/>
                <c:pt idx="0">
                  <c:v>I. 매출액</c:v>
                </c:pt>
                <c:pt idx="1">
                  <c:v>II. 매출원가</c:v>
                </c:pt>
                <c:pt idx="2">
                  <c:v>III. 매출 총 이익</c:v>
                </c:pt>
                <c:pt idx="3">
                  <c:v>IV. 판매 및 관리비</c:v>
                </c:pt>
                <c:pt idx="4">
                  <c:v>V. 영업이익</c:v>
                </c:pt>
                <c:pt idx="5">
                  <c:v>ⅩII. 당기 순이익 </c:v>
                </c:pt>
              </c:strCache>
            </c:strRef>
          </c:cat>
          <c:val>
            <c:numRef>
              <c:f>('4. 재무분석도구'!$P$6,'4. 재무분석도구'!$P$10,'4. 재무분석도구'!$P$14,'4. 재무분석도구'!$P$15,'4. 재무분석도구'!$P$29,'4. 재무분석도구'!$P$41)</c:f>
              <c:numCache>
                <c:formatCode>#,##0_ ;[Red]\-#,##0\ </c:formatCode>
                <c:ptCount val="6"/>
                <c:pt idx="0">
                  <c:v>88631620000</c:v>
                </c:pt>
                <c:pt idx="1">
                  <c:v>46923785929</c:v>
                </c:pt>
                <c:pt idx="2">
                  <c:v>41707834071</c:v>
                </c:pt>
                <c:pt idx="3">
                  <c:v>36738340205</c:v>
                </c:pt>
                <c:pt idx="4">
                  <c:v>4969493866</c:v>
                </c:pt>
                <c:pt idx="5">
                  <c:v>4037403092.8000002</c:v>
                </c:pt>
              </c:numCache>
            </c:numRef>
          </c:val>
          <c:extLst>
            <c:ext xmlns:c16="http://schemas.microsoft.com/office/drawing/2014/chart" uri="{C3380CC4-5D6E-409C-BE32-E72D297353CC}">
              <c16:uniqueId val="{00000000-EA01-4243-BE0E-8BB52A68DA00}"/>
            </c:ext>
          </c:extLst>
        </c:ser>
        <c:dLbls>
          <c:showLegendKey val="0"/>
          <c:showVal val="0"/>
          <c:showCatName val="0"/>
          <c:showSerName val="0"/>
          <c:showPercent val="0"/>
          <c:showBubbleSize val="0"/>
        </c:dLbls>
        <c:gapWidth val="150"/>
        <c:axId val="2145422064"/>
        <c:axId val="1"/>
      </c:barChart>
      <c:catAx>
        <c:axId val="2145422064"/>
        <c:scaling>
          <c:orientation val="minMax"/>
        </c:scaling>
        <c:delete val="0"/>
        <c:axPos val="b"/>
        <c:numFmt formatCode="General" sourceLinked="1"/>
        <c:majorTickMark val="none"/>
        <c:minorTickMark val="none"/>
        <c:tickLblPos val="nextTo"/>
        <c:crossAx val="1"/>
        <c:crosses val="autoZero"/>
        <c:auto val="1"/>
        <c:lblAlgn val="ctr"/>
        <c:lblOffset val="100"/>
        <c:noMultiLvlLbl val="0"/>
      </c:catAx>
      <c:valAx>
        <c:axId val="1"/>
        <c:scaling>
          <c:orientation val="minMax"/>
        </c:scaling>
        <c:delete val="0"/>
        <c:axPos val="l"/>
        <c:majorGridlines/>
        <c:numFmt formatCode="#,##0_ ;[Red]\-#,##0\ " sourceLinked="1"/>
        <c:majorTickMark val="none"/>
        <c:minorTickMark val="none"/>
        <c:tickLblPos val="nextTo"/>
        <c:crossAx val="2145422064"/>
        <c:crosses val="autoZero"/>
        <c:crossBetween val="between"/>
      </c:valAx>
    </c:plotArea>
    <c:plotVisOnly val="1"/>
    <c:dispBlanksAs val="gap"/>
    <c:showDLblsOverMax val="0"/>
  </c:chart>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맑은 고딕"/>
                <a:ea typeface="맑은 고딕"/>
                <a:cs typeface="맑은 고딕"/>
              </a:defRPr>
            </a:pPr>
            <a:r>
              <a:rPr lang="en-US" sz="1600" b="1" i="0" u="none" strike="noStrike" baseline="0">
                <a:solidFill>
                  <a:srgbClr val="000000"/>
                </a:solidFill>
                <a:latin typeface="맑은 고딕"/>
                <a:ea typeface="맑은 고딕"/>
              </a:rPr>
              <a:t>판매 및 관리비 추정치</a:t>
            </a:r>
          </a:p>
        </c:rich>
      </c:tx>
      <c:overlay val="0"/>
    </c:title>
    <c:autoTitleDeleted val="0"/>
    <c:plotArea>
      <c:layout/>
      <c:barChart>
        <c:barDir val="col"/>
        <c:grouping val="clustered"/>
        <c:varyColors val="0"/>
        <c:ser>
          <c:idx val="1"/>
          <c:order val="0"/>
          <c:tx>
            <c:v>추정치</c:v>
          </c:tx>
          <c:invertIfNegative val="0"/>
          <c:cat>
            <c:strRef>
              <c:f>'4. 재무분석도구'!$O$16:$O$28</c:f>
              <c:strCache>
                <c:ptCount val="13"/>
                <c:pt idx="0">
                  <c:v>   1. 임직원급여</c:v>
                </c:pt>
                <c:pt idx="1">
                  <c:v>   2. 영업직원급여</c:v>
                </c:pt>
                <c:pt idx="2">
                  <c:v>   3. 임직원인센티브</c:v>
                </c:pt>
                <c:pt idx="3">
                  <c:v>   4. 광고비   </c:v>
                </c:pt>
                <c:pt idx="4">
                  <c:v>   5. 판매 촉진비 </c:v>
                </c:pt>
                <c:pt idx="5">
                  <c:v>   6. 물류비 </c:v>
                </c:pt>
                <c:pt idx="6">
                  <c:v>   7. 재고관리비 </c:v>
                </c:pt>
                <c:pt idx="7">
                  <c:v>   8. 영업본부 유지비  </c:v>
                </c:pt>
                <c:pt idx="8">
                  <c:v>   9. 유통매장 유지비</c:v>
                </c:pt>
                <c:pt idx="9">
                  <c:v>   10. 교육훈련비 </c:v>
                </c:pt>
                <c:pt idx="10">
                  <c:v>   11. 연구개발비</c:v>
                </c:pt>
                <c:pt idx="11">
                  <c:v>   12. 본사임차료 </c:v>
                </c:pt>
                <c:pt idx="12">
                  <c:v>   13. 기타비용 </c:v>
                </c:pt>
              </c:strCache>
            </c:strRef>
          </c:cat>
          <c:val>
            <c:numRef>
              <c:f>'4. 재무분석도구'!$P$16:$P$28</c:f>
              <c:numCache>
                <c:formatCode>#,##0_ ;[Red]\-#,##0\ </c:formatCode>
                <c:ptCount val="13"/>
                <c:pt idx="0">
                  <c:v>3935066550</c:v>
                </c:pt>
                <c:pt idx="1">
                  <c:v>4763750000</c:v>
                </c:pt>
                <c:pt idx="2">
                  <c:v>1500000000</c:v>
                </c:pt>
                <c:pt idx="3">
                  <c:v>7390000000</c:v>
                </c:pt>
                <c:pt idx="4">
                  <c:v>2253750000</c:v>
                </c:pt>
                <c:pt idx="5">
                  <c:v>3460800000</c:v>
                </c:pt>
                <c:pt idx="6">
                  <c:v>881192000</c:v>
                </c:pt>
                <c:pt idx="7">
                  <c:v>1400000000</c:v>
                </c:pt>
                <c:pt idx="8">
                  <c:v>3311250000</c:v>
                </c:pt>
                <c:pt idx="9">
                  <c:v>1251400000</c:v>
                </c:pt>
                <c:pt idx="10">
                  <c:v>3660500000</c:v>
                </c:pt>
                <c:pt idx="11">
                  <c:v>1000000000</c:v>
                </c:pt>
                <c:pt idx="12">
                  <c:v>1930631655</c:v>
                </c:pt>
              </c:numCache>
            </c:numRef>
          </c:val>
          <c:extLst>
            <c:ext xmlns:c16="http://schemas.microsoft.com/office/drawing/2014/chart" uri="{C3380CC4-5D6E-409C-BE32-E72D297353CC}">
              <c16:uniqueId val="{00000000-3B7D-4F53-945E-90EA146D6562}"/>
            </c:ext>
          </c:extLst>
        </c:ser>
        <c:dLbls>
          <c:showLegendKey val="0"/>
          <c:showVal val="0"/>
          <c:showCatName val="0"/>
          <c:showSerName val="0"/>
          <c:showPercent val="0"/>
          <c:showBubbleSize val="0"/>
        </c:dLbls>
        <c:gapWidth val="150"/>
        <c:axId val="2145424864"/>
        <c:axId val="1"/>
      </c:barChart>
      <c:catAx>
        <c:axId val="2145424864"/>
        <c:scaling>
          <c:orientation val="minMax"/>
        </c:scaling>
        <c:delete val="0"/>
        <c:axPos val="b"/>
        <c:numFmt formatCode="General" sourceLinked="1"/>
        <c:majorTickMark val="out"/>
        <c:minorTickMark val="none"/>
        <c:tickLblPos val="nextTo"/>
        <c:txPr>
          <a:bodyPr/>
          <a:lstStyle/>
          <a:p>
            <a:pPr>
              <a:defRPr sz="1050" baseline="0"/>
            </a:pPr>
            <a:endParaRPr lang="ko-KR"/>
          </a:p>
        </c:txPr>
        <c:crossAx val="1"/>
        <c:crosses val="autoZero"/>
        <c:auto val="1"/>
        <c:lblAlgn val="ctr"/>
        <c:lblOffset val="100"/>
        <c:noMultiLvlLbl val="0"/>
      </c:catAx>
      <c:valAx>
        <c:axId val="1"/>
        <c:scaling>
          <c:orientation val="minMax"/>
        </c:scaling>
        <c:delete val="0"/>
        <c:axPos val="l"/>
        <c:majorGridlines/>
        <c:numFmt formatCode="#,##0_);[Red]\(#,##0\)" sourceLinked="0"/>
        <c:majorTickMark val="out"/>
        <c:minorTickMark val="none"/>
        <c:tickLblPos val="nextTo"/>
        <c:crossAx val="2145424864"/>
        <c:crosses val="autoZero"/>
        <c:crossBetween val="between"/>
      </c:valAx>
    </c:plotArea>
    <c:plotVisOnly val="1"/>
    <c:dispBlanksAs val="gap"/>
    <c:showDLblsOverMax val="0"/>
  </c:chart>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맑은 고딕"/>
                <a:ea typeface="맑은 고딕"/>
                <a:cs typeface="맑은 고딕"/>
              </a:defRPr>
            </a:pPr>
            <a:r>
              <a:rPr lang="en-US" sz="1800" b="1" i="0" u="none" strike="noStrike" baseline="0">
                <a:solidFill>
                  <a:srgbClr val="000000"/>
                </a:solidFill>
                <a:latin typeface="맑은 고딕"/>
                <a:ea typeface="맑은 고딕"/>
              </a:rPr>
              <a:t>주요 재무비율 현황</a:t>
            </a:r>
          </a:p>
        </c:rich>
      </c:tx>
      <c:overlay val="0"/>
    </c:title>
    <c:autoTitleDeleted val="0"/>
    <c:plotArea>
      <c:layout/>
      <c:radarChart>
        <c:radarStyle val="marker"/>
        <c:varyColors val="0"/>
        <c:ser>
          <c:idx val="0"/>
          <c:order val="0"/>
          <c:marker>
            <c:symbol val="none"/>
          </c:marker>
          <c:cat>
            <c:strRef>
              <c:f>('4. 재무분석도구'!$AQ$7,'4. 재무분석도구'!$AQ$9,'4. 재무분석도구'!$AQ$11,'4. 재무분석도구'!$AQ$13,'4. 재무분석도구'!$AQ$17)</c:f>
              <c:strCache>
                <c:ptCount val="5"/>
                <c:pt idx="0">
                  <c:v>1. 자기자본 이익률
(=순이익/자기자본)</c:v>
                </c:pt>
                <c:pt idx="1">
                  <c:v>2. 매출액 이익율
(= 영업이익/매출액)</c:v>
                </c:pt>
                <c:pt idx="2">
                  <c:v>3. 당좌 비율
(=당좌자산/유동부채)</c:v>
                </c:pt>
                <c:pt idx="3">
                  <c:v>4. 부채비율
(=부채총계/자기자본)</c:v>
                </c:pt>
                <c:pt idx="4">
                  <c:v>6. 매출액 증가율
(=(당기매출액-전기매출액)/전기매출액)</c:v>
                </c:pt>
              </c:strCache>
            </c:strRef>
          </c:cat>
          <c:val>
            <c:numRef>
              <c:f>('4. 재무분석도구'!$AT$7,'4. 재무분석도구'!$AT$9,'4. 재무분석도구'!$AT$11,'4. 재무분석도구'!$AT$13,'4. 재무분석도구'!$AT$17)</c:f>
              <c:numCache>
                <c:formatCode>0.00%</c:formatCode>
                <c:ptCount val="5"/>
                <c:pt idx="0">
                  <c:v>5.4386713117915271E-2</c:v>
                </c:pt>
                <c:pt idx="1">
                  <c:v>4.5552626622417602E-2</c:v>
                </c:pt>
                <c:pt idx="2">
                  <c:v>0</c:v>
                </c:pt>
                <c:pt idx="3">
                  <c:v>0</c:v>
                </c:pt>
                <c:pt idx="4">
                  <c:v>-2.3405536300704971E-3</c:v>
                </c:pt>
              </c:numCache>
            </c:numRef>
          </c:val>
          <c:extLst>
            <c:ext xmlns:c16="http://schemas.microsoft.com/office/drawing/2014/chart" uri="{C3380CC4-5D6E-409C-BE32-E72D297353CC}">
              <c16:uniqueId val="{00000000-606E-41FD-9BDB-BCB63287DCFB}"/>
            </c:ext>
          </c:extLst>
        </c:ser>
        <c:dLbls>
          <c:showLegendKey val="0"/>
          <c:showVal val="0"/>
          <c:showCatName val="0"/>
          <c:showSerName val="0"/>
          <c:showPercent val="0"/>
          <c:showBubbleSize val="0"/>
        </c:dLbls>
        <c:axId val="2145426064"/>
        <c:axId val="1"/>
      </c:radarChart>
      <c:catAx>
        <c:axId val="2145426064"/>
        <c:scaling>
          <c:orientation val="minMax"/>
        </c:scaling>
        <c:delete val="0"/>
        <c:axPos val="b"/>
        <c:majorGridlines/>
        <c:numFmt formatCode="General" sourceLinked="1"/>
        <c:majorTickMark val="out"/>
        <c:minorTickMark val="none"/>
        <c:tickLblPos val="nextTo"/>
        <c:txPr>
          <a:bodyPr/>
          <a:lstStyle/>
          <a:p>
            <a:pPr>
              <a:defRPr sz="1050" b="1">
                <a:solidFill>
                  <a:schemeClr val="tx1"/>
                </a:solidFill>
              </a:defRPr>
            </a:pPr>
            <a:endParaRPr lang="ko-KR"/>
          </a:p>
        </c:txPr>
        <c:crossAx val="1"/>
        <c:crosses val="autoZero"/>
        <c:auto val="0"/>
        <c:lblAlgn val="ctr"/>
        <c:lblOffset val="100"/>
        <c:noMultiLvlLbl val="0"/>
      </c:catAx>
      <c:valAx>
        <c:axId val="1"/>
        <c:scaling>
          <c:orientation val="minMax"/>
        </c:scaling>
        <c:delete val="0"/>
        <c:axPos val="l"/>
        <c:majorGridlines/>
        <c:numFmt formatCode="0.00%" sourceLinked="1"/>
        <c:majorTickMark val="out"/>
        <c:minorTickMark val="none"/>
        <c:tickLblPos val="none"/>
        <c:crossAx val="2145426064"/>
        <c:crosses val="autoZero"/>
        <c:crossBetween val="between"/>
      </c:valAx>
    </c:plotArea>
    <c:plotVisOnly val="1"/>
    <c:dispBlanksAs val="gap"/>
    <c:showDLblsOverMax val="0"/>
  </c:chart>
  <c:printSettings>
    <c:headerFooter/>
    <c:pageMargins b="0.75000000000000022" l="0.70000000000000018" r="0.70000000000000018" t="0.75000000000000022" header="0.3000000000000001" footer="0.3000000000000001"/>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맑은 고딕"/>
                <a:ea typeface="맑은 고딕"/>
                <a:cs typeface="맑은 고딕"/>
              </a:defRPr>
            </a:pPr>
            <a:r>
              <a:rPr lang="en-US" sz="1600" b="1" i="0" u="none" strike="noStrike" baseline="0">
                <a:solidFill>
                  <a:srgbClr val="000000"/>
                </a:solidFill>
                <a:latin typeface="맑은 고딕"/>
                <a:ea typeface="맑은 고딕"/>
              </a:rPr>
              <a:t>한국 제조원가 원가 구성</a:t>
            </a:r>
          </a:p>
        </c:rich>
      </c:tx>
      <c:overlay val="0"/>
    </c:title>
    <c:autoTitleDeleted val="0"/>
    <c:view3D>
      <c:rotX val="30"/>
      <c:rotY val="12"/>
      <c:rAngAx val="0"/>
      <c:perspective val="0"/>
    </c:view3D>
    <c:floor>
      <c:thickness val="0"/>
    </c:floor>
    <c:sideWall>
      <c:thickness val="0"/>
    </c:sideWall>
    <c:backWall>
      <c:thickness val="0"/>
    </c:backWall>
    <c:plotArea>
      <c:layout>
        <c:manualLayout>
          <c:layoutTarget val="inner"/>
          <c:xMode val="edge"/>
          <c:yMode val="edge"/>
          <c:x val="0.10884420090088118"/>
          <c:y val="0.24254884806065907"/>
          <c:w val="0.82022981825130326"/>
          <c:h val="0.68504119276757058"/>
        </c:manualLayout>
      </c:layout>
      <c:pie3DChart>
        <c:varyColors val="1"/>
        <c:ser>
          <c:idx val="0"/>
          <c:order val="0"/>
          <c:explosion val="7"/>
          <c:dPt>
            <c:idx val="0"/>
            <c:bubble3D val="0"/>
            <c:extLst>
              <c:ext xmlns:c16="http://schemas.microsoft.com/office/drawing/2014/chart" uri="{C3380CC4-5D6E-409C-BE32-E72D297353CC}">
                <c16:uniqueId val="{00000000-8A89-4E24-B96F-6C778C5FCA4C}"/>
              </c:ext>
            </c:extLst>
          </c:dPt>
          <c:dPt>
            <c:idx val="1"/>
            <c:bubble3D val="0"/>
            <c:extLst>
              <c:ext xmlns:c16="http://schemas.microsoft.com/office/drawing/2014/chart" uri="{C3380CC4-5D6E-409C-BE32-E72D297353CC}">
                <c16:uniqueId val="{00000001-8A89-4E24-B96F-6C778C5FCA4C}"/>
              </c:ext>
            </c:extLst>
          </c:dPt>
          <c:dPt>
            <c:idx val="2"/>
            <c:bubble3D val="0"/>
            <c:extLst>
              <c:ext xmlns:c16="http://schemas.microsoft.com/office/drawing/2014/chart" uri="{C3380CC4-5D6E-409C-BE32-E72D297353CC}">
                <c16:uniqueId val="{00000002-8A89-4E24-B96F-6C778C5FCA4C}"/>
              </c:ext>
            </c:extLst>
          </c:dPt>
          <c:dLbls>
            <c:dLbl>
              <c:idx val="0"/>
              <c:layout>
                <c:manualLayout>
                  <c:x val="-3.6246603151776066E-2"/>
                  <c:y val="0.11406198461201408"/>
                </c:manualLayout>
              </c:layout>
              <c:spPr/>
              <c:txPr>
                <a:bodyPr/>
                <a:lstStyle/>
                <a:p>
                  <a:pPr>
                    <a:defRPr sz="1200" b="1">
                      <a:solidFill>
                        <a:sysClr val="windowText" lastClr="000000"/>
                      </a:solidFill>
                    </a:defRPr>
                  </a:pPr>
                  <a:endParaRPr lang="ko-KR"/>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8A89-4E24-B96F-6C778C5FCA4C}"/>
                </c:ext>
              </c:extLst>
            </c:dLbl>
            <c:dLbl>
              <c:idx val="1"/>
              <c:layout>
                <c:manualLayout>
                  <c:x val="2.7941358778478596E-3"/>
                  <c:y val="0.1117115149442174"/>
                </c:manualLayout>
              </c:layout>
              <c:spPr/>
              <c:txPr>
                <a:bodyPr/>
                <a:lstStyle/>
                <a:p>
                  <a:pPr>
                    <a:defRPr sz="1200" b="1">
                      <a:solidFill>
                        <a:sysClr val="windowText" lastClr="000000"/>
                      </a:solidFill>
                    </a:defRPr>
                  </a:pPr>
                  <a:endParaRPr lang="ko-KR"/>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A89-4E24-B96F-6C778C5FCA4C}"/>
                </c:ext>
              </c:extLst>
            </c:dLbl>
            <c:dLbl>
              <c:idx val="2"/>
              <c:layout>
                <c:manualLayout>
                  <c:x val="-3.0382932902617954E-2"/>
                  <c:y val="0.12184948867495857"/>
                </c:manualLayout>
              </c:layout>
              <c:spPr/>
              <c:txPr>
                <a:bodyPr/>
                <a:lstStyle/>
                <a:p>
                  <a:pPr>
                    <a:defRPr sz="1200" b="1">
                      <a:solidFill>
                        <a:sysClr val="windowText" lastClr="000000"/>
                      </a:solidFill>
                    </a:defRPr>
                  </a:pPr>
                  <a:endParaRPr lang="ko-KR"/>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8A89-4E24-B96F-6C778C5FCA4C}"/>
                </c:ext>
              </c:extLst>
            </c:dLbl>
            <c:dLbl>
              <c:idx val="3"/>
              <c:layout>
                <c:manualLayout>
                  <c:x val="2.2202229179977852E-2"/>
                  <c:y val="-1.6203703703703682E-2"/>
                </c:manualLayout>
              </c:layout>
              <c:spPr/>
              <c:txPr>
                <a:bodyPr/>
                <a:lstStyle/>
                <a:p>
                  <a:pPr>
                    <a:defRPr sz="1200" b="1">
                      <a:solidFill>
                        <a:sysClr val="windowText" lastClr="000000"/>
                      </a:solidFill>
                    </a:defRPr>
                  </a:pPr>
                  <a:endParaRPr lang="ko-KR"/>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A89-4E24-B96F-6C778C5FCA4C}"/>
                </c:ext>
              </c:extLst>
            </c:dLbl>
            <c:dLbl>
              <c:idx val="4"/>
              <c:layout>
                <c:manualLayout>
                  <c:x val="0.14506580450329512"/>
                  <c:y val="-2.780828816593194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8A89-4E24-B96F-6C778C5FCA4C}"/>
                </c:ext>
              </c:extLst>
            </c:dLbl>
            <c:dLbl>
              <c:idx val="5"/>
              <c:layout>
                <c:manualLayout>
                  <c:x val="-9.1735642879089946E-2"/>
                  <c:y val="3.918312423589517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A89-4E24-B96F-6C778C5FCA4C}"/>
                </c:ext>
              </c:extLst>
            </c:dLbl>
            <c:spPr>
              <a:noFill/>
              <a:ln w="25400">
                <a:noFill/>
              </a:ln>
            </c:spPr>
            <c:txPr>
              <a:bodyPr/>
              <a:lstStyle/>
              <a:p>
                <a:pPr>
                  <a:defRPr sz="1200" b="1">
                    <a:solidFill>
                      <a:sysClr val="windowText" lastClr="000000"/>
                    </a:solidFill>
                  </a:defRPr>
                </a:pPr>
                <a:endParaRPr lang="ko-KR"/>
              </a:p>
            </c:txPr>
            <c:showLegendKey val="0"/>
            <c:showVal val="0"/>
            <c:showCatName val="1"/>
            <c:showSerName val="0"/>
            <c:showPercent val="1"/>
            <c:showBubbleSize val="0"/>
            <c:showLeaderLines val="1"/>
            <c:extLst>
              <c:ext xmlns:c15="http://schemas.microsoft.com/office/drawing/2012/chart" uri="{CE6537A1-D6FC-4f65-9D91-7224C49458BB}"/>
            </c:extLst>
          </c:dLbls>
          <c:cat>
            <c:strRef>
              <c:f>'4. 재무분석도구'!$O$60:$O$62</c:f>
              <c:strCache>
                <c:ptCount val="3"/>
                <c:pt idx="0">
                  <c:v>  1.1 재료원가</c:v>
                </c:pt>
                <c:pt idx="1">
                  <c:v>  1.2 노무원가</c:v>
                </c:pt>
                <c:pt idx="2">
                  <c:v>  1.3 제조간접원가</c:v>
                </c:pt>
              </c:strCache>
            </c:strRef>
          </c:cat>
          <c:val>
            <c:numRef>
              <c:f>'4. 재무분석도구'!$P$60:$P$62</c:f>
              <c:numCache>
                <c:formatCode>_(* #,##0_);_(* \(#,##0\);_(* "-"_);_(@_)</c:formatCode>
                <c:ptCount val="3"/>
                <c:pt idx="0">
                  <c:v>27216000000</c:v>
                </c:pt>
                <c:pt idx="1">
                  <c:v>13200000000.000004</c:v>
                </c:pt>
                <c:pt idx="2">
                  <c:v>8780000000</c:v>
                </c:pt>
              </c:numCache>
            </c:numRef>
          </c:val>
          <c:extLst>
            <c:ext xmlns:c16="http://schemas.microsoft.com/office/drawing/2014/chart" uri="{C3380CC4-5D6E-409C-BE32-E72D297353CC}">
              <c16:uniqueId val="{00000006-8A89-4E24-B96F-6C778C5FCA4C}"/>
            </c:ext>
          </c:extLst>
        </c:ser>
        <c:ser>
          <c:idx val="1"/>
          <c:order val="1"/>
          <c:dPt>
            <c:idx val="0"/>
            <c:bubble3D val="0"/>
            <c:extLst>
              <c:ext xmlns:c16="http://schemas.microsoft.com/office/drawing/2014/chart" uri="{C3380CC4-5D6E-409C-BE32-E72D297353CC}">
                <c16:uniqueId val="{00000007-8A89-4E24-B96F-6C778C5FCA4C}"/>
              </c:ext>
            </c:extLst>
          </c:dPt>
          <c:dPt>
            <c:idx val="1"/>
            <c:bubble3D val="0"/>
            <c:extLst>
              <c:ext xmlns:c16="http://schemas.microsoft.com/office/drawing/2014/chart" uri="{C3380CC4-5D6E-409C-BE32-E72D297353CC}">
                <c16:uniqueId val="{00000008-8A89-4E24-B96F-6C778C5FCA4C}"/>
              </c:ext>
            </c:extLst>
          </c:dPt>
          <c:dPt>
            <c:idx val="2"/>
            <c:bubble3D val="0"/>
            <c:extLst>
              <c:ext xmlns:c16="http://schemas.microsoft.com/office/drawing/2014/chart" uri="{C3380CC4-5D6E-409C-BE32-E72D297353CC}">
                <c16:uniqueId val="{00000009-8A89-4E24-B96F-6C778C5FCA4C}"/>
              </c:ext>
            </c:extLst>
          </c:dPt>
          <c:cat>
            <c:strRef>
              <c:f>'4. 재무분석도구'!$O$60:$O$62</c:f>
              <c:strCache>
                <c:ptCount val="3"/>
                <c:pt idx="0">
                  <c:v>  1.1 재료원가</c:v>
                </c:pt>
                <c:pt idx="1">
                  <c:v>  1.2 노무원가</c:v>
                </c:pt>
                <c:pt idx="2">
                  <c:v>  1.3 제조간접원가</c:v>
                </c:pt>
              </c:strCache>
            </c:strRef>
          </c:cat>
          <c:val>
            <c:numLit>
              <c:formatCode>General</c:formatCode>
              <c:ptCount val="3"/>
              <c:pt idx="0">
                <c:v>382352941.17647058</c:v>
              </c:pt>
              <c:pt idx="1">
                <c:v>334821568.62745094</c:v>
              </c:pt>
              <c:pt idx="2">
                <c:v>1102292768.9594357</c:v>
              </c:pt>
            </c:numLit>
          </c:val>
          <c:extLst>
            <c:ext xmlns:c16="http://schemas.microsoft.com/office/drawing/2014/chart" uri="{C3380CC4-5D6E-409C-BE32-E72D297353CC}">
              <c16:uniqueId val="{0000000A-8A89-4E24-B96F-6C778C5FCA4C}"/>
            </c:ext>
          </c:extLst>
        </c:ser>
        <c:dLbls>
          <c:showLegendKey val="0"/>
          <c:showVal val="0"/>
          <c:showCatName val="0"/>
          <c:showSerName val="0"/>
          <c:showPercent val="0"/>
          <c:showBubbleSize val="0"/>
          <c:showLeaderLines val="1"/>
        </c:dLbls>
      </c:pie3DChart>
      <c:spPr>
        <a:noFill/>
        <a:ln w="25400">
          <a:noFill/>
        </a:ln>
      </c:spPr>
    </c:plotArea>
    <c:plotVisOnly val="1"/>
    <c:dispBlanksAs val="gap"/>
    <c:showDLblsOverMax val="0"/>
  </c:chart>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맑은 고딕"/>
                <a:ea typeface="맑은 고딕"/>
                <a:cs typeface="맑은 고딕"/>
              </a:defRPr>
            </a:pPr>
            <a:r>
              <a:rPr lang="en-US" sz="1600" b="1" i="0" u="none" strike="noStrike" baseline="0">
                <a:solidFill>
                  <a:srgbClr val="000000"/>
                </a:solidFill>
                <a:latin typeface="맑은 고딕"/>
                <a:ea typeface="맑은 고딕"/>
              </a:rPr>
              <a:t>제조원가 총합</a:t>
            </a:r>
          </a:p>
        </c:rich>
      </c:tx>
      <c:overlay val="1"/>
    </c:title>
    <c:autoTitleDeleted val="0"/>
    <c:plotArea>
      <c:layout>
        <c:manualLayout>
          <c:layoutTarget val="inner"/>
          <c:xMode val="edge"/>
          <c:yMode val="edge"/>
          <c:x val="0.10754912099276112"/>
          <c:y val="0.20858895705521471"/>
          <c:w val="0.82882209961630737"/>
          <c:h val="0.66564417177914115"/>
        </c:manualLayout>
      </c:layout>
      <c:barChart>
        <c:barDir val="col"/>
        <c:grouping val="clustered"/>
        <c:varyColors val="0"/>
        <c:ser>
          <c:idx val="0"/>
          <c:order val="0"/>
          <c:tx>
            <c:v/>
          </c:tx>
          <c:invertIfNegative val="0"/>
          <c:dLbls>
            <c:spPr>
              <a:noFill/>
              <a:ln w="25400">
                <a:noFill/>
              </a:ln>
            </c:spPr>
            <c:txPr>
              <a:bodyPr wrap="square" lIns="38100" tIns="19050" rIns="38100" bIns="19050" anchor="ctr">
                <a:spAutoFit/>
              </a:bodyPr>
              <a:lstStyle/>
              <a:p>
                <a:pPr>
                  <a:defRPr b="1"/>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'4. 재무분석도구'!$P$58:$R$58</c:f>
              <c:strCache>
                <c:ptCount val="3"/>
                <c:pt idx="0">
                  <c:v>한국</c:v>
                </c:pt>
                <c:pt idx="1">
                  <c:v>U국가 </c:v>
                </c:pt>
                <c:pt idx="2">
                  <c:v>C국가</c:v>
                </c:pt>
              </c:strCache>
            </c:strRef>
          </c:cat>
          <c:val>
            <c:numRef>
              <c:f>('4. 재무분석도구'!$P$59,'4. 재무분석도구'!$Q$59,'4. 재무분석도구'!$R$59)</c:f>
              <c:numCache>
                <c:formatCode>_(* #,##0_);_(* \(#,##0\);_(* "-"_);_(@_)</c:formatCode>
                <c:ptCount val="3"/>
                <c:pt idx="0">
                  <c:v>49196000000</c:v>
                </c:pt>
                <c:pt idx="1">
                  <c:v>0</c:v>
                </c:pt>
                <c:pt idx="2">
                  <c:v>0</c:v>
                </c:pt>
              </c:numCache>
            </c:numRef>
          </c:val>
          <c:extLst>
            <c:ext xmlns:c16="http://schemas.microsoft.com/office/drawing/2014/chart" uri="{C3380CC4-5D6E-409C-BE32-E72D297353CC}">
              <c16:uniqueId val="{00000000-2E57-40FC-8B44-6EA78A0CAFCD}"/>
            </c:ext>
          </c:extLst>
        </c:ser>
        <c:dLbls>
          <c:showLegendKey val="0"/>
          <c:showVal val="0"/>
          <c:showCatName val="0"/>
          <c:showSerName val="0"/>
          <c:showPercent val="0"/>
          <c:showBubbleSize val="0"/>
        </c:dLbls>
        <c:gapWidth val="93"/>
        <c:overlap val="2"/>
        <c:axId val="2145414064"/>
        <c:axId val="1"/>
      </c:barChart>
      <c:catAx>
        <c:axId val="2145414064"/>
        <c:scaling>
          <c:orientation val="minMax"/>
        </c:scaling>
        <c:delete val="0"/>
        <c:axPos val="b"/>
        <c:numFmt formatCode="General" sourceLinked="1"/>
        <c:majorTickMark val="out"/>
        <c:minorTickMark val="none"/>
        <c:tickLblPos val="nextTo"/>
        <c:txPr>
          <a:bodyPr/>
          <a:lstStyle/>
          <a:p>
            <a:pPr>
              <a:defRPr sz="1100"/>
            </a:pPr>
            <a:endParaRPr lang="ko-KR"/>
          </a:p>
        </c:txPr>
        <c:crossAx val="1"/>
        <c:crosses val="autoZero"/>
        <c:auto val="1"/>
        <c:lblAlgn val="ctr"/>
        <c:lblOffset val="100"/>
        <c:noMultiLvlLbl val="0"/>
      </c:catAx>
      <c:valAx>
        <c:axId val="1"/>
        <c:scaling>
          <c:orientation val="minMax"/>
        </c:scaling>
        <c:delete val="0"/>
        <c:axPos val="l"/>
        <c:majorGridlines/>
        <c:numFmt formatCode="_(* #,##0_);_(* \(#,##0\);_(* &quot;-&quot;_);_(@_)" sourceLinked="1"/>
        <c:majorTickMark val="out"/>
        <c:minorTickMark val="none"/>
        <c:tickLblPos val="nextTo"/>
        <c:crossAx val="2145414064"/>
        <c:crosses val="autoZero"/>
        <c:crossBetween val="between"/>
        <c:dispUnits>
          <c:builtInUnit val="thousands"/>
          <c:dispUnitsLbl/>
        </c:dispUnits>
      </c:valAx>
    </c:plotArea>
    <c:plotVisOnly val="1"/>
    <c:dispBlanksAs val="gap"/>
    <c:showDLblsOverMax val="0"/>
  </c:chart>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a:lstStyle/>
          <a:p>
            <a:pPr>
              <a:defRPr sz="1000" b="0" i="0" u="none" strike="noStrike" baseline="0">
                <a:solidFill>
                  <a:srgbClr val="000000"/>
                </a:solidFill>
                <a:latin typeface="맑은 고딕"/>
                <a:ea typeface="맑은 고딕"/>
                <a:cs typeface="맑은 고딕"/>
              </a:defRPr>
            </a:pPr>
            <a:r>
              <a:rPr lang="en-US" sz="1600" b="1" i="0" u="none" strike="noStrike" baseline="0">
                <a:solidFill>
                  <a:srgbClr val="000000"/>
                </a:solidFill>
                <a:latin typeface="맑은 고딕"/>
                <a:ea typeface="맑은 고딕"/>
              </a:rPr>
              <a:t>단위당 제조원가</a:t>
            </a:r>
          </a:p>
        </c:rich>
      </c:tx>
      <c:overlay val="1"/>
    </c:title>
    <c:autoTitleDeleted val="0"/>
    <c:plotArea>
      <c:layout>
        <c:manualLayout>
          <c:layoutTarget val="inner"/>
          <c:xMode val="edge"/>
          <c:yMode val="edge"/>
          <c:x val="7.223942208462332E-2"/>
          <c:y val="0.21587301587301588"/>
          <c:w val="0.86672960819302269"/>
          <c:h val="0.65396825396825398"/>
        </c:manualLayout>
      </c:layout>
      <c:barChart>
        <c:barDir val="col"/>
        <c:grouping val="clustered"/>
        <c:varyColors val="0"/>
        <c:ser>
          <c:idx val="0"/>
          <c:order val="0"/>
          <c:tx>
            <c:v/>
          </c:tx>
          <c:invertIfNegative val="0"/>
          <c:dLbls>
            <c:spPr>
              <a:noFill/>
              <a:ln w="25400">
                <a:noFill/>
              </a:ln>
            </c:spPr>
            <c:txPr>
              <a:bodyPr wrap="square" lIns="38100" tIns="19050" rIns="38100" bIns="19050" anchor="ctr">
                <a:spAutoFit/>
              </a:bodyPr>
              <a:lstStyle/>
              <a:p>
                <a:pPr>
                  <a:defRPr b="1"/>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'4. 재무분석도구'!$P$58:$R$58</c:f>
              <c:strCache>
                <c:ptCount val="3"/>
                <c:pt idx="0">
                  <c:v>한국</c:v>
                </c:pt>
                <c:pt idx="1">
                  <c:v>U국가 </c:v>
                </c:pt>
                <c:pt idx="2">
                  <c:v>C국가</c:v>
                </c:pt>
              </c:strCache>
            </c:strRef>
          </c:cat>
          <c:val>
            <c:numRef>
              <c:f>'4. 재무분석도구'!$P$71:$R$71</c:f>
              <c:numCache>
                <c:formatCode>_(* #,##0_);_(* \(#,##0\);_(* "-"_);_(@_)</c:formatCode>
                <c:ptCount val="3"/>
                <c:pt idx="0">
                  <c:v>361523</c:v>
                </c:pt>
                <c:pt idx="1">
                  <c:v>0</c:v>
                </c:pt>
                <c:pt idx="2">
                  <c:v>0</c:v>
                </c:pt>
              </c:numCache>
            </c:numRef>
          </c:val>
          <c:extLst>
            <c:ext xmlns:c16="http://schemas.microsoft.com/office/drawing/2014/chart" uri="{C3380CC4-5D6E-409C-BE32-E72D297353CC}">
              <c16:uniqueId val="{00000000-A191-466A-9E3D-EA9B861F2FB6}"/>
            </c:ext>
          </c:extLst>
        </c:ser>
        <c:dLbls>
          <c:showLegendKey val="0"/>
          <c:showVal val="0"/>
          <c:showCatName val="0"/>
          <c:showSerName val="0"/>
          <c:showPercent val="0"/>
          <c:showBubbleSize val="0"/>
        </c:dLbls>
        <c:gapWidth val="103"/>
        <c:axId val="2145423264"/>
        <c:axId val="1"/>
      </c:barChart>
      <c:catAx>
        <c:axId val="2145423264"/>
        <c:scaling>
          <c:orientation val="minMax"/>
        </c:scaling>
        <c:delete val="0"/>
        <c:axPos val="b"/>
        <c:numFmt formatCode="General" sourceLinked="1"/>
        <c:majorTickMark val="out"/>
        <c:minorTickMark val="none"/>
        <c:tickLblPos val="nextTo"/>
        <c:txPr>
          <a:bodyPr/>
          <a:lstStyle/>
          <a:p>
            <a:pPr>
              <a:defRPr sz="1100"/>
            </a:pPr>
            <a:endParaRPr lang="ko-KR"/>
          </a:p>
        </c:txPr>
        <c:crossAx val="1"/>
        <c:crosses val="autoZero"/>
        <c:auto val="1"/>
        <c:lblAlgn val="ctr"/>
        <c:lblOffset val="100"/>
        <c:noMultiLvlLbl val="0"/>
      </c:catAx>
      <c:valAx>
        <c:axId val="1"/>
        <c:scaling>
          <c:orientation val="minMax"/>
        </c:scaling>
        <c:delete val="0"/>
        <c:axPos val="l"/>
        <c:majorGridlines/>
        <c:numFmt formatCode="_(* #,##0_);_(* \(#,##0\);_(* &quot;-&quot;_);_(@_)" sourceLinked="1"/>
        <c:majorTickMark val="out"/>
        <c:minorTickMark val="none"/>
        <c:tickLblPos val="nextTo"/>
        <c:crossAx val="2145423264"/>
        <c:crosses val="autoZero"/>
        <c:crossBetween val="between"/>
      </c:valAx>
    </c:plotArea>
    <c:plotVisOnly val="1"/>
    <c:dispBlanksAs val="gap"/>
    <c:showDLblsOverMax val="0"/>
  </c:chart>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맑은 고딕"/>
                <a:ea typeface="맑은 고딕"/>
                <a:cs typeface="맑은 고딕"/>
              </a:defRPr>
            </a:pPr>
            <a:r>
              <a:rPr lang="en-US" sz="1600" b="1" i="0" u="none" strike="noStrike" baseline="0">
                <a:solidFill>
                  <a:srgbClr val="333333"/>
                </a:solidFill>
                <a:latin typeface="맑은 고딕"/>
                <a:ea typeface="맑은 고딕"/>
              </a:rPr>
              <a:t>현금흐름 분석</a:t>
            </a:r>
          </a:p>
        </c:rich>
      </c:tx>
      <c:overlay val="0"/>
      <c:spPr>
        <a:noFill/>
        <a:ln w="25400">
          <a:noFill/>
        </a:ln>
      </c:spPr>
    </c:title>
    <c:autoTitleDeleted val="0"/>
    <c:plotArea>
      <c:layout/>
      <c:barChart>
        <c:barDir val="col"/>
        <c:grouping val="clustered"/>
        <c:varyColors val="0"/>
        <c:ser>
          <c:idx val="0"/>
          <c:order val="0"/>
          <c:spPr>
            <a:solidFill>
              <a:srgbClr val="5B9BD5"/>
            </a:solidFill>
            <a:ln w="25400">
              <a:noFill/>
            </a:ln>
          </c:spPr>
          <c:invertIfNegative val="0"/>
          <c:dLbls>
            <c:spPr>
              <a:noFill/>
              <a:ln w="25400">
                <a:noFill/>
              </a:ln>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'4. 재무분석도구'!$AE$6:$AE$9</c:f>
              <c:strCache>
                <c:ptCount val="4"/>
                <c:pt idx="0">
                  <c:v>I.  영업활동 현금 흐름</c:v>
                </c:pt>
                <c:pt idx="1">
                  <c:v>II. 투자활동 현금 흐름</c:v>
                </c:pt>
                <c:pt idx="2">
                  <c:v>III. 재무활동 현금 흐름</c:v>
                </c:pt>
                <c:pt idx="3">
                  <c:v>IV. 현금의 증가/손실 (=I+II+III) </c:v>
                </c:pt>
              </c:strCache>
            </c:strRef>
          </c:cat>
          <c:val>
            <c:numRef>
              <c:f>'4. 재무분석도구'!$AF$6:$AF$9</c:f>
              <c:numCache>
                <c:formatCode>#,##0_ ;[Red]\-#,##0\ </c:formatCode>
                <c:ptCount val="4"/>
                <c:pt idx="0">
                  <c:v>2882352517.8000002</c:v>
                </c:pt>
                <c:pt idx="1">
                  <c:v>-2030900000</c:v>
                </c:pt>
                <c:pt idx="2">
                  <c:v>-121122092.78399999</c:v>
                </c:pt>
                <c:pt idx="3">
                  <c:v>730330425.01600015</c:v>
                </c:pt>
              </c:numCache>
            </c:numRef>
          </c:val>
          <c:extLst>
            <c:ext xmlns:c16="http://schemas.microsoft.com/office/drawing/2014/chart" uri="{C3380CC4-5D6E-409C-BE32-E72D297353CC}">
              <c16:uniqueId val="{00000000-F111-41C6-AF7E-5CA40C591A7A}"/>
            </c:ext>
          </c:extLst>
        </c:ser>
        <c:dLbls>
          <c:showLegendKey val="0"/>
          <c:showVal val="0"/>
          <c:showCatName val="0"/>
          <c:showSerName val="0"/>
          <c:showPercent val="0"/>
          <c:showBubbleSize val="0"/>
        </c:dLbls>
        <c:gapWidth val="219"/>
        <c:overlap val="-27"/>
        <c:axId val="2145420864"/>
        <c:axId val="1"/>
      </c:barChart>
      <c:catAx>
        <c:axId val="2145420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ko-KR"/>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_ ;[Red]\-#,##0\ " sourceLinked="1"/>
        <c:majorTickMark val="none"/>
        <c:minorTickMark val="none"/>
        <c:tickLblPos val="nextTo"/>
        <c:spPr>
          <a:ln w="6350">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214542086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맑은 고딕"/>
                <a:ea typeface="맑은 고딕"/>
                <a:cs typeface="맑은 고딕"/>
              </a:defRPr>
            </a:pPr>
            <a:r>
              <a:rPr lang="en-US" sz="1600" b="1" i="0" u="none" strike="noStrike" baseline="0">
                <a:solidFill>
                  <a:srgbClr val="000000"/>
                </a:solidFill>
                <a:latin typeface="맑은 고딕"/>
                <a:ea typeface="맑은 고딕"/>
              </a:rPr>
              <a:t>영업본부별 원가 구조</a:t>
            </a:r>
          </a:p>
        </c:rich>
      </c:tx>
      <c:overlay val="0"/>
    </c:title>
    <c:autoTitleDeleted val="0"/>
    <c:view3D>
      <c:rotX val="0"/>
      <c:rotY val="0"/>
      <c:depthPercent val="100"/>
      <c:rAngAx val="0"/>
      <c:perspective val="10"/>
    </c:view3D>
    <c:floor>
      <c:thickness val="0"/>
    </c:floor>
    <c:sideWall>
      <c:thickness val="0"/>
    </c:sideWall>
    <c:backWall>
      <c:thickness val="0"/>
    </c:backWall>
    <c:plotArea>
      <c:layout>
        <c:manualLayout>
          <c:layoutTarget val="inner"/>
          <c:xMode val="edge"/>
          <c:yMode val="edge"/>
          <c:x val="0.13051425409306922"/>
          <c:y val="0.1159676705042544"/>
          <c:w val="0.70742170426989992"/>
          <c:h val="0.78963642277401658"/>
        </c:manualLayout>
      </c:layout>
      <c:bar3DChart>
        <c:barDir val="col"/>
        <c:grouping val="percentStacked"/>
        <c:varyColors val="0"/>
        <c:ser>
          <c:idx val="0"/>
          <c:order val="0"/>
          <c:tx>
            <c:strRef>
              <c:f>'4. 재무분석도구'!$O$48</c:f>
              <c:strCache>
                <c:ptCount val="1"/>
                <c:pt idx="0">
                  <c:v>2. 단위당 제조원가</c:v>
                </c:pt>
              </c:strCache>
            </c:strRef>
          </c:tx>
          <c:spPr>
            <a:solidFill>
              <a:schemeClr val="accent1">
                <a:lumMod val="60000"/>
                <a:lumOff val="40000"/>
              </a:schemeClr>
            </a:solidFill>
          </c:spPr>
          <c:invertIfNegative val="0"/>
          <c:dLbls>
            <c:spPr>
              <a:noFill/>
              <a:ln w="25400">
                <a:noFill/>
              </a:ln>
            </c:spPr>
            <c:txPr>
              <a:bodyPr/>
              <a:lstStyle/>
              <a:p>
                <a:pPr>
                  <a:defRPr sz="1400">
                    <a:solidFill>
                      <a:sysClr val="windowText" lastClr="000000"/>
                    </a:solidFill>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'4. 재무분석도구'!$P$46:$R$46</c:f>
              <c:strCache>
                <c:ptCount val="3"/>
                <c:pt idx="0">
                  <c:v> 한국 </c:v>
                </c:pt>
                <c:pt idx="1">
                  <c:v> U국가 </c:v>
                </c:pt>
                <c:pt idx="2">
                  <c:v> C국가   </c:v>
                </c:pt>
              </c:strCache>
            </c:strRef>
          </c:cat>
          <c:val>
            <c:numRef>
              <c:f>'4. 재무분석도구'!$P$48:$R$48</c:f>
              <c:numCache>
                <c:formatCode>#,##0_ ;[Red]\-#,##0\ </c:formatCode>
                <c:ptCount val="3"/>
                <c:pt idx="0">
                  <c:v>361523</c:v>
                </c:pt>
                <c:pt idx="1">
                  <c:v>361523</c:v>
                </c:pt>
                <c:pt idx="2">
                  <c:v>361523</c:v>
                </c:pt>
              </c:numCache>
            </c:numRef>
          </c:val>
          <c:extLst>
            <c:ext xmlns:c16="http://schemas.microsoft.com/office/drawing/2014/chart" uri="{C3380CC4-5D6E-409C-BE32-E72D297353CC}">
              <c16:uniqueId val="{00000000-9834-4E17-8B46-CCB5D38C3067}"/>
            </c:ext>
          </c:extLst>
        </c:ser>
        <c:ser>
          <c:idx val="1"/>
          <c:order val="1"/>
          <c:tx>
            <c:strRef>
              <c:f>'4. 재무분석도구'!$O$49</c:f>
              <c:strCache>
                <c:ptCount val="1"/>
                <c:pt idx="0">
                  <c:v>3. 단위당 판관비</c:v>
                </c:pt>
              </c:strCache>
            </c:strRef>
          </c:tx>
          <c:spPr>
            <a:solidFill>
              <a:schemeClr val="accent2">
                <a:lumMod val="40000"/>
                <a:lumOff val="60000"/>
              </a:schemeClr>
            </a:solidFill>
          </c:spPr>
          <c:invertIfNegative val="0"/>
          <c:dLbls>
            <c:spPr>
              <a:noFill/>
              <a:ln w="25400">
                <a:noFill/>
              </a:ln>
            </c:spPr>
            <c:txPr>
              <a:bodyPr wrap="square" lIns="38100" tIns="19050" rIns="38100" bIns="19050" anchor="ctr">
                <a:spAutoFit/>
              </a:bodyPr>
              <a:lstStyle/>
              <a:p>
                <a:pPr>
                  <a:defRPr sz="1400"/>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'4. 재무분석도구'!$P$46:$R$46</c:f>
              <c:strCache>
                <c:ptCount val="3"/>
                <c:pt idx="0">
                  <c:v> 한국 </c:v>
                </c:pt>
                <c:pt idx="1">
                  <c:v> U국가 </c:v>
                </c:pt>
                <c:pt idx="2">
                  <c:v> C국가   </c:v>
                </c:pt>
              </c:strCache>
            </c:strRef>
          </c:cat>
          <c:val>
            <c:numRef>
              <c:f>'4. 재무분석도구'!$P$49:$R$49</c:f>
              <c:numCache>
                <c:formatCode>#,##0_ ;[Red]\-#,##0\ </c:formatCode>
                <c:ptCount val="3"/>
                <c:pt idx="0">
                  <c:v>264754.91966700606</c:v>
                </c:pt>
                <c:pt idx="1">
                  <c:v>331453.78143871535</c:v>
                </c:pt>
                <c:pt idx="2">
                  <c:v>262707.29784219072</c:v>
                </c:pt>
              </c:numCache>
            </c:numRef>
          </c:val>
          <c:extLst>
            <c:ext xmlns:c16="http://schemas.microsoft.com/office/drawing/2014/chart" uri="{C3380CC4-5D6E-409C-BE32-E72D297353CC}">
              <c16:uniqueId val="{00000001-9834-4E17-8B46-CCB5D38C3067}"/>
            </c:ext>
          </c:extLst>
        </c:ser>
        <c:ser>
          <c:idx val="2"/>
          <c:order val="2"/>
          <c:tx>
            <c:strRef>
              <c:f>'4. 재무분석도구'!$O$50</c:f>
              <c:strCache>
                <c:ptCount val="1"/>
                <c:pt idx="0">
                  <c:v>4. 단위당 영업 이익</c:v>
                </c:pt>
              </c:strCache>
            </c:strRef>
          </c:tx>
          <c:spPr>
            <a:solidFill>
              <a:srgbClr val="FFFF00"/>
            </a:solidFill>
          </c:spPr>
          <c:invertIfNegative val="0"/>
          <c:dLbls>
            <c:dLbl>
              <c:idx val="1"/>
              <c:layout>
                <c:manualLayout>
                  <c:x val="-7.0342912412657228E-17"/>
                  <c:y val="1.0781671159029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834-4E17-8B46-CCB5D38C3067}"/>
                </c:ext>
              </c:extLst>
            </c:dLbl>
            <c:numFmt formatCode="#,##0_ ;[Red]\-#,##0\ " sourceLinked="0"/>
            <c:spPr>
              <a:noFill/>
              <a:ln w="25400">
                <a:noFill/>
              </a:ln>
            </c:spPr>
            <c:txPr>
              <a:bodyPr wrap="square" lIns="38100" tIns="19050" rIns="38100" bIns="19050" anchor="ctr">
                <a:spAutoFit/>
              </a:bodyPr>
              <a:lstStyle/>
              <a:p>
                <a:pPr>
                  <a:defRPr sz="1400" b="1">
                    <a:solidFill>
                      <a:srgbClr val="FF0000"/>
                    </a:solidFill>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'4. 재무분석도구'!$P$46:$R$46</c:f>
              <c:strCache>
                <c:ptCount val="3"/>
                <c:pt idx="0">
                  <c:v> 한국 </c:v>
                </c:pt>
                <c:pt idx="1">
                  <c:v> U국가 </c:v>
                </c:pt>
                <c:pt idx="2">
                  <c:v> C국가   </c:v>
                </c:pt>
              </c:strCache>
            </c:strRef>
          </c:cat>
          <c:val>
            <c:numRef>
              <c:f>'4. 재무분석도구'!$P$50:$R$50</c:f>
              <c:numCache>
                <c:formatCode>#,##0_ ;[Red]\-#,##0\ </c:formatCode>
                <c:ptCount val="3"/>
                <c:pt idx="0">
                  <c:v>53722.080332993937</c:v>
                </c:pt>
                <c:pt idx="1">
                  <c:v>11023.218561284652</c:v>
                </c:pt>
                <c:pt idx="2">
                  <c:v>40769.702157809283</c:v>
                </c:pt>
              </c:numCache>
            </c:numRef>
          </c:val>
          <c:extLst>
            <c:ext xmlns:c16="http://schemas.microsoft.com/office/drawing/2014/chart" uri="{C3380CC4-5D6E-409C-BE32-E72D297353CC}">
              <c16:uniqueId val="{00000003-9834-4E17-8B46-CCB5D38C3067}"/>
            </c:ext>
          </c:extLst>
        </c:ser>
        <c:dLbls>
          <c:showLegendKey val="0"/>
          <c:showVal val="0"/>
          <c:showCatName val="0"/>
          <c:showSerName val="0"/>
          <c:showPercent val="0"/>
          <c:showBubbleSize val="0"/>
        </c:dLbls>
        <c:gapWidth val="78"/>
        <c:gapDepth val="7"/>
        <c:shape val="cylinder"/>
        <c:axId val="2145417264"/>
        <c:axId val="1"/>
        <c:axId val="0"/>
      </c:bar3DChart>
      <c:catAx>
        <c:axId val="2145417264"/>
        <c:scaling>
          <c:orientation val="minMax"/>
        </c:scaling>
        <c:delete val="0"/>
        <c:axPos val="b"/>
        <c:numFmt formatCode="General" sourceLinked="1"/>
        <c:majorTickMark val="out"/>
        <c:minorTickMark val="none"/>
        <c:tickLblPos val="nextTo"/>
        <c:txPr>
          <a:bodyPr/>
          <a:lstStyle/>
          <a:p>
            <a:pPr>
              <a:defRPr sz="1100" b="1"/>
            </a:pPr>
            <a:endParaRPr lang="ko-KR"/>
          </a:p>
        </c:txPr>
        <c:crossAx val="1"/>
        <c:crosses val="autoZero"/>
        <c:auto val="1"/>
        <c:lblAlgn val="ctr"/>
        <c:lblOffset val="100"/>
        <c:noMultiLvlLbl val="0"/>
      </c:catAx>
      <c:valAx>
        <c:axId val="1"/>
        <c:scaling>
          <c:orientation val="minMax"/>
          <c:max val="1"/>
        </c:scaling>
        <c:delete val="0"/>
        <c:axPos val="l"/>
        <c:numFmt formatCode="0%" sourceLinked="1"/>
        <c:majorTickMark val="out"/>
        <c:minorTickMark val="none"/>
        <c:tickLblPos val="nextTo"/>
        <c:crossAx val="2145417264"/>
        <c:crosses val="autoZero"/>
        <c:crossBetween val="between"/>
        <c:majorUnit val="0.1"/>
      </c:valAx>
      <c:spPr>
        <a:noFill/>
        <a:ln w="25400">
          <a:noFill/>
        </a:ln>
      </c:spPr>
    </c:plotArea>
    <c:legend>
      <c:legendPos val="b"/>
      <c:layout>
        <c:manualLayout>
          <c:xMode val="edge"/>
          <c:yMode val="edge"/>
          <c:x val="0.13746646881569893"/>
          <c:y val="0.91055429870431226"/>
          <c:w val="0.72358723695296479"/>
          <c:h val="6.5791495571120837E-2"/>
        </c:manualLayout>
      </c:layout>
      <c:overlay val="0"/>
      <c:txPr>
        <a:bodyPr/>
        <a:lstStyle/>
        <a:p>
          <a:pPr>
            <a:defRPr sz="1100" b="1"/>
          </a:pPr>
          <a:endParaRPr lang="ko-KR"/>
        </a:p>
      </c:txPr>
    </c:legend>
    <c:plotVisOnly val="1"/>
    <c:dispBlanksAs val="gap"/>
    <c:showDLblsOverMax val="0"/>
  </c:chart>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맑은 고딕"/>
                <a:ea typeface="맑은 고딕"/>
                <a:cs typeface="맑은 고딕"/>
              </a:defRPr>
            </a:pPr>
            <a:r>
              <a:rPr lang="en-US" sz="1200" b="1" i="0" u="none" strike="noStrike" baseline="0">
                <a:solidFill>
                  <a:srgbClr val="000000"/>
                </a:solidFill>
                <a:latin typeface="Calibri"/>
                <a:cs typeface="Calibri"/>
              </a:rPr>
              <a:t>HR</a:t>
            </a:r>
            <a:r>
              <a:rPr lang="en-US" sz="1200" b="1" i="0" u="none" strike="noStrike" baseline="0">
                <a:solidFill>
                  <a:srgbClr val="000000"/>
                </a:solidFill>
                <a:latin typeface="맑은 고딕"/>
                <a:ea typeface="맑은 고딕"/>
                <a:cs typeface="Calibri"/>
              </a:rPr>
              <a:t>원가 총합</a:t>
            </a:r>
            <a:endParaRPr lang="en-US" sz="1200" b="1" i="0" u="none" strike="noStrike" baseline="0">
              <a:solidFill>
                <a:srgbClr val="000000"/>
              </a:solidFill>
              <a:latin typeface="맑은 고딕"/>
              <a:ea typeface="맑은 고딕"/>
            </a:endParaRPr>
          </a:p>
        </c:rich>
      </c:tx>
      <c:layout>
        <c:manualLayout>
          <c:xMode val="edge"/>
          <c:yMode val="edge"/>
          <c:x val="0.36128855500578089"/>
          <c:y val="1.4933242040397124E-2"/>
        </c:manualLayout>
      </c:layout>
      <c:overlay val="1"/>
    </c:title>
    <c:autoTitleDeleted val="0"/>
    <c:plotArea>
      <c:layout>
        <c:manualLayout>
          <c:layoutTarget val="inner"/>
          <c:xMode val="edge"/>
          <c:yMode val="edge"/>
          <c:x val="0.10754912099276112"/>
          <c:y val="0.20858895705521471"/>
          <c:w val="0.65446759730463877"/>
          <c:h val="0.66564417177914115"/>
        </c:manualLayout>
      </c:layout>
      <c:barChart>
        <c:barDir val="col"/>
        <c:grouping val="clustered"/>
        <c:varyColors val="0"/>
        <c:ser>
          <c:idx val="0"/>
          <c:order val="0"/>
          <c:tx>
            <c:v/>
          </c:tx>
          <c:invertIfNegative val="0"/>
          <c:cat>
            <c:strRef>
              <c:f>'4. 재무분석도구'!$BT$6:$BV$6</c:f>
              <c:strCache>
                <c:ptCount val="3"/>
                <c:pt idx="0">
                  <c:v>한국</c:v>
                </c:pt>
                <c:pt idx="1">
                  <c:v>U국가</c:v>
                </c:pt>
                <c:pt idx="2">
                  <c:v>C국가</c:v>
                </c:pt>
              </c:strCache>
            </c:strRef>
          </c:cat>
          <c:val>
            <c:numRef>
              <c:f>'4. 재무분석도구'!$BT$13:$BV$13</c:f>
              <c:numCache>
                <c:formatCode>_(* #,##0_);_(* \(#,##0\);_(* "-"_);_(@_)</c:formatCode>
                <c:ptCount val="3"/>
                <c:pt idx="0">
                  <c:v>9253621992.2639771</c:v>
                </c:pt>
                <c:pt idx="1">
                  <c:v>4470021948.2781458</c:v>
                </c:pt>
                <c:pt idx="2">
                  <c:v>3077704264.4578781</c:v>
                </c:pt>
              </c:numCache>
            </c:numRef>
          </c:val>
          <c:extLst>
            <c:ext xmlns:c16="http://schemas.microsoft.com/office/drawing/2014/chart" uri="{C3380CC4-5D6E-409C-BE32-E72D297353CC}">
              <c16:uniqueId val="{00000000-B00A-4668-92E7-995EE63128F2}"/>
            </c:ext>
          </c:extLst>
        </c:ser>
        <c:dLbls>
          <c:showLegendKey val="0"/>
          <c:showVal val="0"/>
          <c:showCatName val="0"/>
          <c:showSerName val="0"/>
          <c:showPercent val="0"/>
          <c:showBubbleSize val="0"/>
        </c:dLbls>
        <c:gapWidth val="93"/>
        <c:overlap val="2"/>
        <c:axId val="2145422864"/>
        <c:axId val="1"/>
      </c:barChart>
      <c:catAx>
        <c:axId val="2145422864"/>
        <c:scaling>
          <c:orientation val="minMax"/>
        </c:scaling>
        <c:delete val="0"/>
        <c:axPos val="b"/>
        <c:numFmt formatCode="General" sourceLinked="1"/>
        <c:majorTickMark val="out"/>
        <c:minorTickMark val="none"/>
        <c:tickLblPos val="nextTo"/>
        <c:crossAx val="1"/>
        <c:crosses val="autoZero"/>
        <c:auto val="1"/>
        <c:lblAlgn val="ctr"/>
        <c:lblOffset val="100"/>
        <c:noMultiLvlLbl val="0"/>
      </c:catAx>
      <c:valAx>
        <c:axId val="1"/>
        <c:scaling>
          <c:orientation val="minMax"/>
        </c:scaling>
        <c:delete val="0"/>
        <c:axPos val="l"/>
        <c:majorGridlines/>
        <c:numFmt formatCode="_(* #,##0_);_(* \(#,##0\);_(* &quot;-&quot;_);_(@_)" sourceLinked="1"/>
        <c:majorTickMark val="out"/>
        <c:minorTickMark val="none"/>
        <c:tickLblPos val="nextTo"/>
        <c:crossAx val="2145422864"/>
        <c:crosses val="autoZero"/>
        <c:crossBetween val="between"/>
        <c:majorUnit val="2000000000"/>
      </c:valAx>
    </c:plotArea>
    <c:plotVisOnly val="1"/>
    <c:dispBlanksAs val="gap"/>
    <c:showDLblsOverMax val="0"/>
  </c:chart>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a:lstStyle/>
          <a:p>
            <a:pPr>
              <a:defRPr sz="1000" b="0" i="0" u="none" strike="noStrike" baseline="0">
                <a:solidFill>
                  <a:srgbClr val="000000"/>
                </a:solidFill>
                <a:latin typeface="맑은 고딕"/>
                <a:ea typeface="맑은 고딕"/>
                <a:cs typeface="맑은 고딕"/>
              </a:defRPr>
            </a:pPr>
            <a:r>
              <a:rPr lang="en-US" sz="1200" b="1" i="0" u="none" strike="noStrike" baseline="0">
                <a:solidFill>
                  <a:srgbClr val="000000"/>
                </a:solidFill>
                <a:latin typeface="맑은 고딕"/>
                <a:ea typeface="맑은 고딕"/>
              </a:rPr>
              <a:t>단위당 HR원가</a:t>
            </a:r>
          </a:p>
        </c:rich>
      </c:tx>
      <c:layout>
        <c:manualLayout>
          <c:xMode val="edge"/>
          <c:yMode val="edge"/>
          <c:x val="0.34307612644452851"/>
          <c:y val="1.4698162729658791E-2"/>
        </c:manualLayout>
      </c:layout>
      <c:overlay val="1"/>
    </c:title>
    <c:autoTitleDeleted val="0"/>
    <c:plotArea>
      <c:layout>
        <c:manualLayout>
          <c:layoutTarget val="inner"/>
          <c:xMode val="edge"/>
          <c:yMode val="edge"/>
          <c:x val="7.223942208462332E-2"/>
          <c:y val="0.21587301587301588"/>
          <c:w val="0.77360984179346881"/>
          <c:h val="0.65396825396825398"/>
        </c:manualLayout>
      </c:layout>
      <c:barChart>
        <c:barDir val="col"/>
        <c:grouping val="clustered"/>
        <c:varyColors val="0"/>
        <c:ser>
          <c:idx val="0"/>
          <c:order val="0"/>
          <c:tx>
            <c:v/>
          </c:tx>
          <c:invertIfNegative val="0"/>
          <c:dLbls>
            <c:spPr>
              <a:solidFill>
                <a:schemeClr val="bg1"/>
              </a:solidFill>
              <a:ln>
                <a:noFill/>
              </a:ln>
              <a:effectLst/>
            </c:spPr>
            <c:txPr>
              <a:bodyPr wrap="square" lIns="38100" tIns="19050" rIns="38100" bIns="19050" anchor="ctr">
                <a:spAutoFit/>
              </a:bodyPr>
              <a:lstStyle/>
              <a:p>
                <a:pPr>
                  <a:defRPr b="1"/>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'4. 재무분석도구'!$BT$6:$BV$6</c:f>
              <c:strCache>
                <c:ptCount val="3"/>
                <c:pt idx="0">
                  <c:v>한국</c:v>
                </c:pt>
                <c:pt idx="1">
                  <c:v>U국가</c:v>
                </c:pt>
                <c:pt idx="2">
                  <c:v>C국가</c:v>
                </c:pt>
              </c:strCache>
            </c:strRef>
          </c:cat>
          <c:val>
            <c:numRef>
              <c:f>'4. 재무분석도구'!$BT$15:$BV$15</c:f>
              <c:numCache>
                <c:formatCode>_(* #,##0_);_(* \(#,##0\);_(* "-"_);_(@_)</c:formatCode>
                <c:ptCount val="3"/>
                <c:pt idx="0">
                  <c:v>138776.57456904586</c:v>
                </c:pt>
                <c:pt idx="1">
                  <c:v>136781.57736469235</c:v>
                </c:pt>
                <c:pt idx="2">
                  <c:v>100908.33653960256</c:v>
                </c:pt>
              </c:numCache>
            </c:numRef>
          </c:val>
          <c:extLst>
            <c:ext xmlns:c16="http://schemas.microsoft.com/office/drawing/2014/chart" uri="{C3380CC4-5D6E-409C-BE32-E72D297353CC}">
              <c16:uniqueId val="{00000000-00BE-4DC3-A53C-25E5E68DBC44}"/>
            </c:ext>
          </c:extLst>
        </c:ser>
        <c:dLbls>
          <c:showLegendKey val="0"/>
          <c:showVal val="0"/>
          <c:showCatName val="0"/>
          <c:showSerName val="0"/>
          <c:showPercent val="0"/>
          <c:showBubbleSize val="0"/>
        </c:dLbls>
        <c:gapWidth val="103"/>
        <c:axId val="2138832624"/>
        <c:axId val="1"/>
      </c:barChart>
      <c:catAx>
        <c:axId val="2138832624"/>
        <c:scaling>
          <c:orientation val="minMax"/>
        </c:scaling>
        <c:delete val="0"/>
        <c:axPos val="b"/>
        <c:numFmt formatCode="General" sourceLinked="1"/>
        <c:majorTickMark val="out"/>
        <c:minorTickMark val="none"/>
        <c:tickLblPos val="nextTo"/>
        <c:crossAx val="1"/>
        <c:crosses val="autoZero"/>
        <c:auto val="1"/>
        <c:lblAlgn val="ctr"/>
        <c:lblOffset val="100"/>
        <c:noMultiLvlLbl val="0"/>
      </c:catAx>
      <c:valAx>
        <c:axId val="1"/>
        <c:scaling>
          <c:orientation val="minMax"/>
          <c:min val="120000"/>
        </c:scaling>
        <c:delete val="0"/>
        <c:axPos val="l"/>
        <c:majorGridlines/>
        <c:numFmt formatCode="_(* #,##0_);_(* \(#,##0\);_(* &quot;-&quot;_);_(@_)" sourceLinked="1"/>
        <c:majorTickMark val="out"/>
        <c:minorTickMark val="none"/>
        <c:tickLblPos val="nextTo"/>
        <c:crossAx val="2138832624"/>
        <c:crosses val="autoZero"/>
        <c:crossBetween val="between"/>
        <c:majorUnit val="20000"/>
      </c:valAx>
    </c:plotArea>
    <c:plotVisOnly val="1"/>
    <c:dispBlanksAs val="gap"/>
    <c:showDLblsOverMax val="0"/>
  </c:chart>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맑은 고딕"/>
                <a:ea typeface="맑은 고딕"/>
                <a:cs typeface="맑은 고딕"/>
              </a:defRPr>
            </a:pPr>
            <a:r>
              <a:rPr lang="en-US" sz="1400" b="1" i="0" u="none" strike="noStrike" baseline="0">
                <a:solidFill>
                  <a:srgbClr val="000000"/>
                </a:solidFill>
                <a:latin typeface="맑은 고딕"/>
                <a:ea typeface="맑은 고딕"/>
              </a:rPr>
              <a:t>한국 영업본부 HR원가 구성</a:t>
            </a:r>
          </a:p>
        </c:rich>
      </c:tx>
      <c:overlay val="0"/>
    </c:title>
    <c:autoTitleDeleted val="0"/>
    <c:view3D>
      <c:rotX val="30"/>
      <c:rotY val="12"/>
      <c:rAngAx val="0"/>
      <c:perspective val="0"/>
    </c:view3D>
    <c:floor>
      <c:thickness val="0"/>
    </c:floor>
    <c:sideWall>
      <c:thickness val="0"/>
    </c:sideWall>
    <c:backWall>
      <c:thickness val="0"/>
    </c:backWall>
    <c:plotArea>
      <c:layout>
        <c:manualLayout>
          <c:layoutTarget val="inner"/>
          <c:xMode val="edge"/>
          <c:yMode val="edge"/>
          <c:x val="0.10884420090088118"/>
          <c:y val="0.24254884806065907"/>
          <c:w val="0.82022981825130326"/>
          <c:h val="0.68504119276757058"/>
        </c:manualLayout>
      </c:layout>
      <c:pie3DChart>
        <c:varyColors val="1"/>
        <c:ser>
          <c:idx val="0"/>
          <c:order val="0"/>
          <c:explosion val="7"/>
          <c:dPt>
            <c:idx val="0"/>
            <c:bubble3D val="0"/>
            <c:extLst>
              <c:ext xmlns:c16="http://schemas.microsoft.com/office/drawing/2014/chart" uri="{C3380CC4-5D6E-409C-BE32-E72D297353CC}">
                <c16:uniqueId val="{00000000-6F6D-4E96-A7B3-FDE6831BE8A2}"/>
              </c:ext>
            </c:extLst>
          </c:dPt>
          <c:dPt>
            <c:idx val="1"/>
            <c:bubble3D val="0"/>
            <c:extLst>
              <c:ext xmlns:c16="http://schemas.microsoft.com/office/drawing/2014/chart" uri="{C3380CC4-5D6E-409C-BE32-E72D297353CC}">
                <c16:uniqueId val="{00000001-6F6D-4E96-A7B3-FDE6831BE8A2}"/>
              </c:ext>
            </c:extLst>
          </c:dPt>
          <c:dPt>
            <c:idx val="2"/>
            <c:bubble3D val="0"/>
            <c:extLst>
              <c:ext xmlns:c16="http://schemas.microsoft.com/office/drawing/2014/chart" uri="{C3380CC4-5D6E-409C-BE32-E72D297353CC}">
                <c16:uniqueId val="{00000002-6F6D-4E96-A7B3-FDE6831BE8A2}"/>
              </c:ext>
            </c:extLst>
          </c:dPt>
          <c:dPt>
            <c:idx val="3"/>
            <c:bubble3D val="0"/>
            <c:extLst>
              <c:ext xmlns:c16="http://schemas.microsoft.com/office/drawing/2014/chart" uri="{C3380CC4-5D6E-409C-BE32-E72D297353CC}">
                <c16:uniqueId val="{00000003-6F6D-4E96-A7B3-FDE6831BE8A2}"/>
              </c:ext>
            </c:extLst>
          </c:dPt>
          <c:dPt>
            <c:idx val="4"/>
            <c:bubble3D val="0"/>
            <c:extLst>
              <c:ext xmlns:c16="http://schemas.microsoft.com/office/drawing/2014/chart" uri="{C3380CC4-5D6E-409C-BE32-E72D297353CC}">
                <c16:uniqueId val="{00000004-6F6D-4E96-A7B3-FDE6831BE8A2}"/>
              </c:ext>
            </c:extLst>
          </c:dPt>
          <c:dPt>
            <c:idx val="5"/>
            <c:bubble3D val="0"/>
            <c:extLst>
              <c:ext xmlns:c16="http://schemas.microsoft.com/office/drawing/2014/chart" uri="{C3380CC4-5D6E-409C-BE32-E72D297353CC}">
                <c16:uniqueId val="{00000005-6F6D-4E96-A7B3-FDE6831BE8A2}"/>
              </c:ext>
            </c:extLst>
          </c:dPt>
          <c:dLbls>
            <c:dLbl>
              <c:idx val="0"/>
              <c:layout>
                <c:manualLayout>
                  <c:x val="-3.3312132198383526E-2"/>
                  <c:y val="-0.15058433723271286"/>
                </c:manualLayout>
              </c:layout>
              <c:spPr/>
              <c:txPr>
                <a:bodyPr/>
                <a:lstStyle/>
                <a:p>
                  <a:pPr>
                    <a:defRPr sz="1000" b="0">
                      <a:solidFill>
                        <a:sysClr val="windowText" lastClr="000000"/>
                      </a:solidFill>
                    </a:defRPr>
                  </a:pPr>
                  <a:endParaRPr lang="ko-KR"/>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6F6D-4E96-A7B3-FDE6831BE8A2}"/>
                </c:ext>
              </c:extLst>
            </c:dLbl>
            <c:dLbl>
              <c:idx val="1"/>
              <c:layout>
                <c:manualLayout>
                  <c:x val="2.7941358778478596E-3"/>
                  <c:y val="0.1117115149442174"/>
                </c:manualLayout>
              </c:layout>
              <c:spPr/>
              <c:txPr>
                <a:bodyPr/>
                <a:lstStyle/>
                <a:p>
                  <a:pPr>
                    <a:defRPr sz="1000" b="0">
                      <a:solidFill>
                        <a:sysClr val="windowText" lastClr="000000"/>
                      </a:solidFill>
                    </a:defRPr>
                  </a:pPr>
                  <a:endParaRPr lang="ko-KR"/>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F6D-4E96-A7B3-FDE6831BE8A2}"/>
                </c:ext>
              </c:extLst>
            </c:dLbl>
            <c:dLbl>
              <c:idx val="2"/>
              <c:layout>
                <c:manualLayout>
                  <c:x val="-5.317493958039958E-2"/>
                  <c:y val="2.9175505309367088E-2"/>
                </c:manualLayout>
              </c:layout>
              <c:spPr/>
              <c:txPr>
                <a:bodyPr/>
                <a:lstStyle/>
                <a:p>
                  <a:pPr>
                    <a:defRPr sz="1000" b="0">
                      <a:solidFill>
                        <a:sysClr val="windowText" lastClr="000000"/>
                      </a:solidFill>
                    </a:defRPr>
                  </a:pPr>
                  <a:endParaRPr lang="ko-KR"/>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6F6D-4E96-A7B3-FDE6831BE8A2}"/>
                </c:ext>
              </c:extLst>
            </c:dLbl>
            <c:dLbl>
              <c:idx val="3"/>
              <c:layout>
                <c:manualLayout>
                  <c:x val="2.2202229179977852E-2"/>
                  <c:y val="-1.6203703703703682E-2"/>
                </c:manualLayout>
              </c:layout>
              <c:spPr/>
              <c:txPr>
                <a:bodyPr/>
                <a:lstStyle/>
                <a:p>
                  <a:pPr>
                    <a:defRPr sz="1000" b="0">
                      <a:solidFill>
                        <a:sysClr val="windowText" lastClr="000000"/>
                      </a:solidFill>
                    </a:defRPr>
                  </a:pPr>
                  <a:endParaRPr lang="ko-KR"/>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F6D-4E96-A7B3-FDE6831BE8A2}"/>
                </c:ext>
              </c:extLst>
            </c:dLbl>
            <c:dLbl>
              <c:idx val="4"/>
              <c:layout>
                <c:manualLayout>
                  <c:x val="-8.3333719358355568E-2"/>
                  <c:y val="-9.251505728000307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6F6D-4E96-A7B3-FDE6831BE8A2}"/>
                </c:ext>
              </c:extLst>
            </c:dLbl>
            <c:dLbl>
              <c:idx val="5"/>
              <c:layout>
                <c:manualLayout>
                  <c:x val="-9.1735642879089946E-2"/>
                  <c:y val="3.918312423589517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F6D-4E96-A7B3-FDE6831BE8A2}"/>
                </c:ext>
              </c:extLst>
            </c:dLbl>
            <c:spPr>
              <a:noFill/>
              <a:ln w="25400">
                <a:noFill/>
              </a:ln>
            </c:spPr>
            <c:txPr>
              <a:bodyPr/>
              <a:lstStyle/>
              <a:p>
                <a:pPr>
                  <a:defRPr sz="1000" b="0">
                    <a:solidFill>
                      <a:sysClr val="windowText" lastClr="000000"/>
                    </a:solidFill>
                  </a:defRPr>
                </a:pPr>
                <a:endParaRPr lang="ko-KR"/>
              </a:p>
            </c:txPr>
            <c:showLegendKey val="0"/>
            <c:showVal val="0"/>
            <c:showCatName val="1"/>
            <c:showSerName val="0"/>
            <c:showPercent val="1"/>
            <c:showBubbleSize val="0"/>
            <c:showLeaderLines val="1"/>
            <c:extLst>
              <c:ext xmlns:c15="http://schemas.microsoft.com/office/drawing/2012/chart" uri="{CE6537A1-D6FC-4f65-9D91-7224C49458BB}"/>
            </c:extLst>
          </c:dLbls>
          <c:cat>
            <c:strRef>
              <c:f>'4. 재무분석도구'!$BS$7:$BS$12</c:f>
              <c:strCache>
                <c:ptCount val="6"/>
                <c:pt idx="0">
                  <c:v>1. 임직원 급여</c:v>
                </c:pt>
                <c:pt idx="1">
                  <c:v>2. 영업직원 급여</c:v>
                </c:pt>
                <c:pt idx="2">
                  <c:v>3. 임직원 인센티브</c:v>
                </c:pt>
                <c:pt idx="3">
                  <c:v>4. 영업직원 교육훈련비</c:v>
                </c:pt>
                <c:pt idx="4">
                  <c:v>5. 연구개발비</c:v>
                </c:pt>
                <c:pt idx="5">
                  <c:v>6. 기타비용</c:v>
                </c:pt>
              </c:strCache>
            </c:strRef>
          </c:cat>
          <c:val>
            <c:numRef>
              <c:f>'4. 재무분석도구'!$BT$7:$BT$12</c:f>
              <c:numCache>
                <c:formatCode>_(* #,##0_);_(* \(#,##0\);_(* "-"_);_(@_)</c:formatCode>
                <c:ptCount val="6"/>
                <c:pt idx="0">
                  <c:v>2813406000</c:v>
                </c:pt>
                <c:pt idx="1">
                  <c:v>2200000000</c:v>
                </c:pt>
                <c:pt idx="2">
                  <c:v>770214076.69798231</c:v>
                </c:pt>
                <c:pt idx="3">
                  <c:v>610000000</c:v>
                </c:pt>
                <c:pt idx="4">
                  <c:v>1879579085.168643</c:v>
                </c:pt>
                <c:pt idx="5">
                  <c:v>980422830.39735091</c:v>
                </c:pt>
              </c:numCache>
            </c:numRef>
          </c:val>
          <c:extLst>
            <c:ext xmlns:c16="http://schemas.microsoft.com/office/drawing/2014/chart" uri="{C3380CC4-5D6E-409C-BE32-E72D297353CC}">
              <c16:uniqueId val="{00000006-6F6D-4E96-A7B3-FDE6831BE8A2}"/>
            </c:ext>
          </c:extLst>
        </c:ser>
        <c:ser>
          <c:idx val="1"/>
          <c:order val="1"/>
          <c:dPt>
            <c:idx val="0"/>
            <c:bubble3D val="0"/>
            <c:extLst>
              <c:ext xmlns:c16="http://schemas.microsoft.com/office/drawing/2014/chart" uri="{C3380CC4-5D6E-409C-BE32-E72D297353CC}">
                <c16:uniqueId val="{00000007-6F6D-4E96-A7B3-FDE6831BE8A2}"/>
              </c:ext>
            </c:extLst>
          </c:dPt>
          <c:dPt>
            <c:idx val="1"/>
            <c:bubble3D val="0"/>
            <c:extLst>
              <c:ext xmlns:c16="http://schemas.microsoft.com/office/drawing/2014/chart" uri="{C3380CC4-5D6E-409C-BE32-E72D297353CC}">
                <c16:uniqueId val="{00000008-6F6D-4E96-A7B3-FDE6831BE8A2}"/>
              </c:ext>
            </c:extLst>
          </c:dPt>
          <c:dPt>
            <c:idx val="2"/>
            <c:bubble3D val="0"/>
            <c:extLst>
              <c:ext xmlns:c16="http://schemas.microsoft.com/office/drawing/2014/chart" uri="{C3380CC4-5D6E-409C-BE32-E72D297353CC}">
                <c16:uniqueId val="{00000009-6F6D-4E96-A7B3-FDE6831BE8A2}"/>
              </c:ext>
            </c:extLst>
          </c:dPt>
          <c:dPt>
            <c:idx val="3"/>
            <c:bubble3D val="0"/>
            <c:extLst>
              <c:ext xmlns:c16="http://schemas.microsoft.com/office/drawing/2014/chart" uri="{C3380CC4-5D6E-409C-BE32-E72D297353CC}">
                <c16:uniqueId val="{0000000A-6F6D-4E96-A7B3-FDE6831BE8A2}"/>
              </c:ext>
            </c:extLst>
          </c:dPt>
          <c:dPt>
            <c:idx val="4"/>
            <c:bubble3D val="0"/>
            <c:extLst>
              <c:ext xmlns:c16="http://schemas.microsoft.com/office/drawing/2014/chart" uri="{C3380CC4-5D6E-409C-BE32-E72D297353CC}">
                <c16:uniqueId val="{0000000B-6F6D-4E96-A7B3-FDE6831BE8A2}"/>
              </c:ext>
            </c:extLst>
          </c:dPt>
          <c:dPt>
            <c:idx val="5"/>
            <c:bubble3D val="0"/>
            <c:extLst>
              <c:ext xmlns:c16="http://schemas.microsoft.com/office/drawing/2014/chart" uri="{C3380CC4-5D6E-409C-BE32-E72D297353CC}">
                <c16:uniqueId val="{0000000C-6F6D-4E96-A7B3-FDE6831BE8A2}"/>
              </c:ext>
            </c:extLst>
          </c:dPt>
          <c:cat>
            <c:strRef>
              <c:f>'4. 재무분석도구'!$BS$7:$BS$12</c:f>
              <c:strCache>
                <c:ptCount val="6"/>
                <c:pt idx="0">
                  <c:v>1. 임직원 급여</c:v>
                </c:pt>
                <c:pt idx="1">
                  <c:v>2. 영업직원 급여</c:v>
                </c:pt>
                <c:pt idx="2">
                  <c:v>3. 임직원 인센티브</c:v>
                </c:pt>
                <c:pt idx="3">
                  <c:v>4. 영업직원 교육훈련비</c:v>
                </c:pt>
                <c:pt idx="4">
                  <c:v>5. 연구개발비</c:v>
                </c:pt>
                <c:pt idx="5">
                  <c:v>6. 기타비용</c:v>
                </c:pt>
              </c:strCache>
            </c:strRef>
          </c:cat>
          <c:val>
            <c:numLit>
              <c:formatCode>General</c:formatCode>
              <c:ptCount val="3"/>
              <c:pt idx="0">
                <c:v>382352941.17647058</c:v>
              </c:pt>
              <c:pt idx="1">
                <c:v>334821568.62745094</c:v>
              </c:pt>
              <c:pt idx="2">
                <c:v>1102292768.9594357</c:v>
              </c:pt>
            </c:numLit>
          </c:val>
          <c:extLst>
            <c:ext xmlns:c16="http://schemas.microsoft.com/office/drawing/2014/chart" uri="{C3380CC4-5D6E-409C-BE32-E72D297353CC}">
              <c16:uniqueId val="{0000000D-6F6D-4E96-A7B3-FDE6831BE8A2}"/>
            </c:ext>
          </c:extLst>
        </c:ser>
        <c:dLbls>
          <c:showLegendKey val="0"/>
          <c:showVal val="0"/>
          <c:showCatName val="0"/>
          <c:showSerName val="0"/>
          <c:showPercent val="0"/>
          <c:showBubbleSize val="0"/>
          <c:showLeaderLines val="1"/>
        </c:dLbls>
      </c:pie3DChart>
      <c:spPr>
        <a:noFill/>
        <a:ln w="25400">
          <a:noFill/>
        </a:ln>
      </c:spPr>
    </c:plotArea>
    <c:plotVisOnly val="1"/>
    <c:dispBlanksAs val="gap"/>
    <c:showDLblsOverMax val="0"/>
  </c:chart>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a:lstStyle/>
          <a:p>
            <a:pPr>
              <a:defRPr sz="1000" b="0" i="0" u="none" strike="noStrike" baseline="0">
                <a:solidFill>
                  <a:srgbClr val="000000"/>
                </a:solidFill>
                <a:latin typeface="맑은 고딕"/>
                <a:ea typeface="맑은 고딕"/>
                <a:cs typeface="맑은 고딕"/>
              </a:defRPr>
            </a:pPr>
            <a:r>
              <a:rPr lang="en-US" sz="1400" b="1" i="0" u="none" strike="noStrike" baseline="0">
                <a:solidFill>
                  <a:srgbClr val="000000"/>
                </a:solidFill>
                <a:latin typeface="맑은 고딕"/>
                <a:ea typeface="맑은 고딕"/>
              </a:rPr>
              <a:t>미국 영업본부 HR원가 구성</a:t>
            </a:r>
          </a:p>
        </c:rich>
      </c:tx>
      <c:layout>
        <c:manualLayout>
          <c:xMode val="edge"/>
          <c:yMode val="edge"/>
          <c:x val="0.2355357754193769"/>
          <c:y val="2.0807173332408342E-2"/>
        </c:manualLayout>
      </c:layout>
      <c:overlay val="0"/>
    </c:title>
    <c:autoTitleDeleted val="0"/>
    <c:view3D>
      <c:rotX val="30"/>
      <c:rotY val="12"/>
      <c:rAngAx val="0"/>
      <c:perspective val="0"/>
    </c:view3D>
    <c:floor>
      <c:thickness val="0"/>
    </c:floor>
    <c:sideWall>
      <c:thickness val="0"/>
    </c:sideWall>
    <c:backWall>
      <c:thickness val="0"/>
    </c:backWall>
    <c:plotArea>
      <c:layout>
        <c:manualLayout>
          <c:layoutTarget val="inner"/>
          <c:xMode val="edge"/>
          <c:yMode val="edge"/>
          <c:x val="0.10884420090088118"/>
          <c:y val="0.24254884806065907"/>
          <c:w val="0.82022981825130326"/>
          <c:h val="0.68504119276757058"/>
        </c:manualLayout>
      </c:layout>
      <c:pie3DChart>
        <c:varyColors val="1"/>
        <c:ser>
          <c:idx val="0"/>
          <c:order val="0"/>
          <c:explosion val="7"/>
          <c:dPt>
            <c:idx val="0"/>
            <c:bubble3D val="0"/>
            <c:extLst>
              <c:ext xmlns:c16="http://schemas.microsoft.com/office/drawing/2014/chart" uri="{C3380CC4-5D6E-409C-BE32-E72D297353CC}">
                <c16:uniqueId val="{00000000-1670-46B6-BB35-9986988A4E66}"/>
              </c:ext>
            </c:extLst>
          </c:dPt>
          <c:dPt>
            <c:idx val="1"/>
            <c:bubble3D val="0"/>
            <c:extLst>
              <c:ext xmlns:c16="http://schemas.microsoft.com/office/drawing/2014/chart" uri="{C3380CC4-5D6E-409C-BE32-E72D297353CC}">
                <c16:uniqueId val="{00000001-1670-46B6-BB35-9986988A4E66}"/>
              </c:ext>
            </c:extLst>
          </c:dPt>
          <c:dPt>
            <c:idx val="2"/>
            <c:bubble3D val="0"/>
            <c:extLst>
              <c:ext xmlns:c16="http://schemas.microsoft.com/office/drawing/2014/chart" uri="{C3380CC4-5D6E-409C-BE32-E72D297353CC}">
                <c16:uniqueId val="{00000002-1670-46B6-BB35-9986988A4E66}"/>
              </c:ext>
            </c:extLst>
          </c:dPt>
          <c:dPt>
            <c:idx val="3"/>
            <c:bubble3D val="0"/>
            <c:extLst>
              <c:ext xmlns:c16="http://schemas.microsoft.com/office/drawing/2014/chart" uri="{C3380CC4-5D6E-409C-BE32-E72D297353CC}">
                <c16:uniqueId val="{00000003-1670-46B6-BB35-9986988A4E66}"/>
              </c:ext>
            </c:extLst>
          </c:dPt>
          <c:dPt>
            <c:idx val="4"/>
            <c:bubble3D val="0"/>
            <c:extLst>
              <c:ext xmlns:c16="http://schemas.microsoft.com/office/drawing/2014/chart" uri="{C3380CC4-5D6E-409C-BE32-E72D297353CC}">
                <c16:uniqueId val="{00000004-1670-46B6-BB35-9986988A4E66}"/>
              </c:ext>
            </c:extLst>
          </c:dPt>
          <c:dPt>
            <c:idx val="5"/>
            <c:bubble3D val="0"/>
            <c:extLst>
              <c:ext xmlns:c16="http://schemas.microsoft.com/office/drawing/2014/chart" uri="{C3380CC4-5D6E-409C-BE32-E72D297353CC}">
                <c16:uniqueId val="{00000005-1670-46B6-BB35-9986988A4E66}"/>
              </c:ext>
            </c:extLst>
          </c:dPt>
          <c:dLbls>
            <c:dLbl>
              <c:idx val="0"/>
              <c:layout>
                <c:manualLayout>
                  <c:x val="-8.4708468744026003E-2"/>
                  <c:y val="-0.17301246301615544"/>
                </c:manualLayout>
              </c:layout>
              <c:spPr/>
              <c:txPr>
                <a:bodyPr/>
                <a:lstStyle/>
                <a:p>
                  <a:pPr>
                    <a:defRPr sz="1000"/>
                  </a:pPr>
                  <a:endParaRPr lang="ko-KR"/>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1670-46B6-BB35-9986988A4E66}"/>
                </c:ext>
              </c:extLst>
            </c:dLbl>
            <c:dLbl>
              <c:idx val="1"/>
              <c:layout>
                <c:manualLayout>
                  <c:x val="2.7941358778478596E-3"/>
                  <c:y val="0.1117115149442174"/>
                </c:manualLayout>
              </c:layout>
              <c:spPr/>
              <c:txPr>
                <a:bodyPr/>
                <a:lstStyle/>
                <a:p>
                  <a:pPr>
                    <a:defRPr sz="1000"/>
                  </a:pPr>
                  <a:endParaRPr lang="ko-KR"/>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670-46B6-BB35-9986988A4E66}"/>
                </c:ext>
              </c:extLst>
            </c:dLbl>
            <c:dLbl>
              <c:idx val="2"/>
              <c:layout>
                <c:manualLayout>
                  <c:x val="0.18614004424174563"/>
                  <c:y val="0"/>
                </c:manualLayout>
              </c:layout>
              <c:spPr/>
              <c:txPr>
                <a:bodyPr/>
                <a:lstStyle/>
                <a:p>
                  <a:pPr>
                    <a:defRPr sz="1000"/>
                  </a:pPr>
                  <a:endParaRPr lang="ko-KR"/>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1670-46B6-BB35-9986988A4E66}"/>
                </c:ext>
              </c:extLst>
            </c:dLbl>
            <c:dLbl>
              <c:idx val="3"/>
              <c:layout>
                <c:manualLayout>
                  <c:x val="0.13665729032962834"/>
                  <c:y val="5.6115641349017198E-2"/>
                </c:manualLayout>
              </c:layout>
              <c:spPr/>
              <c:txPr>
                <a:bodyPr/>
                <a:lstStyle/>
                <a:p>
                  <a:pPr>
                    <a:defRPr sz="1000"/>
                  </a:pPr>
                  <a:endParaRPr lang="ko-KR"/>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670-46B6-BB35-9986988A4E66}"/>
                </c:ext>
              </c:extLst>
            </c:dLbl>
            <c:dLbl>
              <c:idx val="5"/>
              <c:layout>
                <c:manualLayout>
                  <c:x val="-0.3416638658261324"/>
                  <c:y val="9.044563717419408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670-46B6-BB35-9986988A4E66}"/>
                </c:ext>
              </c:extLst>
            </c:dLbl>
            <c:spPr>
              <a:noFill/>
              <a:ln w="25400">
                <a:noFill/>
              </a:ln>
            </c:spPr>
            <c:txPr>
              <a:bodyPr/>
              <a:lstStyle/>
              <a:p>
                <a:pPr>
                  <a:defRPr sz="1000"/>
                </a:pPr>
                <a:endParaRPr lang="ko-KR"/>
              </a:p>
            </c:txPr>
            <c:showLegendKey val="0"/>
            <c:showVal val="0"/>
            <c:showCatName val="1"/>
            <c:showSerName val="0"/>
            <c:showPercent val="1"/>
            <c:showBubbleSize val="0"/>
            <c:showLeaderLines val="1"/>
            <c:extLst>
              <c:ext xmlns:c15="http://schemas.microsoft.com/office/drawing/2012/chart" uri="{CE6537A1-D6FC-4f65-9D91-7224C49458BB}"/>
            </c:extLst>
          </c:dLbls>
          <c:cat>
            <c:strRef>
              <c:f>'4. 재무분석도구'!$BS$7:$BS$12</c:f>
              <c:strCache>
                <c:ptCount val="6"/>
                <c:pt idx="0">
                  <c:v>1. 임직원 급여</c:v>
                </c:pt>
                <c:pt idx="1">
                  <c:v>2. 영업직원 급여</c:v>
                </c:pt>
                <c:pt idx="2">
                  <c:v>3. 임직원 인센티브</c:v>
                </c:pt>
                <c:pt idx="3">
                  <c:v>4. 영업직원 교육훈련비</c:v>
                </c:pt>
                <c:pt idx="4">
                  <c:v>5. 연구개발비</c:v>
                </c:pt>
                <c:pt idx="5">
                  <c:v>6. 기타비용</c:v>
                </c:pt>
              </c:strCache>
            </c:strRef>
          </c:cat>
          <c:val>
            <c:numRef>
              <c:f>'4. 재무분석도구'!$BU$7:$BU$12</c:f>
              <c:numCache>
                <c:formatCode>_(* #,##0_);_(* \(#,##0\);_(* "-"_);_(@_)</c:formatCode>
                <c:ptCount val="6"/>
                <c:pt idx="0">
                  <c:v>732966300</c:v>
                </c:pt>
                <c:pt idx="1">
                  <c:v>1573000000</c:v>
                </c:pt>
                <c:pt idx="2">
                  <c:v>377483443.70860928</c:v>
                </c:pt>
                <c:pt idx="3">
                  <c:v>350900000</c:v>
                </c:pt>
                <c:pt idx="4">
                  <c:v>921185430.4635762</c:v>
                </c:pt>
                <c:pt idx="5">
                  <c:v>514486774.10596025</c:v>
                </c:pt>
              </c:numCache>
            </c:numRef>
          </c:val>
          <c:extLst>
            <c:ext xmlns:c16="http://schemas.microsoft.com/office/drawing/2014/chart" uri="{C3380CC4-5D6E-409C-BE32-E72D297353CC}">
              <c16:uniqueId val="{00000006-1670-46B6-BB35-9986988A4E66}"/>
            </c:ext>
          </c:extLst>
        </c:ser>
        <c:ser>
          <c:idx val="1"/>
          <c:order val="1"/>
          <c:dPt>
            <c:idx val="0"/>
            <c:bubble3D val="0"/>
            <c:extLst>
              <c:ext xmlns:c16="http://schemas.microsoft.com/office/drawing/2014/chart" uri="{C3380CC4-5D6E-409C-BE32-E72D297353CC}">
                <c16:uniqueId val="{00000007-1670-46B6-BB35-9986988A4E66}"/>
              </c:ext>
            </c:extLst>
          </c:dPt>
          <c:dPt>
            <c:idx val="1"/>
            <c:bubble3D val="0"/>
            <c:extLst>
              <c:ext xmlns:c16="http://schemas.microsoft.com/office/drawing/2014/chart" uri="{C3380CC4-5D6E-409C-BE32-E72D297353CC}">
                <c16:uniqueId val="{00000008-1670-46B6-BB35-9986988A4E66}"/>
              </c:ext>
            </c:extLst>
          </c:dPt>
          <c:dPt>
            <c:idx val="2"/>
            <c:bubble3D val="0"/>
            <c:extLst>
              <c:ext xmlns:c16="http://schemas.microsoft.com/office/drawing/2014/chart" uri="{C3380CC4-5D6E-409C-BE32-E72D297353CC}">
                <c16:uniqueId val="{00000009-1670-46B6-BB35-9986988A4E66}"/>
              </c:ext>
            </c:extLst>
          </c:dPt>
          <c:dPt>
            <c:idx val="3"/>
            <c:bubble3D val="0"/>
            <c:extLst>
              <c:ext xmlns:c16="http://schemas.microsoft.com/office/drawing/2014/chart" uri="{C3380CC4-5D6E-409C-BE32-E72D297353CC}">
                <c16:uniqueId val="{0000000A-1670-46B6-BB35-9986988A4E66}"/>
              </c:ext>
            </c:extLst>
          </c:dPt>
          <c:dPt>
            <c:idx val="4"/>
            <c:bubble3D val="0"/>
            <c:extLst>
              <c:ext xmlns:c16="http://schemas.microsoft.com/office/drawing/2014/chart" uri="{C3380CC4-5D6E-409C-BE32-E72D297353CC}">
                <c16:uniqueId val="{0000000B-1670-46B6-BB35-9986988A4E66}"/>
              </c:ext>
            </c:extLst>
          </c:dPt>
          <c:dPt>
            <c:idx val="5"/>
            <c:bubble3D val="0"/>
            <c:extLst>
              <c:ext xmlns:c16="http://schemas.microsoft.com/office/drawing/2014/chart" uri="{C3380CC4-5D6E-409C-BE32-E72D297353CC}">
                <c16:uniqueId val="{0000000C-1670-46B6-BB35-9986988A4E66}"/>
              </c:ext>
            </c:extLst>
          </c:dPt>
          <c:cat>
            <c:strRef>
              <c:f>'4. 재무분석도구'!$BS$7:$BS$12</c:f>
              <c:strCache>
                <c:ptCount val="6"/>
                <c:pt idx="0">
                  <c:v>1. 임직원 급여</c:v>
                </c:pt>
                <c:pt idx="1">
                  <c:v>2. 영업직원 급여</c:v>
                </c:pt>
                <c:pt idx="2">
                  <c:v>3. 임직원 인센티브</c:v>
                </c:pt>
                <c:pt idx="3">
                  <c:v>4. 영업직원 교육훈련비</c:v>
                </c:pt>
                <c:pt idx="4">
                  <c:v>5. 연구개발비</c:v>
                </c:pt>
                <c:pt idx="5">
                  <c:v>6. 기타비용</c:v>
                </c:pt>
              </c:strCache>
            </c:strRef>
          </c:cat>
          <c:val>
            <c:numLit>
              <c:formatCode>General</c:formatCode>
              <c:ptCount val="3"/>
              <c:pt idx="0">
                <c:v>382352941.17647058</c:v>
              </c:pt>
              <c:pt idx="1">
                <c:v>334821568.62745094</c:v>
              </c:pt>
              <c:pt idx="2">
                <c:v>1102292768.9594357</c:v>
              </c:pt>
            </c:numLit>
          </c:val>
          <c:extLst>
            <c:ext xmlns:c16="http://schemas.microsoft.com/office/drawing/2014/chart" uri="{C3380CC4-5D6E-409C-BE32-E72D297353CC}">
              <c16:uniqueId val="{0000000D-1670-46B6-BB35-9986988A4E66}"/>
            </c:ext>
          </c:extLst>
        </c:ser>
        <c:dLbls>
          <c:showLegendKey val="0"/>
          <c:showVal val="0"/>
          <c:showCatName val="0"/>
          <c:showSerName val="0"/>
          <c:showPercent val="0"/>
          <c:showBubbleSize val="0"/>
          <c:showLeaderLines val="1"/>
        </c:dLbls>
      </c:pie3DChart>
      <c:spPr>
        <a:noFill/>
        <a:ln w="25400">
          <a:noFill/>
        </a:ln>
      </c:spPr>
    </c:plotArea>
    <c:plotVisOnly val="1"/>
    <c:dispBlanksAs val="gap"/>
    <c:showDLblsOverMax val="0"/>
  </c:chart>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a:lstStyle/>
          <a:p>
            <a:pPr>
              <a:defRPr sz="1000" b="0" i="0" u="none" strike="noStrike" baseline="0">
                <a:solidFill>
                  <a:srgbClr val="000000"/>
                </a:solidFill>
                <a:latin typeface="맑은 고딕"/>
                <a:ea typeface="맑은 고딕"/>
                <a:cs typeface="맑은 고딕"/>
              </a:defRPr>
            </a:pPr>
            <a:r>
              <a:rPr lang="en-US" sz="1400" b="1" i="0" u="none" strike="noStrike" baseline="0">
                <a:solidFill>
                  <a:srgbClr val="000000"/>
                </a:solidFill>
                <a:latin typeface="맑은 고딕"/>
                <a:ea typeface="맑은 고딕"/>
              </a:rPr>
              <a:t>중국 영업본부 HR원가 구성</a:t>
            </a:r>
          </a:p>
        </c:rich>
      </c:tx>
      <c:overlay val="0"/>
    </c:title>
    <c:autoTitleDeleted val="0"/>
    <c:view3D>
      <c:rotX val="30"/>
      <c:rotY val="12"/>
      <c:rAngAx val="0"/>
      <c:perspective val="0"/>
    </c:view3D>
    <c:floor>
      <c:thickness val="0"/>
    </c:floor>
    <c:sideWall>
      <c:thickness val="0"/>
    </c:sideWall>
    <c:backWall>
      <c:thickness val="0"/>
    </c:backWall>
    <c:plotArea>
      <c:layout>
        <c:manualLayout>
          <c:layoutTarget val="inner"/>
          <c:xMode val="edge"/>
          <c:yMode val="edge"/>
          <c:x val="0.10884420090088118"/>
          <c:y val="0.24254884806065907"/>
          <c:w val="0.82022981825130326"/>
          <c:h val="0.68504119276757058"/>
        </c:manualLayout>
      </c:layout>
      <c:pie3DChart>
        <c:varyColors val="1"/>
        <c:ser>
          <c:idx val="0"/>
          <c:order val="0"/>
          <c:explosion val="7"/>
          <c:dPt>
            <c:idx val="0"/>
            <c:bubble3D val="0"/>
            <c:extLst>
              <c:ext xmlns:c16="http://schemas.microsoft.com/office/drawing/2014/chart" uri="{C3380CC4-5D6E-409C-BE32-E72D297353CC}">
                <c16:uniqueId val="{00000000-2299-4515-9BD1-CADF7D61BB47}"/>
              </c:ext>
            </c:extLst>
          </c:dPt>
          <c:dPt>
            <c:idx val="1"/>
            <c:bubble3D val="0"/>
            <c:extLst>
              <c:ext xmlns:c16="http://schemas.microsoft.com/office/drawing/2014/chart" uri="{C3380CC4-5D6E-409C-BE32-E72D297353CC}">
                <c16:uniqueId val="{00000001-2299-4515-9BD1-CADF7D61BB47}"/>
              </c:ext>
            </c:extLst>
          </c:dPt>
          <c:dPt>
            <c:idx val="2"/>
            <c:bubble3D val="0"/>
            <c:extLst>
              <c:ext xmlns:c16="http://schemas.microsoft.com/office/drawing/2014/chart" uri="{C3380CC4-5D6E-409C-BE32-E72D297353CC}">
                <c16:uniqueId val="{00000002-2299-4515-9BD1-CADF7D61BB47}"/>
              </c:ext>
            </c:extLst>
          </c:dPt>
          <c:dPt>
            <c:idx val="3"/>
            <c:bubble3D val="0"/>
            <c:extLst>
              <c:ext xmlns:c16="http://schemas.microsoft.com/office/drawing/2014/chart" uri="{C3380CC4-5D6E-409C-BE32-E72D297353CC}">
                <c16:uniqueId val="{00000003-2299-4515-9BD1-CADF7D61BB47}"/>
              </c:ext>
            </c:extLst>
          </c:dPt>
          <c:dPt>
            <c:idx val="4"/>
            <c:bubble3D val="0"/>
            <c:extLst>
              <c:ext xmlns:c16="http://schemas.microsoft.com/office/drawing/2014/chart" uri="{C3380CC4-5D6E-409C-BE32-E72D297353CC}">
                <c16:uniqueId val="{00000004-2299-4515-9BD1-CADF7D61BB47}"/>
              </c:ext>
            </c:extLst>
          </c:dPt>
          <c:dPt>
            <c:idx val="5"/>
            <c:bubble3D val="0"/>
            <c:extLst>
              <c:ext xmlns:c16="http://schemas.microsoft.com/office/drawing/2014/chart" uri="{C3380CC4-5D6E-409C-BE32-E72D297353CC}">
                <c16:uniqueId val="{00000005-2299-4515-9BD1-CADF7D61BB47}"/>
              </c:ext>
            </c:extLst>
          </c:dPt>
          <c:dLbls>
            <c:dLbl>
              <c:idx val="0"/>
              <c:layout>
                <c:manualLayout>
                  <c:x val="-9.1645229829247457E-2"/>
                  <c:y val="-8.5468079360937727E-2"/>
                </c:manualLayout>
              </c:layout>
              <c:spPr/>
              <c:txPr>
                <a:bodyPr/>
                <a:lstStyle/>
                <a:p>
                  <a:pPr>
                    <a:defRPr sz="1000"/>
                  </a:pPr>
                  <a:endParaRPr lang="ko-KR"/>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2299-4515-9BD1-CADF7D61BB47}"/>
                </c:ext>
              </c:extLst>
            </c:dLbl>
            <c:dLbl>
              <c:idx val="1"/>
              <c:layout>
                <c:manualLayout>
                  <c:x val="2.7941358778478596E-3"/>
                  <c:y val="0.1117115149442174"/>
                </c:manualLayout>
              </c:layout>
              <c:spPr/>
              <c:txPr>
                <a:bodyPr/>
                <a:lstStyle/>
                <a:p>
                  <a:pPr>
                    <a:defRPr sz="1000"/>
                  </a:pPr>
                  <a:endParaRPr lang="ko-KR"/>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299-4515-9BD1-CADF7D61BB47}"/>
                </c:ext>
              </c:extLst>
            </c:dLbl>
            <c:dLbl>
              <c:idx val="2"/>
              <c:layout>
                <c:manualLayout>
                  <c:x val="5.1312858285680621E-2"/>
                  <c:y val="0"/>
                </c:manualLayout>
              </c:layout>
              <c:spPr/>
              <c:txPr>
                <a:bodyPr/>
                <a:lstStyle/>
                <a:p>
                  <a:pPr>
                    <a:defRPr sz="1000"/>
                  </a:pPr>
                  <a:endParaRPr lang="ko-KR"/>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2299-4515-9BD1-CADF7D61BB47}"/>
                </c:ext>
              </c:extLst>
            </c:dLbl>
            <c:dLbl>
              <c:idx val="3"/>
              <c:layout>
                <c:manualLayout>
                  <c:x val="1.8719231276586468E-2"/>
                  <c:y val="-9.7854337599562668E-4"/>
                </c:manualLayout>
              </c:layout>
              <c:spPr/>
              <c:txPr>
                <a:bodyPr/>
                <a:lstStyle/>
                <a:p>
                  <a:pPr>
                    <a:defRPr sz="1000"/>
                  </a:pPr>
                  <a:endParaRPr lang="ko-KR"/>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299-4515-9BD1-CADF7D61BB47}"/>
                </c:ext>
              </c:extLst>
            </c:dLbl>
            <c:dLbl>
              <c:idx val="4"/>
              <c:layout>
                <c:manualLayout>
                  <c:x val="-8.2955810415710804E-2"/>
                  <c:y val="-9.708768707711341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2299-4515-9BD1-CADF7D61BB47}"/>
                </c:ext>
              </c:extLst>
            </c:dLbl>
            <c:dLbl>
              <c:idx val="5"/>
              <c:layout>
                <c:manualLayout>
                  <c:x val="-0.33678968646197333"/>
                  <c:y val="1.353367855565397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299-4515-9BD1-CADF7D61BB47}"/>
                </c:ext>
              </c:extLst>
            </c:dLbl>
            <c:spPr>
              <a:noFill/>
              <a:ln w="25400">
                <a:noFill/>
              </a:ln>
            </c:spPr>
            <c:txPr>
              <a:bodyPr/>
              <a:lstStyle/>
              <a:p>
                <a:pPr>
                  <a:defRPr sz="1000"/>
                </a:pPr>
                <a:endParaRPr lang="ko-KR"/>
              </a:p>
            </c:txPr>
            <c:showLegendKey val="0"/>
            <c:showVal val="0"/>
            <c:showCatName val="1"/>
            <c:showSerName val="0"/>
            <c:showPercent val="1"/>
            <c:showBubbleSize val="0"/>
            <c:showLeaderLines val="1"/>
            <c:extLst>
              <c:ext xmlns:c15="http://schemas.microsoft.com/office/drawing/2012/chart" uri="{CE6537A1-D6FC-4f65-9D91-7224C49458BB}"/>
            </c:extLst>
          </c:dLbls>
          <c:cat>
            <c:strRef>
              <c:f>'4. 재무분석도구'!$BS$7:$BS$12</c:f>
              <c:strCache>
                <c:ptCount val="6"/>
                <c:pt idx="0">
                  <c:v>1. 임직원 급여</c:v>
                </c:pt>
                <c:pt idx="1">
                  <c:v>2. 영업직원 급여</c:v>
                </c:pt>
                <c:pt idx="2">
                  <c:v>3. 임직원 인센티브</c:v>
                </c:pt>
                <c:pt idx="3">
                  <c:v>4. 영업직원 교육훈련비</c:v>
                </c:pt>
                <c:pt idx="4">
                  <c:v>5. 연구개발비</c:v>
                </c:pt>
                <c:pt idx="5">
                  <c:v>6. 기타비용</c:v>
                </c:pt>
              </c:strCache>
            </c:strRef>
          </c:cat>
          <c:val>
            <c:numRef>
              <c:f>'4. 재무분석도구'!$BV$7:$BV$12</c:f>
              <c:numCache>
                <c:formatCode>_(* #,##0_);_(* \(#,##0\);_(* "-"_);_(@_)</c:formatCode>
                <c:ptCount val="6"/>
                <c:pt idx="0">
                  <c:v>388694250</c:v>
                </c:pt>
                <c:pt idx="1">
                  <c:v>750750000</c:v>
                </c:pt>
                <c:pt idx="2">
                  <c:v>352302479.59340829</c:v>
                </c:pt>
                <c:pt idx="3">
                  <c:v>290500000</c:v>
                </c:pt>
                <c:pt idx="4">
                  <c:v>859735484.36778069</c:v>
                </c:pt>
                <c:pt idx="5">
                  <c:v>435722050.49668872</c:v>
                </c:pt>
              </c:numCache>
            </c:numRef>
          </c:val>
          <c:extLst>
            <c:ext xmlns:c16="http://schemas.microsoft.com/office/drawing/2014/chart" uri="{C3380CC4-5D6E-409C-BE32-E72D297353CC}">
              <c16:uniqueId val="{00000006-2299-4515-9BD1-CADF7D61BB47}"/>
            </c:ext>
          </c:extLst>
        </c:ser>
        <c:ser>
          <c:idx val="1"/>
          <c:order val="1"/>
          <c:dPt>
            <c:idx val="0"/>
            <c:bubble3D val="0"/>
            <c:extLst>
              <c:ext xmlns:c16="http://schemas.microsoft.com/office/drawing/2014/chart" uri="{C3380CC4-5D6E-409C-BE32-E72D297353CC}">
                <c16:uniqueId val="{00000007-2299-4515-9BD1-CADF7D61BB47}"/>
              </c:ext>
            </c:extLst>
          </c:dPt>
          <c:dPt>
            <c:idx val="1"/>
            <c:bubble3D val="0"/>
            <c:extLst>
              <c:ext xmlns:c16="http://schemas.microsoft.com/office/drawing/2014/chart" uri="{C3380CC4-5D6E-409C-BE32-E72D297353CC}">
                <c16:uniqueId val="{00000008-2299-4515-9BD1-CADF7D61BB47}"/>
              </c:ext>
            </c:extLst>
          </c:dPt>
          <c:dPt>
            <c:idx val="2"/>
            <c:bubble3D val="0"/>
            <c:extLst>
              <c:ext xmlns:c16="http://schemas.microsoft.com/office/drawing/2014/chart" uri="{C3380CC4-5D6E-409C-BE32-E72D297353CC}">
                <c16:uniqueId val="{00000009-2299-4515-9BD1-CADF7D61BB47}"/>
              </c:ext>
            </c:extLst>
          </c:dPt>
          <c:dPt>
            <c:idx val="3"/>
            <c:bubble3D val="0"/>
            <c:extLst>
              <c:ext xmlns:c16="http://schemas.microsoft.com/office/drawing/2014/chart" uri="{C3380CC4-5D6E-409C-BE32-E72D297353CC}">
                <c16:uniqueId val="{0000000A-2299-4515-9BD1-CADF7D61BB47}"/>
              </c:ext>
            </c:extLst>
          </c:dPt>
          <c:dPt>
            <c:idx val="4"/>
            <c:bubble3D val="0"/>
            <c:extLst>
              <c:ext xmlns:c16="http://schemas.microsoft.com/office/drawing/2014/chart" uri="{C3380CC4-5D6E-409C-BE32-E72D297353CC}">
                <c16:uniqueId val="{0000000B-2299-4515-9BD1-CADF7D61BB47}"/>
              </c:ext>
            </c:extLst>
          </c:dPt>
          <c:dPt>
            <c:idx val="5"/>
            <c:bubble3D val="0"/>
            <c:extLst>
              <c:ext xmlns:c16="http://schemas.microsoft.com/office/drawing/2014/chart" uri="{C3380CC4-5D6E-409C-BE32-E72D297353CC}">
                <c16:uniqueId val="{0000000C-2299-4515-9BD1-CADF7D61BB47}"/>
              </c:ext>
            </c:extLst>
          </c:dPt>
          <c:cat>
            <c:strRef>
              <c:f>'4. 재무분석도구'!$BS$7:$BS$12</c:f>
              <c:strCache>
                <c:ptCount val="6"/>
                <c:pt idx="0">
                  <c:v>1. 임직원 급여</c:v>
                </c:pt>
                <c:pt idx="1">
                  <c:v>2. 영업직원 급여</c:v>
                </c:pt>
                <c:pt idx="2">
                  <c:v>3. 임직원 인센티브</c:v>
                </c:pt>
                <c:pt idx="3">
                  <c:v>4. 영업직원 교육훈련비</c:v>
                </c:pt>
                <c:pt idx="4">
                  <c:v>5. 연구개발비</c:v>
                </c:pt>
                <c:pt idx="5">
                  <c:v>6. 기타비용</c:v>
                </c:pt>
              </c:strCache>
            </c:strRef>
          </c:cat>
          <c:val>
            <c:numLit>
              <c:formatCode>General</c:formatCode>
              <c:ptCount val="3"/>
              <c:pt idx="0">
                <c:v>382352941.17647058</c:v>
              </c:pt>
              <c:pt idx="1">
                <c:v>334821568.62745094</c:v>
              </c:pt>
              <c:pt idx="2">
                <c:v>1102292768.9594357</c:v>
              </c:pt>
            </c:numLit>
          </c:val>
          <c:extLst>
            <c:ext xmlns:c16="http://schemas.microsoft.com/office/drawing/2014/chart" uri="{C3380CC4-5D6E-409C-BE32-E72D297353CC}">
              <c16:uniqueId val="{0000000D-2299-4515-9BD1-CADF7D61BB47}"/>
            </c:ext>
          </c:extLst>
        </c:ser>
        <c:dLbls>
          <c:showLegendKey val="0"/>
          <c:showVal val="0"/>
          <c:showCatName val="0"/>
          <c:showSerName val="0"/>
          <c:showPercent val="0"/>
          <c:showBubbleSize val="0"/>
          <c:showLeaderLines val="1"/>
        </c:dLbls>
      </c:pie3DChart>
      <c:spPr>
        <a:noFill/>
        <a:ln w="25400">
          <a:noFill/>
        </a:ln>
      </c:spPr>
    </c:plotArea>
    <c:plotVisOnly val="1"/>
    <c:dispBlanksAs val="gap"/>
    <c:showDLblsOverMax val="0"/>
  </c:chart>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맑은 고딕"/>
                <a:ea typeface="맑은 고딕"/>
                <a:cs typeface="맑은 고딕"/>
              </a:defRPr>
            </a:pPr>
            <a:r>
              <a:rPr lang="en-US" sz="1200" b="1" i="0" u="none" strike="noStrike" baseline="0">
                <a:solidFill>
                  <a:srgbClr val="000000"/>
                </a:solidFill>
                <a:latin typeface="Calibri"/>
                <a:cs typeface="Calibri"/>
              </a:rPr>
              <a:t>BEP </a:t>
            </a:r>
            <a:r>
              <a:rPr lang="en-US" sz="1200" b="1" i="0" u="none" strike="noStrike" baseline="0">
                <a:solidFill>
                  <a:srgbClr val="000000"/>
                </a:solidFill>
                <a:latin typeface="맑은 고딕"/>
                <a:ea typeface="맑은 고딕"/>
                <a:cs typeface="Calibri"/>
              </a:rPr>
              <a:t>분석</a:t>
            </a:r>
            <a:endParaRPr lang="en-US" sz="1200" b="1" i="0" u="none" strike="noStrike" baseline="0">
              <a:solidFill>
                <a:srgbClr val="000000"/>
              </a:solidFill>
              <a:latin typeface="맑은 고딕"/>
              <a:ea typeface="맑은 고딕"/>
            </a:endParaRPr>
          </a:p>
        </c:rich>
      </c:tx>
      <c:overlay val="0"/>
      <c:spPr>
        <a:noFill/>
      </c:spPr>
    </c:title>
    <c:autoTitleDeleted val="0"/>
    <c:plotArea>
      <c:layout>
        <c:manualLayout>
          <c:layoutTarget val="inner"/>
          <c:xMode val="edge"/>
          <c:yMode val="edge"/>
          <c:x val="0.14887120326417158"/>
          <c:y val="0.1210403832991102"/>
          <c:w val="0.79626892792247128"/>
          <c:h val="0.73397036869364662"/>
        </c:manualLayout>
      </c:layout>
      <c:lineChart>
        <c:grouping val="standard"/>
        <c:varyColors val="0"/>
        <c:ser>
          <c:idx val="0"/>
          <c:order val="0"/>
          <c:tx>
            <c:strRef>
              <c:f>'5. 경제성 분석 도구'!$H$6</c:f>
              <c:strCache>
                <c:ptCount val="1"/>
                <c:pt idx="0">
                  <c:v>5. 매출액 </c:v>
                </c:pt>
              </c:strCache>
            </c:strRef>
          </c:tx>
          <c:marker>
            <c:symbol val="none"/>
          </c:marker>
          <c:cat>
            <c:numRef>
              <c:f>'5. 경제성 분석 도구'!$G$7:$G$27</c:f>
              <c:numCache>
                <c:formatCode>#,##0_ ;[Red]\-#,##0\ </c:formatCode>
                <c:ptCount val="21"/>
                <c:pt idx="0">
                  <c:v>10000</c:v>
                </c:pt>
                <c:pt idx="1">
                  <c:v>11000</c:v>
                </c:pt>
                <c:pt idx="2">
                  <c:v>12000</c:v>
                </c:pt>
                <c:pt idx="3">
                  <c:v>13000</c:v>
                </c:pt>
                <c:pt idx="4">
                  <c:v>14000</c:v>
                </c:pt>
                <c:pt idx="5">
                  <c:v>15000</c:v>
                </c:pt>
                <c:pt idx="6">
                  <c:v>16000</c:v>
                </c:pt>
                <c:pt idx="7">
                  <c:v>17000</c:v>
                </c:pt>
                <c:pt idx="8">
                  <c:v>18000</c:v>
                </c:pt>
                <c:pt idx="9">
                  <c:v>19000</c:v>
                </c:pt>
                <c:pt idx="10">
                  <c:v>20000</c:v>
                </c:pt>
                <c:pt idx="11">
                  <c:v>21000</c:v>
                </c:pt>
                <c:pt idx="12">
                  <c:v>22000</c:v>
                </c:pt>
                <c:pt idx="13">
                  <c:v>23000</c:v>
                </c:pt>
                <c:pt idx="14">
                  <c:v>24000</c:v>
                </c:pt>
                <c:pt idx="15">
                  <c:v>25000</c:v>
                </c:pt>
                <c:pt idx="16">
                  <c:v>26000</c:v>
                </c:pt>
                <c:pt idx="17">
                  <c:v>27000</c:v>
                </c:pt>
                <c:pt idx="18">
                  <c:v>28000</c:v>
                </c:pt>
                <c:pt idx="19">
                  <c:v>29000</c:v>
                </c:pt>
                <c:pt idx="20">
                  <c:v>30000</c:v>
                </c:pt>
              </c:numCache>
            </c:numRef>
          </c:cat>
          <c:val>
            <c:numRef>
              <c:f>'5. 경제성 분석 도구'!$H$7:$H$27</c:f>
              <c:numCache>
                <c:formatCode>#,##0_ ;[Red]\-#,##0\ </c:formatCode>
                <c:ptCount val="21"/>
                <c:pt idx="0">
                  <c:v>6800000000</c:v>
                </c:pt>
                <c:pt idx="1">
                  <c:v>7480000000</c:v>
                </c:pt>
                <c:pt idx="2">
                  <c:v>8160000000</c:v>
                </c:pt>
                <c:pt idx="3">
                  <c:v>8840000000</c:v>
                </c:pt>
                <c:pt idx="4">
                  <c:v>9520000000</c:v>
                </c:pt>
                <c:pt idx="5">
                  <c:v>10200000000</c:v>
                </c:pt>
                <c:pt idx="6">
                  <c:v>10880000000</c:v>
                </c:pt>
                <c:pt idx="7">
                  <c:v>11560000000</c:v>
                </c:pt>
                <c:pt idx="8">
                  <c:v>12240000000</c:v>
                </c:pt>
                <c:pt idx="9">
                  <c:v>12920000000</c:v>
                </c:pt>
                <c:pt idx="10">
                  <c:v>13600000000</c:v>
                </c:pt>
                <c:pt idx="11">
                  <c:v>14280000000</c:v>
                </c:pt>
                <c:pt idx="12">
                  <c:v>14960000000</c:v>
                </c:pt>
                <c:pt idx="13">
                  <c:v>15640000000</c:v>
                </c:pt>
                <c:pt idx="14">
                  <c:v>16320000000</c:v>
                </c:pt>
                <c:pt idx="15">
                  <c:v>17000000000</c:v>
                </c:pt>
                <c:pt idx="16">
                  <c:v>17680000000</c:v>
                </c:pt>
                <c:pt idx="17">
                  <c:v>18360000000</c:v>
                </c:pt>
                <c:pt idx="18">
                  <c:v>19040000000</c:v>
                </c:pt>
                <c:pt idx="19">
                  <c:v>19720000000</c:v>
                </c:pt>
                <c:pt idx="20">
                  <c:v>20400000000</c:v>
                </c:pt>
              </c:numCache>
            </c:numRef>
          </c:val>
          <c:smooth val="0"/>
          <c:extLst>
            <c:ext xmlns:c16="http://schemas.microsoft.com/office/drawing/2014/chart" uri="{C3380CC4-5D6E-409C-BE32-E72D297353CC}">
              <c16:uniqueId val="{00000000-1E45-441C-B4B7-3B0C290CDCD9}"/>
            </c:ext>
          </c:extLst>
        </c:ser>
        <c:ser>
          <c:idx val="1"/>
          <c:order val="1"/>
          <c:tx>
            <c:strRef>
              <c:f>'5. 경제성 분석 도구'!$I$6</c:f>
              <c:strCache>
                <c:ptCount val="1"/>
                <c:pt idx="0">
                  <c:v>6. 고정비</c:v>
                </c:pt>
              </c:strCache>
            </c:strRef>
          </c:tx>
          <c:marker>
            <c:symbol val="none"/>
          </c:marker>
          <c:val>
            <c:numRef>
              <c:f>'5. 경제성 분석 도구'!$I$7:$I$27</c:f>
              <c:numCache>
                <c:formatCode>#,##0_ ;[Red]\-#,##0\ </c:formatCode>
                <c:ptCount val="21"/>
                <c:pt idx="0">
                  <c:v>4500000000</c:v>
                </c:pt>
                <c:pt idx="1">
                  <c:v>4500000000</c:v>
                </c:pt>
                <c:pt idx="2">
                  <c:v>4500000000</c:v>
                </c:pt>
                <c:pt idx="3">
                  <c:v>4500000000</c:v>
                </c:pt>
                <c:pt idx="4">
                  <c:v>4500000000</c:v>
                </c:pt>
                <c:pt idx="5">
                  <c:v>4500000000</c:v>
                </c:pt>
                <c:pt idx="6">
                  <c:v>4500000000</c:v>
                </c:pt>
                <c:pt idx="7">
                  <c:v>4500000000</c:v>
                </c:pt>
                <c:pt idx="8">
                  <c:v>4500000000</c:v>
                </c:pt>
                <c:pt idx="9">
                  <c:v>4500000000</c:v>
                </c:pt>
                <c:pt idx="10">
                  <c:v>4500000000</c:v>
                </c:pt>
                <c:pt idx="11">
                  <c:v>4500000000</c:v>
                </c:pt>
                <c:pt idx="12">
                  <c:v>4500000000</c:v>
                </c:pt>
                <c:pt idx="13">
                  <c:v>4500000000</c:v>
                </c:pt>
                <c:pt idx="14">
                  <c:v>4500000000</c:v>
                </c:pt>
                <c:pt idx="15">
                  <c:v>4500000000</c:v>
                </c:pt>
                <c:pt idx="16">
                  <c:v>4500000000</c:v>
                </c:pt>
                <c:pt idx="17">
                  <c:v>4500000000</c:v>
                </c:pt>
                <c:pt idx="18">
                  <c:v>4500000000</c:v>
                </c:pt>
                <c:pt idx="19">
                  <c:v>4500000000</c:v>
                </c:pt>
                <c:pt idx="20">
                  <c:v>4500000000</c:v>
                </c:pt>
              </c:numCache>
            </c:numRef>
          </c:val>
          <c:smooth val="0"/>
          <c:extLst>
            <c:ext xmlns:c16="http://schemas.microsoft.com/office/drawing/2014/chart" uri="{C3380CC4-5D6E-409C-BE32-E72D297353CC}">
              <c16:uniqueId val="{00000001-1E45-441C-B4B7-3B0C290CDCD9}"/>
            </c:ext>
          </c:extLst>
        </c:ser>
        <c:ser>
          <c:idx val="2"/>
          <c:order val="2"/>
          <c:tx>
            <c:strRef>
              <c:f>'5. 경제성 분석 도구'!$J$6</c:f>
              <c:strCache>
                <c:ptCount val="1"/>
                <c:pt idx="0">
                  <c:v>7. 변동비</c:v>
                </c:pt>
              </c:strCache>
            </c:strRef>
          </c:tx>
          <c:marker>
            <c:symbol val="none"/>
          </c:marker>
          <c:val>
            <c:numRef>
              <c:f>'5. 경제성 분석 도구'!$J$7:$J$27</c:f>
              <c:numCache>
                <c:formatCode>#,##0_ ;[Red]\-#,##0\ </c:formatCode>
                <c:ptCount val="21"/>
                <c:pt idx="0">
                  <c:v>3800000000</c:v>
                </c:pt>
                <c:pt idx="1">
                  <c:v>4180000000</c:v>
                </c:pt>
                <c:pt idx="2">
                  <c:v>4560000000</c:v>
                </c:pt>
                <c:pt idx="3">
                  <c:v>4940000000</c:v>
                </c:pt>
                <c:pt idx="4">
                  <c:v>5320000000</c:v>
                </c:pt>
                <c:pt idx="5">
                  <c:v>5700000000</c:v>
                </c:pt>
                <c:pt idx="6">
                  <c:v>6080000000</c:v>
                </c:pt>
                <c:pt idx="7">
                  <c:v>6460000000</c:v>
                </c:pt>
                <c:pt idx="8">
                  <c:v>6840000000</c:v>
                </c:pt>
                <c:pt idx="9">
                  <c:v>7220000000</c:v>
                </c:pt>
                <c:pt idx="10">
                  <c:v>7600000000</c:v>
                </c:pt>
                <c:pt idx="11">
                  <c:v>7980000000</c:v>
                </c:pt>
                <c:pt idx="12">
                  <c:v>8360000000</c:v>
                </c:pt>
                <c:pt idx="13">
                  <c:v>8740000000</c:v>
                </c:pt>
                <c:pt idx="14">
                  <c:v>9120000000</c:v>
                </c:pt>
                <c:pt idx="15">
                  <c:v>9500000000</c:v>
                </c:pt>
                <c:pt idx="16">
                  <c:v>9880000000</c:v>
                </c:pt>
                <c:pt idx="17">
                  <c:v>10260000000</c:v>
                </c:pt>
                <c:pt idx="18">
                  <c:v>10640000000</c:v>
                </c:pt>
                <c:pt idx="19">
                  <c:v>11020000000</c:v>
                </c:pt>
                <c:pt idx="20">
                  <c:v>11400000000</c:v>
                </c:pt>
              </c:numCache>
            </c:numRef>
          </c:val>
          <c:smooth val="0"/>
          <c:extLst>
            <c:ext xmlns:c16="http://schemas.microsoft.com/office/drawing/2014/chart" uri="{C3380CC4-5D6E-409C-BE32-E72D297353CC}">
              <c16:uniqueId val="{00000002-1E45-441C-B4B7-3B0C290CDCD9}"/>
            </c:ext>
          </c:extLst>
        </c:ser>
        <c:ser>
          <c:idx val="3"/>
          <c:order val="3"/>
          <c:tx>
            <c:strRef>
              <c:f>'5. 경제성 분석 도구'!$K$6</c:f>
              <c:strCache>
                <c:ptCount val="1"/>
                <c:pt idx="0">
                  <c:v>8. 총 비용 </c:v>
                </c:pt>
              </c:strCache>
            </c:strRef>
          </c:tx>
          <c:marker>
            <c:symbol val="none"/>
          </c:marker>
          <c:val>
            <c:numRef>
              <c:f>'5. 경제성 분석 도구'!$K$7:$K$27</c:f>
              <c:numCache>
                <c:formatCode>#,##0_ ;[Red]\-#,##0\ </c:formatCode>
                <c:ptCount val="21"/>
                <c:pt idx="0">
                  <c:v>8300000000</c:v>
                </c:pt>
                <c:pt idx="1">
                  <c:v>8680000000</c:v>
                </c:pt>
                <c:pt idx="2">
                  <c:v>9060000000</c:v>
                </c:pt>
                <c:pt idx="3">
                  <c:v>9440000000</c:v>
                </c:pt>
                <c:pt idx="4">
                  <c:v>9820000000</c:v>
                </c:pt>
                <c:pt idx="5">
                  <c:v>10200000000</c:v>
                </c:pt>
                <c:pt idx="6">
                  <c:v>10580000000</c:v>
                </c:pt>
                <c:pt idx="7">
                  <c:v>10960000000</c:v>
                </c:pt>
                <c:pt idx="8">
                  <c:v>11340000000</c:v>
                </c:pt>
                <c:pt idx="9">
                  <c:v>11720000000</c:v>
                </c:pt>
                <c:pt idx="10">
                  <c:v>12100000000</c:v>
                </c:pt>
                <c:pt idx="11">
                  <c:v>12480000000</c:v>
                </c:pt>
                <c:pt idx="12">
                  <c:v>12860000000</c:v>
                </c:pt>
                <c:pt idx="13">
                  <c:v>13240000000</c:v>
                </c:pt>
                <c:pt idx="14">
                  <c:v>13620000000</c:v>
                </c:pt>
                <c:pt idx="15">
                  <c:v>14000000000</c:v>
                </c:pt>
                <c:pt idx="16">
                  <c:v>14380000000</c:v>
                </c:pt>
                <c:pt idx="17">
                  <c:v>14760000000</c:v>
                </c:pt>
                <c:pt idx="18">
                  <c:v>15140000000</c:v>
                </c:pt>
                <c:pt idx="19">
                  <c:v>15520000000</c:v>
                </c:pt>
                <c:pt idx="20">
                  <c:v>15900000000</c:v>
                </c:pt>
              </c:numCache>
            </c:numRef>
          </c:val>
          <c:smooth val="0"/>
          <c:extLst>
            <c:ext xmlns:c16="http://schemas.microsoft.com/office/drawing/2014/chart" uri="{C3380CC4-5D6E-409C-BE32-E72D297353CC}">
              <c16:uniqueId val="{00000003-1E45-441C-B4B7-3B0C290CDCD9}"/>
            </c:ext>
          </c:extLst>
        </c:ser>
        <c:ser>
          <c:idx val="4"/>
          <c:order val="4"/>
          <c:tx>
            <c:strRef>
              <c:f>'5. 경제성 분석 도구'!$L$6</c:f>
              <c:strCache>
                <c:ptCount val="1"/>
                <c:pt idx="0">
                  <c:v>9. 이익 </c:v>
                </c:pt>
              </c:strCache>
            </c:strRef>
          </c:tx>
          <c:marker>
            <c:symbol val="none"/>
          </c:marker>
          <c:val>
            <c:numRef>
              <c:f>'5. 경제성 분석 도구'!$L$7:$L$27</c:f>
              <c:numCache>
                <c:formatCode>#,##0_ ;[Red]\-#,##0\ </c:formatCode>
                <c:ptCount val="21"/>
                <c:pt idx="0">
                  <c:v>-1500000000</c:v>
                </c:pt>
                <c:pt idx="1">
                  <c:v>-1200000000</c:v>
                </c:pt>
                <c:pt idx="2">
                  <c:v>-900000000</c:v>
                </c:pt>
                <c:pt idx="3">
                  <c:v>-600000000</c:v>
                </c:pt>
                <c:pt idx="4">
                  <c:v>-300000000</c:v>
                </c:pt>
                <c:pt idx="5">
                  <c:v>0</c:v>
                </c:pt>
                <c:pt idx="6">
                  <c:v>300000000</c:v>
                </c:pt>
                <c:pt idx="7">
                  <c:v>600000000</c:v>
                </c:pt>
                <c:pt idx="8">
                  <c:v>900000000</c:v>
                </c:pt>
                <c:pt idx="9">
                  <c:v>1200000000</c:v>
                </c:pt>
                <c:pt idx="10">
                  <c:v>1500000000</c:v>
                </c:pt>
                <c:pt idx="11">
                  <c:v>1800000000</c:v>
                </c:pt>
                <c:pt idx="12">
                  <c:v>2100000000</c:v>
                </c:pt>
                <c:pt idx="13">
                  <c:v>2400000000</c:v>
                </c:pt>
                <c:pt idx="14">
                  <c:v>2700000000</c:v>
                </c:pt>
                <c:pt idx="15">
                  <c:v>3000000000</c:v>
                </c:pt>
                <c:pt idx="16">
                  <c:v>3300000000</c:v>
                </c:pt>
                <c:pt idx="17">
                  <c:v>3600000000</c:v>
                </c:pt>
                <c:pt idx="18">
                  <c:v>3900000000</c:v>
                </c:pt>
                <c:pt idx="19">
                  <c:v>4200000000</c:v>
                </c:pt>
                <c:pt idx="20">
                  <c:v>4500000000</c:v>
                </c:pt>
              </c:numCache>
            </c:numRef>
          </c:val>
          <c:smooth val="0"/>
          <c:extLst>
            <c:ext xmlns:c16="http://schemas.microsoft.com/office/drawing/2014/chart" uri="{C3380CC4-5D6E-409C-BE32-E72D297353CC}">
              <c16:uniqueId val="{00000004-1E45-441C-B4B7-3B0C290CDCD9}"/>
            </c:ext>
          </c:extLst>
        </c:ser>
        <c:dLbls>
          <c:showLegendKey val="0"/>
          <c:showVal val="0"/>
          <c:showCatName val="0"/>
          <c:showSerName val="0"/>
          <c:showPercent val="0"/>
          <c:showBubbleSize val="0"/>
        </c:dLbls>
        <c:smooth val="0"/>
        <c:axId val="2145424464"/>
        <c:axId val="1"/>
      </c:lineChart>
      <c:catAx>
        <c:axId val="2145424464"/>
        <c:scaling>
          <c:orientation val="minMax"/>
        </c:scaling>
        <c:delete val="0"/>
        <c:axPos val="b"/>
        <c:title>
          <c:tx>
            <c:rich>
              <a:bodyPr/>
              <a:lstStyle/>
              <a:p>
                <a:pPr>
                  <a:defRPr/>
                </a:pPr>
                <a:r>
                  <a:rPr lang="ko-KR" altLang="en-US"/>
                  <a:t>생산량</a:t>
                </a:r>
              </a:p>
            </c:rich>
          </c:tx>
          <c:overlay val="0"/>
        </c:title>
        <c:numFmt formatCode="#,##0_ ;[Red]\-#,##0\ " sourceLinked="1"/>
        <c:majorTickMark val="out"/>
        <c:minorTickMark val="none"/>
        <c:tickLblPos val="nextTo"/>
        <c:txPr>
          <a:bodyPr/>
          <a:lstStyle/>
          <a:p>
            <a:pPr>
              <a:defRPr sz="900"/>
            </a:pPr>
            <a:endParaRPr lang="ko-KR"/>
          </a:p>
        </c:txPr>
        <c:crossAx val="1"/>
        <c:crosses val="autoZero"/>
        <c:auto val="1"/>
        <c:lblAlgn val="ctr"/>
        <c:lblOffset val="100"/>
        <c:noMultiLvlLbl val="0"/>
      </c:catAx>
      <c:valAx>
        <c:axId val="1"/>
        <c:scaling>
          <c:orientation val="minMax"/>
        </c:scaling>
        <c:delete val="0"/>
        <c:axPos val="l"/>
        <c:majorGridlines/>
        <c:numFmt formatCode="#,##0_ ;[Red]\-#,##0\ " sourceLinked="1"/>
        <c:majorTickMark val="out"/>
        <c:minorTickMark val="none"/>
        <c:tickLblPos val="nextTo"/>
        <c:txPr>
          <a:bodyPr/>
          <a:lstStyle/>
          <a:p>
            <a:pPr>
              <a:defRPr sz="900"/>
            </a:pPr>
            <a:endParaRPr lang="ko-KR"/>
          </a:p>
        </c:txPr>
        <c:crossAx val="2145424464"/>
        <c:crosses val="autoZero"/>
        <c:crossBetween val="between"/>
      </c:valAx>
    </c:plotArea>
    <c:legend>
      <c:legendPos val="r"/>
      <c:layout>
        <c:manualLayout>
          <c:xMode val="edge"/>
          <c:yMode val="edge"/>
          <c:x val="8.0771907466228143E-2"/>
          <c:y val="0.95591222418128885"/>
          <c:w val="0.85579759101122677"/>
          <c:h val="3.2680759801069707E-2"/>
        </c:manualLayout>
      </c:layout>
      <c:overlay val="0"/>
      <c:spPr>
        <a:ln>
          <a:solidFill>
            <a:schemeClr val="bg1">
              <a:lumMod val="50000"/>
            </a:schemeClr>
          </a:solidFill>
        </a:ln>
      </c:spPr>
      <c:txPr>
        <a:bodyPr/>
        <a:lstStyle/>
        <a:p>
          <a:pPr>
            <a:defRPr sz="800"/>
          </a:pPr>
          <a:endParaRPr lang="ko-KR"/>
        </a:p>
      </c:txPr>
    </c:legend>
    <c:plotVisOnly val="1"/>
    <c:dispBlanksAs val="gap"/>
    <c:showDLblsOverMax val="0"/>
  </c:chart>
  <c:printSettings>
    <c:headerFooter/>
    <c:pageMargins b="0.75000000000000089" l="0.70000000000000062" r="0.70000000000000062" t="0.75000000000000089" header="0.30000000000000032" footer="0.30000000000000032"/>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0" i="0" u="none" strike="noStrike" baseline="0">
                <a:solidFill>
                  <a:srgbClr val="000000"/>
                </a:solidFill>
                <a:latin typeface="맑은 고딕"/>
                <a:ea typeface="맑은 고딕"/>
                <a:cs typeface="맑은 고딕"/>
              </a:defRPr>
            </a:pPr>
            <a:r>
              <a:rPr lang="en-US" sz="1050" b="1" i="0" u="none" strike="noStrike" baseline="0">
                <a:solidFill>
                  <a:srgbClr val="000000"/>
                </a:solidFill>
                <a:latin typeface="맑은 고딕"/>
                <a:ea typeface="맑은 고딕"/>
              </a:rPr>
              <a:t>순현재가치 NPV</a:t>
            </a:r>
          </a:p>
        </c:rich>
      </c:tx>
      <c:overlay val="0"/>
      <c:spPr>
        <a:noFill/>
      </c:spPr>
    </c:title>
    <c:autoTitleDeleted val="0"/>
    <c:view3D>
      <c:rotX val="15"/>
      <c:rotY val="20"/>
      <c:depthPercent val="100"/>
      <c:rAngAx val="1"/>
    </c:view3D>
    <c:floor>
      <c:thickness val="0"/>
    </c:floor>
    <c:sideWall>
      <c:thickness val="0"/>
    </c:sideWall>
    <c:backWall>
      <c:thickness val="0"/>
    </c:backWall>
    <c:plotArea>
      <c:layout/>
      <c:bar3DChart>
        <c:barDir val="col"/>
        <c:grouping val="clustered"/>
        <c:varyColors val="0"/>
        <c:ser>
          <c:idx val="0"/>
          <c:order val="0"/>
          <c:tx>
            <c:strRef>
              <c:f>'5. 경제성 분석 도구'!$X$19</c:f>
              <c:strCache>
                <c:ptCount val="1"/>
                <c:pt idx="0">
                  <c:v>순현재가치 NPV</c:v>
                </c:pt>
              </c:strCache>
            </c:strRef>
          </c:tx>
          <c:invertIfNegative val="0"/>
          <c:dPt>
            <c:idx val="0"/>
            <c:invertIfNegative val="0"/>
            <c:bubble3D val="0"/>
            <c:spPr>
              <a:solidFill>
                <a:srgbClr val="C0504D">
                  <a:lumMod val="60000"/>
                  <a:lumOff val="40000"/>
                </a:srgbClr>
              </a:solidFill>
            </c:spPr>
            <c:extLst>
              <c:ext xmlns:c16="http://schemas.microsoft.com/office/drawing/2014/chart" uri="{C3380CC4-5D6E-409C-BE32-E72D297353CC}">
                <c16:uniqueId val="{00000000-3232-4A5A-9565-74C4A5DFEECC}"/>
              </c:ext>
            </c:extLst>
          </c:dPt>
          <c:dPt>
            <c:idx val="1"/>
            <c:invertIfNegative val="0"/>
            <c:bubble3D val="0"/>
            <c:spPr>
              <a:solidFill>
                <a:schemeClr val="accent3">
                  <a:lumMod val="75000"/>
                </a:schemeClr>
              </a:solidFill>
            </c:spPr>
            <c:extLst>
              <c:ext xmlns:c16="http://schemas.microsoft.com/office/drawing/2014/chart" uri="{C3380CC4-5D6E-409C-BE32-E72D297353CC}">
                <c16:uniqueId val="{00000001-3232-4A5A-9565-74C4A5DFEECC}"/>
              </c:ext>
            </c:extLst>
          </c:dPt>
          <c:cat>
            <c:strRef>
              <c:f>'5. 경제성 분석 도구'!$Y$18:$AA$18</c:f>
              <c:strCache>
                <c:ptCount val="3"/>
                <c:pt idx="0">
                  <c:v>투자안 A</c:v>
                </c:pt>
                <c:pt idx="1">
                  <c:v>투자안 B</c:v>
                </c:pt>
                <c:pt idx="2">
                  <c:v>투자안 C</c:v>
                </c:pt>
              </c:strCache>
            </c:strRef>
          </c:cat>
          <c:val>
            <c:numRef>
              <c:f>'5. 경제성 분석 도구'!$Y$19:$AA$19</c:f>
              <c:numCache>
                <c:formatCode>"₩"#,##0_);[Red]\("₩"#,##0\)</c:formatCode>
                <c:ptCount val="3"/>
                <c:pt idx="0">
                  <c:v>211481286.84250766</c:v>
                </c:pt>
                <c:pt idx="1">
                  <c:v>292880685.45198244</c:v>
                </c:pt>
                <c:pt idx="2">
                  <c:v>374280084.06145746</c:v>
                </c:pt>
              </c:numCache>
            </c:numRef>
          </c:val>
          <c:extLst>
            <c:ext xmlns:c16="http://schemas.microsoft.com/office/drawing/2014/chart" uri="{C3380CC4-5D6E-409C-BE32-E72D297353CC}">
              <c16:uniqueId val="{00000002-3232-4A5A-9565-74C4A5DFEECC}"/>
            </c:ext>
          </c:extLst>
        </c:ser>
        <c:dLbls>
          <c:showLegendKey val="0"/>
          <c:showVal val="0"/>
          <c:showCatName val="0"/>
          <c:showSerName val="0"/>
          <c:showPercent val="0"/>
          <c:showBubbleSize val="0"/>
        </c:dLbls>
        <c:gapWidth val="150"/>
        <c:shape val="cylinder"/>
        <c:axId val="35400560"/>
        <c:axId val="1"/>
        <c:axId val="0"/>
      </c:bar3DChart>
      <c:catAx>
        <c:axId val="35400560"/>
        <c:scaling>
          <c:orientation val="minMax"/>
        </c:scaling>
        <c:delete val="0"/>
        <c:axPos val="b"/>
        <c:numFmt formatCode="General" sourceLinked="1"/>
        <c:majorTickMark val="none"/>
        <c:minorTickMark val="none"/>
        <c:tickLblPos val="nextTo"/>
        <c:txPr>
          <a:bodyPr/>
          <a:lstStyle/>
          <a:p>
            <a:pPr>
              <a:defRPr sz="800"/>
            </a:pPr>
            <a:endParaRPr lang="ko-KR"/>
          </a:p>
        </c:txPr>
        <c:crossAx val="1"/>
        <c:crosses val="autoZero"/>
        <c:auto val="1"/>
        <c:lblAlgn val="ctr"/>
        <c:lblOffset val="100"/>
        <c:noMultiLvlLbl val="0"/>
      </c:catAx>
      <c:valAx>
        <c:axId val="1"/>
        <c:scaling>
          <c:orientation val="minMax"/>
        </c:scaling>
        <c:delete val="0"/>
        <c:axPos val="l"/>
        <c:majorGridlines/>
        <c:numFmt formatCode="&quot;₩&quot;#,##0_);[Red]\(&quot;₩&quot;#,##0\)" sourceLinked="1"/>
        <c:majorTickMark val="out"/>
        <c:minorTickMark val="none"/>
        <c:tickLblPos val="nextTo"/>
        <c:txPr>
          <a:bodyPr/>
          <a:lstStyle/>
          <a:p>
            <a:pPr>
              <a:defRPr sz="800"/>
            </a:pPr>
            <a:endParaRPr lang="ko-KR"/>
          </a:p>
        </c:txPr>
        <c:crossAx val="35400560"/>
        <c:crosses val="autoZero"/>
        <c:crossBetween val="between"/>
      </c:valAx>
      <c:spPr>
        <a:noFill/>
        <a:ln w="25400">
          <a:noFill/>
        </a:ln>
      </c:spPr>
    </c:plotArea>
    <c:plotVisOnly val="1"/>
    <c:dispBlanksAs val="gap"/>
    <c:showDLblsOverMax val="0"/>
  </c:chart>
  <c:txPr>
    <a:bodyPr/>
    <a:lstStyle/>
    <a:p>
      <a:pPr>
        <a:defRPr sz="900"/>
      </a:pPr>
      <a:endParaRPr lang="ko-KR"/>
    </a:p>
  </c:txPr>
  <c:printSettings>
    <c:headerFooter/>
    <c:pageMargins b="0.75000000000000111" l="0.70000000000000062" r="0.70000000000000062" t="0.75000000000000111" header="0.30000000000000032" footer="0.30000000000000032"/>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0" i="0" u="none" strike="noStrike" baseline="0">
                <a:solidFill>
                  <a:srgbClr val="000000"/>
                </a:solidFill>
                <a:latin typeface="맑은 고딕"/>
                <a:ea typeface="맑은 고딕"/>
                <a:cs typeface="맑은 고딕"/>
              </a:defRPr>
            </a:pPr>
            <a:r>
              <a:rPr lang="en-US" sz="1050" b="1" i="0" u="none" strike="noStrike" baseline="0">
                <a:solidFill>
                  <a:srgbClr val="000000"/>
                </a:solidFill>
                <a:latin typeface="맑은 고딕"/>
                <a:ea typeface="맑은 고딕"/>
              </a:rPr>
              <a:t>내부 수익률 IRR</a:t>
            </a:r>
          </a:p>
        </c:rich>
      </c:tx>
      <c:overlay val="0"/>
      <c:spPr>
        <a:noFill/>
      </c:spPr>
    </c:title>
    <c:autoTitleDeleted val="0"/>
    <c:view3D>
      <c:rotX val="15"/>
      <c:rotY val="20"/>
      <c:depthPercent val="100"/>
      <c:rAngAx val="1"/>
    </c:view3D>
    <c:floor>
      <c:thickness val="0"/>
    </c:floor>
    <c:sideWall>
      <c:thickness val="0"/>
    </c:sideWall>
    <c:backWall>
      <c:thickness val="0"/>
    </c:backWall>
    <c:plotArea>
      <c:layout/>
      <c:bar3DChart>
        <c:barDir val="col"/>
        <c:grouping val="clustered"/>
        <c:varyColors val="0"/>
        <c:ser>
          <c:idx val="0"/>
          <c:order val="0"/>
          <c:tx>
            <c:strRef>
              <c:f>'5. 경제성 분석 도구'!$AJ$19</c:f>
              <c:strCache>
                <c:ptCount val="1"/>
                <c:pt idx="0">
                  <c:v>내부수익률 IRR</c:v>
                </c:pt>
              </c:strCache>
            </c:strRef>
          </c:tx>
          <c:invertIfNegative val="0"/>
          <c:dPt>
            <c:idx val="0"/>
            <c:invertIfNegative val="0"/>
            <c:bubble3D val="0"/>
            <c:spPr>
              <a:solidFill>
                <a:srgbClr val="C0504D">
                  <a:lumMod val="60000"/>
                  <a:lumOff val="40000"/>
                </a:srgbClr>
              </a:solidFill>
            </c:spPr>
            <c:extLst>
              <c:ext xmlns:c16="http://schemas.microsoft.com/office/drawing/2014/chart" uri="{C3380CC4-5D6E-409C-BE32-E72D297353CC}">
                <c16:uniqueId val="{00000000-506E-45A6-B768-8C3CF15566DD}"/>
              </c:ext>
            </c:extLst>
          </c:dPt>
          <c:dPt>
            <c:idx val="1"/>
            <c:invertIfNegative val="0"/>
            <c:bubble3D val="0"/>
            <c:spPr>
              <a:solidFill>
                <a:schemeClr val="accent3">
                  <a:lumMod val="75000"/>
                </a:schemeClr>
              </a:solidFill>
            </c:spPr>
            <c:extLst>
              <c:ext xmlns:c16="http://schemas.microsoft.com/office/drawing/2014/chart" uri="{C3380CC4-5D6E-409C-BE32-E72D297353CC}">
                <c16:uniqueId val="{00000001-506E-45A6-B768-8C3CF15566DD}"/>
              </c:ext>
            </c:extLst>
          </c:dPt>
          <c:cat>
            <c:strRef>
              <c:f>'5. 경제성 분석 도구'!$AK$18:$AM$18</c:f>
              <c:strCache>
                <c:ptCount val="3"/>
                <c:pt idx="0">
                  <c:v>투자안 A</c:v>
                </c:pt>
                <c:pt idx="1">
                  <c:v>투자안 B</c:v>
                </c:pt>
                <c:pt idx="2">
                  <c:v>투자안 C</c:v>
                </c:pt>
              </c:strCache>
            </c:strRef>
          </c:cat>
          <c:val>
            <c:numRef>
              <c:f>'5. 경제성 분석 도구'!$AK$19:$AM$19</c:f>
              <c:numCache>
                <c:formatCode>0%</c:formatCode>
                <c:ptCount val="3"/>
                <c:pt idx="0">
                  <c:v>0.30437431451121211</c:v>
                </c:pt>
                <c:pt idx="1">
                  <c:v>0.32661893879305737</c:v>
                </c:pt>
                <c:pt idx="2">
                  <c:v>0.34121104712519501</c:v>
                </c:pt>
              </c:numCache>
            </c:numRef>
          </c:val>
          <c:extLst>
            <c:ext xmlns:c16="http://schemas.microsoft.com/office/drawing/2014/chart" uri="{C3380CC4-5D6E-409C-BE32-E72D297353CC}">
              <c16:uniqueId val="{00000002-506E-45A6-B768-8C3CF15566DD}"/>
            </c:ext>
          </c:extLst>
        </c:ser>
        <c:dLbls>
          <c:showLegendKey val="0"/>
          <c:showVal val="0"/>
          <c:showCatName val="0"/>
          <c:showSerName val="0"/>
          <c:showPercent val="0"/>
          <c:showBubbleSize val="0"/>
        </c:dLbls>
        <c:gapWidth val="150"/>
        <c:shape val="cylinder"/>
        <c:axId val="35397760"/>
        <c:axId val="1"/>
        <c:axId val="0"/>
      </c:bar3DChart>
      <c:catAx>
        <c:axId val="35397760"/>
        <c:scaling>
          <c:orientation val="minMax"/>
        </c:scaling>
        <c:delete val="0"/>
        <c:axPos val="b"/>
        <c:numFmt formatCode="General" sourceLinked="1"/>
        <c:majorTickMark val="none"/>
        <c:minorTickMark val="none"/>
        <c:tickLblPos val="nextTo"/>
        <c:txPr>
          <a:bodyPr/>
          <a:lstStyle/>
          <a:p>
            <a:pPr>
              <a:defRPr sz="800"/>
            </a:pPr>
            <a:endParaRPr lang="ko-KR"/>
          </a:p>
        </c:txPr>
        <c:crossAx val="1"/>
        <c:crosses val="autoZero"/>
        <c:auto val="1"/>
        <c:lblAlgn val="ctr"/>
        <c:lblOffset val="100"/>
        <c:noMultiLvlLbl val="0"/>
      </c:catAx>
      <c:valAx>
        <c:axId val="1"/>
        <c:scaling>
          <c:orientation val="minMax"/>
        </c:scaling>
        <c:delete val="0"/>
        <c:axPos val="l"/>
        <c:majorGridlines/>
        <c:numFmt formatCode="0%" sourceLinked="1"/>
        <c:majorTickMark val="out"/>
        <c:minorTickMark val="none"/>
        <c:tickLblPos val="nextTo"/>
        <c:txPr>
          <a:bodyPr/>
          <a:lstStyle/>
          <a:p>
            <a:pPr>
              <a:defRPr sz="800"/>
            </a:pPr>
            <a:endParaRPr lang="ko-KR"/>
          </a:p>
        </c:txPr>
        <c:crossAx val="35397760"/>
        <c:crosses val="autoZero"/>
        <c:crossBetween val="between"/>
      </c:valAx>
      <c:spPr>
        <a:noFill/>
        <a:ln w="25400">
          <a:noFill/>
        </a:ln>
      </c:spPr>
    </c:plotArea>
    <c:plotVisOnly val="1"/>
    <c:dispBlanksAs val="gap"/>
    <c:showDLblsOverMax val="0"/>
  </c:chart>
  <c:txPr>
    <a:bodyPr/>
    <a:lstStyle/>
    <a:p>
      <a:pPr>
        <a:defRPr sz="900"/>
      </a:pPr>
      <a:endParaRPr lang="ko-KR"/>
    </a:p>
  </c:txPr>
  <c:printSettings>
    <c:headerFooter/>
    <c:pageMargins b="0.75000000000000111" l="0.70000000000000062" r="0.70000000000000062" t="0.75000000000000111" header="0.30000000000000032" footer="0.30000000000000032"/>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0" i="0" u="none" strike="noStrike" baseline="0">
                <a:solidFill>
                  <a:srgbClr val="000000"/>
                </a:solidFill>
                <a:latin typeface="맑은 고딕"/>
                <a:ea typeface="맑은 고딕"/>
                <a:cs typeface="맑은 고딕"/>
              </a:defRPr>
            </a:pPr>
            <a:r>
              <a:rPr lang="en-US" sz="1050" b="1" i="0" u="none" strike="noStrike" baseline="0">
                <a:solidFill>
                  <a:srgbClr val="000000"/>
                </a:solidFill>
                <a:latin typeface="맑은 고딕"/>
                <a:ea typeface="맑은 고딕"/>
              </a:rPr>
              <a:t>생산성 비율</a:t>
            </a:r>
          </a:p>
        </c:rich>
      </c:tx>
      <c:overlay val="0"/>
      <c:spPr>
        <a:noFill/>
      </c:spPr>
    </c:title>
    <c:autoTitleDeleted val="0"/>
    <c:view3D>
      <c:rotX val="15"/>
      <c:rotY val="20"/>
      <c:depthPercent val="100"/>
      <c:rAngAx val="1"/>
    </c:view3D>
    <c:floor>
      <c:thickness val="0"/>
    </c:floor>
    <c:sideWall>
      <c:thickness val="0"/>
    </c:sideWall>
    <c:backWall>
      <c:thickness val="0"/>
    </c:backWall>
    <c:plotArea>
      <c:layout/>
      <c:bar3DChart>
        <c:barDir val="col"/>
        <c:grouping val="clustered"/>
        <c:varyColors val="0"/>
        <c:ser>
          <c:idx val="0"/>
          <c:order val="0"/>
          <c:invertIfNegative val="0"/>
          <c:dPt>
            <c:idx val="0"/>
            <c:invertIfNegative val="0"/>
            <c:bubble3D val="0"/>
            <c:spPr>
              <a:solidFill>
                <a:srgbClr val="C0504D">
                  <a:lumMod val="60000"/>
                  <a:lumOff val="40000"/>
                </a:srgbClr>
              </a:solidFill>
            </c:spPr>
            <c:extLst>
              <c:ext xmlns:c16="http://schemas.microsoft.com/office/drawing/2014/chart" uri="{C3380CC4-5D6E-409C-BE32-E72D297353CC}">
                <c16:uniqueId val="{00000001-0F22-4003-B328-8BEC883DF6B9}"/>
              </c:ext>
            </c:extLst>
          </c:dPt>
          <c:dPt>
            <c:idx val="1"/>
            <c:invertIfNegative val="0"/>
            <c:bubble3D val="0"/>
            <c:spPr>
              <a:solidFill>
                <a:schemeClr val="accent3">
                  <a:lumMod val="75000"/>
                </a:schemeClr>
              </a:solidFill>
            </c:spPr>
            <c:extLst>
              <c:ext xmlns:c16="http://schemas.microsoft.com/office/drawing/2014/chart" uri="{C3380CC4-5D6E-409C-BE32-E72D297353CC}">
                <c16:uniqueId val="{00000003-0F22-4003-B328-8BEC883DF6B9}"/>
              </c:ext>
            </c:extLst>
          </c:dPt>
          <c:dLbls>
            <c:spPr>
              <a:solidFill>
                <a:srgbClr val="FFFF00"/>
              </a:solidFill>
            </c:spPr>
            <c:txPr>
              <a:bodyPr/>
              <a:lstStyle/>
              <a:p>
                <a:pPr>
                  <a:defRPr sz="1050"/>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('5. 경제성 분석 도구'!$BQ$13,'5. 경제성 분석 도구'!$BQ$17,'5. 경제성 분석 도구'!$BQ$19)</c:f>
              <c:strCache>
                <c:ptCount val="3"/>
                <c:pt idx="0">
                  <c:v>2. 부가가치 비율</c:v>
                </c:pt>
                <c:pt idx="1">
                  <c:v>4. 노동 분배율</c:v>
                </c:pt>
                <c:pt idx="2">
                  <c:v>5. 자본생산성</c:v>
                </c:pt>
              </c:strCache>
            </c:strRef>
          </c:cat>
          <c:val>
            <c:numRef>
              <c:f>('5. 경제성 분석 도구'!$BU$13,'5. 경제성 분석 도구'!$BU$17,'5. 경제성 분석 도구'!$BU$19)</c:f>
              <c:numCache>
                <c:formatCode>0%</c:formatCode>
                <c:ptCount val="3"/>
                <c:pt idx="0">
                  <c:v>0.18301110163618808</c:v>
                </c:pt>
                <c:pt idx="1">
                  <c:v>0.35289944437810244</c:v>
                </c:pt>
                <c:pt idx="2">
                  <c:v>0.21850270818813089</c:v>
                </c:pt>
              </c:numCache>
            </c:numRef>
          </c:val>
          <c:extLst>
            <c:ext xmlns:c16="http://schemas.microsoft.com/office/drawing/2014/chart" uri="{C3380CC4-5D6E-409C-BE32-E72D297353CC}">
              <c16:uniqueId val="{00000004-0F22-4003-B328-8BEC883DF6B9}"/>
            </c:ext>
          </c:extLst>
        </c:ser>
        <c:dLbls>
          <c:showLegendKey val="0"/>
          <c:showVal val="0"/>
          <c:showCatName val="0"/>
          <c:showSerName val="0"/>
          <c:showPercent val="0"/>
          <c:showBubbleSize val="0"/>
        </c:dLbls>
        <c:gapWidth val="150"/>
        <c:shape val="cylinder"/>
        <c:axId val="2145414464"/>
        <c:axId val="1"/>
        <c:axId val="0"/>
      </c:bar3DChart>
      <c:catAx>
        <c:axId val="2145414464"/>
        <c:scaling>
          <c:orientation val="minMax"/>
        </c:scaling>
        <c:delete val="0"/>
        <c:axPos val="b"/>
        <c:numFmt formatCode="General" sourceLinked="1"/>
        <c:majorTickMark val="none"/>
        <c:minorTickMark val="none"/>
        <c:tickLblPos val="nextTo"/>
        <c:txPr>
          <a:bodyPr/>
          <a:lstStyle/>
          <a:p>
            <a:pPr>
              <a:defRPr sz="800" b="1"/>
            </a:pPr>
            <a:endParaRPr lang="ko-KR"/>
          </a:p>
        </c:txPr>
        <c:crossAx val="1"/>
        <c:crosses val="autoZero"/>
        <c:auto val="1"/>
        <c:lblAlgn val="ctr"/>
        <c:lblOffset val="100"/>
        <c:noMultiLvlLbl val="0"/>
      </c:catAx>
      <c:valAx>
        <c:axId val="1"/>
        <c:scaling>
          <c:orientation val="minMax"/>
        </c:scaling>
        <c:delete val="0"/>
        <c:axPos val="l"/>
        <c:majorGridlines/>
        <c:numFmt formatCode="0%" sourceLinked="1"/>
        <c:majorTickMark val="out"/>
        <c:minorTickMark val="none"/>
        <c:tickLblPos val="nextTo"/>
        <c:txPr>
          <a:bodyPr/>
          <a:lstStyle/>
          <a:p>
            <a:pPr>
              <a:defRPr sz="800"/>
            </a:pPr>
            <a:endParaRPr lang="ko-KR"/>
          </a:p>
        </c:txPr>
        <c:crossAx val="2145414464"/>
        <c:crosses val="autoZero"/>
        <c:crossBetween val="between"/>
      </c:valAx>
      <c:spPr>
        <a:noFill/>
        <a:ln w="25400">
          <a:noFill/>
        </a:ln>
      </c:spPr>
    </c:plotArea>
    <c:plotVisOnly val="1"/>
    <c:dispBlanksAs val="gap"/>
    <c:showDLblsOverMax val="0"/>
  </c:chart>
  <c:txPr>
    <a:bodyPr/>
    <a:lstStyle/>
    <a:p>
      <a:pPr>
        <a:defRPr sz="900"/>
      </a:pPr>
      <a:endParaRPr lang="ko-KR"/>
    </a:p>
  </c:txPr>
  <c:printSettings>
    <c:headerFooter/>
    <c:pageMargins b="0.75000000000000111" l="0.70000000000000062" r="0.70000000000000062" t="0.75000000000000111" header="0.30000000000000032" footer="0.30000000000000032"/>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맑은 고딕"/>
                <a:ea typeface="맑은 고딕"/>
                <a:cs typeface="맑은 고딕"/>
              </a:defRPr>
            </a:pPr>
            <a:r>
              <a:rPr lang="en-US" sz="1600" b="1" i="0" u="none" strike="noStrike" baseline="0">
                <a:solidFill>
                  <a:srgbClr val="000000"/>
                </a:solidFill>
                <a:latin typeface="맑은 고딕"/>
                <a:ea typeface="맑은 고딕"/>
              </a:rPr>
              <a:t>광고비</a:t>
            </a:r>
            <a:r>
              <a:rPr lang="en-US" sz="1600" b="1" i="0" u="none" strike="noStrike" baseline="0">
                <a:solidFill>
                  <a:srgbClr val="000000"/>
                </a:solidFill>
                <a:latin typeface="Calibri"/>
                <a:ea typeface="맑은 고딕"/>
                <a:cs typeface="Calibri"/>
              </a:rPr>
              <a:t> </a:t>
            </a:r>
            <a:r>
              <a:rPr lang="en-US" sz="1600" b="1" i="0" u="none" strike="noStrike" baseline="0">
                <a:solidFill>
                  <a:srgbClr val="000000"/>
                </a:solidFill>
                <a:latin typeface="맑은 고딕"/>
                <a:ea typeface="맑은 고딕"/>
                <a:cs typeface="Calibri"/>
              </a:rPr>
              <a:t>조정에 따른 판매량과 영업이익 변화</a:t>
            </a:r>
            <a:endParaRPr lang="en-US" sz="1600" b="1" i="0" u="none" strike="noStrike" baseline="0">
              <a:solidFill>
                <a:srgbClr val="000000"/>
              </a:solidFill>
              <a:latin typeface="맑은 고딕"/>
              <a:ea typeface="맑은 고딕"/>
            </a:endParaRPr>
          </a:p>
        </c:rich>
      </c:tx>
      <c:overlay val="0"/>
    </c:title>
    <c:autoTitleDeleted val="0"/>
    <c:plotArea>
      <c:layout/>
      <c:lineChart>
        <c:grouping val="standard"/>
        <c:varyColors val="0"/>
        <c:ser>
          <c:idx val="1"/>
          <c:order val="0"/>
          <c:tx>
            <c:v>영업이익 변화</c:v>
          </c:tx>
          <c:spPr>
            <a:ln w="38100"/>
          </c:spPr>
          <c:marker>
            <c:symbol val="none"/>
          </c:marker>
          <c:cat>
            <c:numRef>
              <c:f>'6. What-if 및 시나리오 분석'!$G$27:$G$35</c:f>
              <c:numCache>
                <c:formatCode>#,##0_ ;[Red]\-#,##0\ </c:formatCode>
                <c:ptCount val="9"/>
                <c:pt idx="0">
                  <c:v>500</c:v>
                </c:pt>
                <c:pt idx="1">
                  <c:v>1000</c:v>
                </c:pt>
                <c:pt idx="2">
                  <c:v>1500</c:v>
                </c:pt>
                <c:pt idx="3">
                  <c:v>2000</c:v>
                </c:pt>
                <c:pt idx="4">
                  <c:v>2500</c:v>
                </c:pt>
                <c:pt idx="5">
                  <c:v>3000</c:v>
                </c:pt>
                <c:pt idx="6">
                  <c:v>3500</c:v>
                </c:pt>
                <c:pt idx="7">
                  <c:v>4000</c:v>
                </c:pt>
                <c:pt idx="8">
                  <c:v>4500</c:v>
                </c:pt>
              </c:numCache>
            </c:numRef>
          </c:cat>
          <c:val>
            <c:numRef>
              <c:f>'6. What-if 및 시나리오 분석'!$H$27:$H$35</c:f>
              <c:numCache>
                <c:formatCode>#,##0_ ;[Red]\-#,##0\ </c:formatCode>
                <c:ptCount val="9"/>
                <c:pt idx="0">
                  <c:v>-640846500</c:v>
                </c:pt>
                <c:pt idx="1">
                  <c:v>-481693000</c:v>
                </c:pt>
                <c:pt idx="2">
                  <c:v>-322539500</c:v>
                </c:pt>
                <c:pt idx="3">
                  <c:v>-163386000</c:v>
                </c:pt>
                <c:pt idx="4">
                  <c:v>-4232500</c:v>
                </c:pt>
                <c:pt idx="5">
                  <c:v>154921000</c:v>
                </c:pt>
                <c:pt idx="6">
                  <c:v>314074500</c:v>
                </c:pt>
                <c:pt idx="7">
                  <c:v>473228000</c:v>
                </c:pt>
                <c:pt idx="8">
                  <c:v>632381500</c:v>
                </c:pt>
              </c:numCache>
            </c:numRef>
          </c:val>
          <c:smooth val="0"/>
          <c:extLst>
            <c:ext xmlns:c16="http://schemas.microsoft.com/office/drawing/2014/chart" uri="{C3380CC4-5D6E-409C-BE32-E72D297353CC}">
              <c16:uniqueId val="{00000000-E16F-4A71-AF7F-2921CC100498}"/>
            </c:ext>
          </c:extLst>
        </c:ser>
        <c:dLbls>
          <c:showLegendKey val="0"/>
          <c:showVal val="0"/>
          <c:showCatName val="0"/>
          <c:showSerName val="0"/>
          <c:showPercent val="0"/>
          <c:showBubbleSize val="0"/>
        </c:dLbls>
        <c:smooth val="0"/>
        <c:axId val="35393760"/>
        <c:axId val="1"/>
      </c:lineChart>
      <c:catAx>
        <c:axId val="35393760"/>
        <c:scaling>
          <c:orientation val="minMax"/>
        </c:scaling>
        <c:delete val="0"/>
        <c:axPos val="b"/>
        <c:numFmt formatCode="#,##0_ ;[Red]\-#,##0\ " sourceLinked="1"/>
        <c:majorTickMark val="out"/>
        <c:minorTickMark val="none"/>
        <c:tickLblPos val="nextTo"/>
        <c:txPr>
          <a:bodyPr/>
          <a:lstStyle/>
          <a:p>
            <a:pPr>
              <a:defRPr sz="1200"/>
            </a:pPr>
            <a:endParaRPr lang="ko-KR"/>
          </a:p>
        </c:txPr>
        <c:crossAx val="1"/>
        <c:crosses val="autoZero"/>
        <c:auto val="1"/>
        <c:lblAlgn val="ctr"/>
        <c:lblOffset val="100"/>
        <c:noMultiLvlLbl val="0"/>
      </c:catAx>
      <c:valAx>
        <c:axId val="1"/>
        <c:scaling>
          <c:orientation val="minMax"/>
        </c:scaling>
        <c:delete val="0"/>
        <c:axPos val="l"/>
        <c:majorGridlines/>
        <c:numFmt formatCode="#,##0_ ;[Red]\-#,##0\ " sourceLinked="1"/>
        <c:majorTickMark val="out"/>
        <c:minorTickMark val="none"/>
        <c:tickLblPos val="nextTo"/>
        <c:txPr>
          <a:bodyPr/>
          <a:lstStyle/>
          <a:p>
            <a:pPr>
              <a:defRPr sz="1100"/>
            </a:pPr>
            <a:endParaRPr lang="ko-KR"/>
          </a:p>
        </c:txPr>
        <c:crossAx val="35393760"/>
        <c:crosses val="autoZero"/>
        <c:crossBetween val="between"/>
      </c:valAx>
    </c:plotArea>
    <c:plotVisOnly val="1"/>
    <c:dispBlanksAs val="gap"/>
    <c:showDLblsOverMax val="0"/>
  </c:chart>
  <c:txPr>
    <a:bodyPr/>
    <a:lstStyle/>
    <a:p>
      <a:pPr>
        <a:defRPr b="1"/>
      </a:pPr>
      <a:endParaRPr lang="ko-KR"/>
    </a:p>
  </c:txPr>
  <c:printSettings>
    <c:headerFooter/>
    <c:pageMargins b="0.75000000000000033" l="0.70000000000000029" r="0.70000000000000029" t="0.75000000000000033" header="0.30000000000000016" footer="0.30000000000000016"/>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맑은 고딕"/>
                <a:ea typeface="맑은 고딕"/>
                <a:cs typeface="맑은 고딕"/>
              </a:defRPr>
            </a:pPr>
            <a:r>
              <a:rPr lang="en-US" sz="1600" b="1" i="0" u="none" strike="noStrike" baseline="0">
                <a:solidFill>
                  <a:srgbClr val="000000"/>
                </a:solidFill>
                <a:latin typeface="맑은 고딕"/>
                <a:ea typeface="맑은 고딕"/>
              </a:rPr>
              <a:t>가격 조정에 따른 이익 변화</a:t>
            </a:r>
          </a:p>
        </c:rich>
      </c:tx>
      <c:overlay val="0"/>
    </c:title>
    <c:autoTitleDeleted val="0"/>
    <c:plotArea>
      <c:layout/>
      <c:lineChart>
        <c:grouping val="standard"/>
        <c:varyColors val="0"/>
        <c:ser>
          <c:idx val="1"/>
          <c:order val="0"/>
          <c:tx>
            <c:v>영업이익 변화</c:v>
          </c:tx>
          <c:spPr>
            <a:ln w="38100"/>
          </c:spPr>
          <c:marker>
            <c:symbol val="none"/>
          </c:marker>
          <c:cat>
            <c:numRef>
              <c:f>'6. What-if 및 시나리오 분석'!$G$10:$G$18</c:f>
              <c:numCache>
                <c:formatCode>#,##0_ </c:formatCode>
                <c:ptCount val="9"/>
                <c:pt idx="0">
                  <c:v>-1000</c:v>
                </c:pt>
                <c:pt idx="1">
                  <c:v>-1500</c:v>
                </c:pt>
                <c:pt idx="2">
                  <c:v>-2000</c:v>
                </c:pt>
                <c:pt idx="3">
                  <c:v>-2500</c:v>
                </c:pt>
                <c:pt idx="4">
                  <c:v>-3000</c:v>
                </c:pt>
                <c:pt idx="5">
                  <c:v>-3500</c:v>
                </c:pt>
                <c:pt idx="6">
                  <c:v>-4000</c:v>
                </c:pt>
                <c:pt idx="7">
                  <c:v>-4500</c:v>
                </c:pt>
                <c:pt idx="8">
                  <c:v>-5000</c:v>
                </c:pt>
              </c:numCache>
            </c:numRef>
          </c:cat>
          <c:val>
            <c:numRef>
              <c:f>'6. What-if 및 시나리오 분석'!$H$10:$H$18</c:f>
              <c:numCache>
                <c:formatCode>#,##0_ ;[Red]\-#,##0\ </c:formatCode>
                <c:ptCount val="9"/>
                <c:pt idx="0">
                  <c:v>995293000</c:v>
                </c:pt>
                <c:pt idx="1">
                  <c:v>826139500</c:v>
                </c:pt>
                <c:pt idx="2">
                  <c:v>656986000</c:v>
                </c:pt>
                <c:pt idx="3">
                  <c:v>487832500</c:v>
                </c:pt>
                <c:pt idx="4">
                  <c:v>318679000</c:v>
                </c:pt>
                <c:pt idx="5">
                  <c:v>149525500</c:v>
                </c:pt>
                <c:pt idx="6">
                  <c:v>-19628000</c:v>
                </c:pt>
                <c:pt idx="7">
                  <c:v>-188781500</c:v>
                </c:pt>
                <c:pt idx="8">
                  <c:v>-357935000</c:v>
                </c:pt>
              </c:numCache>
            </c:numRef>
          </c:val>
          <c:smooth val="0"/>
          <c:extLst>
            <c:ext xmlns:c16="http://schemas.microsoft.com/office/drawing/2014/chart" uri="{C3380CC4-5D6E-409C-BE32-E72D297353CC}">
              <c16:uniqueId val="{00000000-C1B2-4126-8F8E-3067554E4CAE}"/>
            </c:ext>
          </c:extLst>
        </c:ser>
        <c:dLbls>
          <c:showLegendKey val="0"/>
          <c:showVal val="0"/>
          <c:showCatName val="0"/>
          <c:showSerName val="0"/>
          <c:showPercent val="0"/>
          <c:showBubbleSize val="0"/>
        </c:dLbls>
        <c:smooth val="0"/>
        <c:axId val="35400160"/>
        <c:axId val="1"/>
      </c:lineChart>
      <c:catAx>
        <c:axId val="35400160"/>
        <c:scaling>
          <c:orientation val="minMax"/>
        </c:scaling>
        <c:delete val="0"/>
        <c:axPos val="b"/>
        <c:numFmt formatCode="#,##0_ " sourceLinked="1"/>
        <c:majorTickMark val="none"/>
        <c:minorTickMark val="none"/>
        <c:tickLblPos val="nextTo"/>
        <c:txPr>
          <a:bodyPr/>
          <a:lstStyle/>
          <a:p>
            <a:pPr>
              <a:defRPr sz="1200"/>
            </a:pPr>
            <a:endParaRPr lang="ko-KR"/>
          </a:p>
        </c:txPr>
        <c:crossAx val="1"/>
        <c:crosses val="autoZero"/>
        <c:auto val="1"/>
        <c:lblAlgn val="ctr"/>
        <c:lblOffset val="100"/>
        <c:noMultiLvlLbl val="0"/>
      </c:catAx>
      <c:valAx>
        <c:axId val="1"/>
        <c:scaling>
          <c:orientation val="minMax"/>
        </c:scaling>
        <c:delete val="0"/>
        <c:axPos val="l"/>
        <c:majorGridlines/>
        <c:numFmt formatCode="#,##0_ ;[Red]\-#,##0\ " sourceLinked="1"/>
        <c:majorTickMark val="none"/>
        <c:minorTickMark val="none"/>
        <c:tickLblPos val="nextTo"/>
        <c:spPr>
          <a:ln w="9525">
            <a:noFill/>
          </a:ln>
        </c:spPr>
        <c:txPr>
          <a:bodyPr/>
          <a:lstStyle/>
          <a:p>
            <a:pPr>
              <a:defRPr sz="1100"/>
            </a:pPr>
            <a:endParaRPr lang="ko-KR"/>
          </a:p>
        </c:txPr>
        <c:crossAx val="35400160"/>
        <c:crosses val="autoZero"/>
        <c:crossBetween val="between"/>
      </c:valAx>
    </c:plotArea>
    <c:plotVisOnly val="1"/>
    <c:dispBlanksAs val="gap"/>
    <c:showDLblsOverMax val="0"/>
  </c:chart>
  <c:txPr>
    <a:bodyPr/>
    <a:lstStyle/>
    <a:p>
      <a:pPr>
        <a:defRPr b="1"/>
      </a:pPr>
      <a:endParaRPr lang="ko-KR"/>
    </a:p>
  </c:txPr>
  <c:printSettings>
    <c:headerFooter/>
    <c:pageMargins b="0.75000000000000033" l="0.70000000000000029" r="0.70000000000000029" t="0.75000000000000033" header="0.30000000000000016" footer="0.30000000000000016"/>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맑은 고딕"/>
                <a:ea typeface="맑은 고딕"/>
                <a:cs typeface="맑은 고딕"/>
              </a:defRPr>
            </a:pPr>
            <a:r>
              <a:rPr lang="en-US" sz="1800" b="1" i="0" u="none" strike="noStrike" baseline="0">
                <a:solidFill>
                  <a:srgbClr val="000000"/>
                </a:solidFill>
                <a:latin typeface="맑은 고딕"/>
                <a:ea typeface="맑은 고딕"/>
              </a:rPr>
              <a:t>시장별 판매량</a:t>
            </a:r>
          </a:p>
        </c:rich>
      </c:tx>
      <c:overlay val="0"/>
    </c:title>
    <c:autoTitleDeleted val="0"/>
    <c:plotArea>
      <c:layout/>
      <c:barChart>
        <c:barDir val="col"/>
        <c:grouping val="clustered"/>
        <c:varyColors val="0"/>
        <c:ser>
          <c:idx val="0"/>
          <c:order val="0"/>
          <c:tx>
            <c:strRef>
              <c:f>'6. What-if 및 시나리오 분석'!$O$9</c:f>
              <c:strCache>
                <c:ptCount val="1"/>
                <c:pt idx="0">
                  <c:v>한국 판매량</c:v>
                </c:pt>
              </c:strCache>
            </c:strRef>
          </c:tx>
          <c:invertIfNegative val="0"/>
          <c:cat>
            <c:strRef>
              <c:f>'6. What-if 및 시나리오 분석'!$P$8:$R$8</c:f>
              <c:strCache>
                <c:ptCount val="3"/>
                <c:pt idx="0">
                  <c:v>최악의 상황</c:v>
                </c:pt>
                <c:pt idx="1">
                  <c:v>일반적 상황</c:v>
                </c:pt>
                <c:pt idx="2">
                  <c:v>최고의 상황</c:v>
                </c:pt>
              </c:strCache>
            </c:strRef>
          </c:cat>
          <c:val>
            <c:numRef>
              <c:f>'6. What-if 및 시나리오 분석'!$P$9:$R$9</c:f>
              <c:numCache>
                <c:formatCode>#,##0_ ;[Red]\-#,##0\ </c:formatCode>
                <c:ptCount val="3"/>
                <c:pt idx="0">
                  <c:v>40000</c:v>
                </c:pt>
                <c:pt idx="1">
                  <c:v>66680</c:v>
                </c:pt>
                <c:pt idx="2">
                  <c:v>70000</c:v>
                </c:pt>
              </c:numCache>
            </c:numRef>
          </c:val>
          <c:extLst>
            <c:ext xmlns:c16="http://schemas.microsoft.com/office/drawing/2014/chart" uri="{C3380CC4-5D6E-409C-BE32-E72D297353CC}">
              <c16:uniqueId val="{00000000-9301-4D7D-B66B-A76F12183825}"/>
            </c:ext>
          </c:extLst>
        </c:ser>
        <c:ser>
          <c:idx val="1"/>
          <c:order val="1"/>
          <c:tx>
            <c:strRef>
              <c:f>'6. What-if 및 시나리오 분석'!$O$10</c:f>
              <c:strCache>
                <c:ptCount val="1"/>
                <c:pt idx="0">
                  <c:v>U국가 판매량</c:v>
                </c:pt>
              </c:strCache>
            </c:strRef>
          </c:tx>
          <c:invertIfNegative val="0"/>
          <c:cat>
            <c:strRef>
              <c:f>'6. What-if 및 시나리오 분석'!$P$8:$R$8</c:f>
              <c:strCache>
                <c:ptCount val="3"/>
                <c:pt idx="0">
                  <c:v>최악의 상황</c:v>
                </c:pt>
                <c:pt idx="1">
                  <c:v>일반적 상황</c:v>
                </c:pt>
                <c:pt idx="2">
                  <c:v>최고의 상황</c:v>
                </c:pt>
              </c:strCache>
            </c:strRef>
          </c:cat>
          <c:val>
            <c:numRef>
              <c:f>'6. What-if 및 시나리오 분석'!$P$10:$R$10</c:f>
              <c:numCache>
                <c:formatCode>#,##0_ ;[Red]\-#,##0\ </c:formatCode>
                <c:ptCount val="3"/>
                <c:pt idx="0">
                  <c:v>20000</c:v>
                </c:pt>
                <c:pt idx="1">
                  <c:v>32680</c:v>
                </c:pt>
                <c:pt idx="2">
                  <c:v>35000</c:v>
                </c:pt>
              </c:numCache>
            </c:numRef>
          </c:val>
          <c:extLst>
            <c:ext xmlns:c16="http://schemas.microsoft.com/office/drawing/2014/chart" uri="{C3380CC4-5D6E-409C-BE32-E72D297353CC}">
              <c16:uniqueId val="{00000001-9301-4D7D-B66B-A76F12183825}"/>
            </c:ext>
          </c:extLst>
        </c:ser>
        <c:ser>
          <c:idx val="2"/>
          <c:order val="2"/>
          <c:tx>
            <c:strRef>
              <c:f>'6. What-if 및 시나리오 분석'!$O$11</c:f>
              <c:strCache>
                <c:ptCount val="1"/>
                <c:pt idx="0">
                  <c:v>C국가 판매량</c:v>
                </c:pt>
              </c:strCache>
            </c:strRef>
          </c:tx>
          <c:invertIfNegative val="0"/>
          <c:cat>
            <c:strRef>
              <c:f>'6. What-if 및 시나리오 분석'!$P$8:$R$8</c:f>
              <c:strCache>
                <c:ptCount val="3"/>
                <c:pt idx="0">
                  <c:v>최악의 상황</c:v>
                </c:pt>
                <c:pt idx="1">
                  <c:v>일반적 상황</c:v>
                </c:pt>
                <c:pt idx="2">
                  <c:v>최고의 상황</c:v>
                </c:pt>
              </c:strCache>
            </c:strRef>
          </c:cat>
          <c:val>
            <c:numRef>
              <c:f>'6. What-if 및 시나리오 분석'!$P$11:$R$11</c:f>
              <c:numCache>
                <c:formatCode>#,##0_ ;[Red]\-#,##0\ </c:formatCode>
                <c:ptCount val="3"/>
                <c:pt idx="0">
                  <c:v>15000</c:v>
                </c:pt>
                <c:pt idx="1">
                  <c:v>30500</c:v>
                </c:pt>
                <c:pt idx="2">
                  <c:v>35000</c:v>
                </c:pt>
              </c:numCache>
            </c:numRef>
          </c:val>
          <c:extLst>
            <c:ext xmlns:c16="http://schemas.microsoft.com/office/drawing/2014/chart" uri="{C3380CC4-5D6E-409C-BE32-E72D297353CC}">
              <c16:uniqueId val="{00000002-9301-4D7D-B66B-A76F12183825}"/>
            </c:ext>
          </c:extLst>
        </c:ser>
        <c:dLbls>
          <c:showLegendKey val="0"/>
          <c:showVal val="0"/>
          <c:showCatName val="0"/>
          <c:showSerName val="0"/>
          <c:showPercent val="0"/>
          <c:showBubbleSize val="0"/>
        </c:dLbls>
        <c:gapWidth val="150"/>
        <c:axId val="35395360"/>
        <c:axId val="1"/>
      </c:barChart>
      <c:catAx>
        <c:axId val="35395360"/>
        <c:scaling>
          <c:orientation val="minMax"/>
        </c:scaling>
        <c:delete val="0"/>
        <c:axPos val="b"/>
        <c:numFmt formatCode="General" sourceLinked="1"/>
        <c:majorTickMark val="out"/>
        <c:minorTickMark val="none"/>
        <c:tickLblPos val="nextTo"/>
        <c:txPr>
          <a:bodyPr/>
          <a:lstStyle/>
          <a:p>
            <a:pPr>
              <a:defRPr sz="1100" b="1"/>
            </a:pPr>
            <a:endParaRPr lang="ko-KR"/>
          </a:p>
        </c:txPr>
        <c:crossAx val="1"/>
        <c:crosses val="autoZero"/>
        <c:auto val="1"/>
        <c:lblAlgn val="ctr"/>
        <c:lblOffset val="100"/>
        <c:noMultiLvlLbl val="0"/>
      </c:catAx>
      <c:valAx>
        <c:axId val="1"/>
        <c:scaling>
          <c:orientation val="minMax"/>
        </c:scaling>
        <c:delete val="0"/>
        <c:axPos val="l"/>
        <c:majorGridlines/>
        <c:numFmt formatCode="#,##0_ ;[Red]\-#,##0\ " sourceLinked="1"/>
        <c:majorTickMark val="out"/>
        <c:minorTickMark val="none"/>
        <c:tickLblPos val="nextTo"/>
        <c:crossAx val="35395360"/>
        <c:crosses val="autoZero"/>
        <c:crossBetween val="between"/>
      </c:valAx>
    </c:plotArea>
    <c:legend>
      <c:legendPos val="r"/>
      <c:layout>
        <c:manualLayout>
          <c:xMode val="edge"/>
          <c:yMode val="edge"/>
          <c:x val="0.19507798080854188"/>
          <c:y val="0.92013223444199199"/>
          <c:w val="0.61398227643951597"/>
          <c:h val="5.6702826772335645E-2"/>
        </c:manualLayout>
      </c:layout>
      <c:overlay val="0"/>
    </c:legend>
    <c:plotVisOnly val="1"/>
    <c:dispBlanksAs val="gap"/>
    <c:showDLblsOverMax val="0"/>
  </c:chart>
  <c:printSettings>
    <c:headerFooter/>
    <c:pageMargins b="0.75000000000000033" l="0.70000000000000029" r="0.70000000000000029" t="0.75000000000000033" header="0.30000000000000016" footer="0.30000000000000016"/>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barChart>
        <c:barDir val="col"/>
        <c:grouping val="clustered"/>
        <c:varyColors val="0"/>
        <c:ser>
          <c:idx val="0"/>
          <c:order val="0"/>
          <c:tx>
            <c:strRef>
              <c:f>'6. What-if 및 시나리오 분석'!$T$9</c:f>
              <c:strCache>
                <c:ptCount val="1"/>
                <c:pt idx="0">
                  <c:v>매출액</c:v>
                </c:pt>
              </c:strCache>
            </c:strRef>
          </c:tx>
          <c:spPr>
            <a:solidFill>
              <a:srgbClr val="00B050"/>
            </a:solidFill>
          </c:spPr>
          <c:invertIfNegative val="0"/>
          <c:cat>
            <c:strRef>
              <c:f>'6. What-if 및 시나리오 분석'!$U$8:$W$8</c:f>
              <c:strCache>
                <c:ptCount val="3"/>
                <c:pt idx="0">
                  <c:v>최악의 상황</c:v>
                </c:pt>
                <c:pt idx="1">
                  <c:v>일반적 상황</c:v>
                </c:pt>
                <c:pt idx="2">
                  <c:v>최고의 상황</c:v>
                </c:pt>
              </c:strCache>
            </c:strRef>
          </c:cat>
          <c:val>
            <c:numRef>
              <c:f>'6. What-if 및 시나리오 분석'!$U$9:$W$9</c:f>
              <c:numCache>
                <c:formatCode>#,##0_ ;[Red]\-#,##0\ </c:formatCode>
                <c:ptCount val="3"/>
                <c:pt idx="0">
                  <c:v>51255000000</c:v>
                </c:pt>
                <c:pt idx="1">
                  <c:v>88631620000</c:v>
                </c:pt>
                <c:pt idx="2">
                  <c:v>95515000000</c:v>
                </c:pt>
              </c:numCache>
            </c:numRef>
          </c:val>
          <c:extLst>
            <c:ext xmlns:c16="http://schemas.microsoft.com/office/drawing/2014/chart" uri="{C3380CC4-5D6E-409C-BE32-E72D297353CC}">
              <c16:uniqueId val="{00000000-455A-4C7B-A410-5323CF09346C}"/>
            </c:ext>
          </c:extLst>
        </c:ser>
        <c:dLbls>
          <c:showLegendKey val="0"/>
          <c:showVal val="0"/>
          <c:showCatName val="0"/>
          <c:showSerName val="0"/>
          <c:showPercent val="0"/>
          <c:showBubbleSize val="0"/>
        </c:dLbls>
        <c:gapWidth val="150"/>
        <c:axId val="35396160"/>
        <c:axId val="1"/>
      </c:barChart>
      <c:catAx>
        <c:axId val="35396160"/>
        <c:scaling>
          <c:orientation val="minMax"/>
        </c:scaling>
        <c:delete val="0"/>
        <c:axPos val="b"/>
        <c:numFmt formatCode="General" sourceLinked="1"/>
        <c:majorTickMark val="out"/>
        <c:minorTickMark val="none"/>
        <c:tickLblPos val="nextTo"/>
        <c:txPr>
          <a:bodyPr/>
          <a:lstStyle/>
          <a:p>
            <a:pPr>
              <a:defRPr sz="1100" b="1"/>
            </a:pPr>
            <a:endParaRPr lang="ko-KR"/>
          </a:p>
        </c:txPr>
        <c:crossAx val="1"/>
        <c:crosses val="autoZero"/>
        <c:auto val="1"/>
        <c:lblAlgn val="ctr"/>
        <c:lblOffset val="100"/>
        <c:noMultiLvlLbl val="0"/>
      </c:catAx>
      <c:valAx>
        <c:axId val="1"/>
        <c:scaling>
          <c:orientation val="minMax"/>
        </c:scaling>
        <c:delete val="0"/>
        <c:axPos val="l"/>
        <c:majorGridlines/>
        <c:numFmt formatCode="#,##0_ ;[Red]\-#,##0\ " sourceLinked="1"/>
        <c:majorTickMark val="out"/>
        <c:minorTickMark val="none"/>
        <c:tickLblPos val="nextTo"/>
        <c:crossAx val="35396160"/>
        <c:crosses val="autoZero"/>
        <c:crossBetween val="between"/>
      </c:valAx>
    </c:plotArea>
    <c:plotVisOnly val="1"/>
    <c:dispBlanksAs val="gap"/>
    <c:showDLblsOverMax val="0"/>
  </c:chart>
  <c:printSettings>
    <c:headerFooter/>
    <c:pageMargins b="0.75000000000000033" l="0.70000000000000029" r="0.70000000000000029" t="0.75000000000000033" header="0.30000000000000016" footer="0.30000000000000016"/>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barChart>
        <c:barDir val="col"/>
        <c:grouping val="clustered"/>
        <c:varyColors val="0"/>
        <c:ser>
          <c:idx val="0"/>
          <c:order val="0"/>
          <c:tx>
            <c:strRef>
              <c:f>'6. What-if 및 시나리오 분석'!$T$21</c:f>
              <c:strCache>
                <c:ptCount val="1"/>
                <c:pt idx="0">
                  <c:v>영업이익</c:v>
                </c:pt>
              </c:strCache>
            </c:strRef>
          </c:tx>
          <c:spPr>
            <a:solidFill>
              <a:srgbClr val="FFC000"/>
            </a:solidFill>
          </c:spPr>
          <c:invertIfNegative val="0"/>
          <c:cat>
            <c:strRef>
              <c:f>'6. What-if 및 시나리오 분석'!$U$8:$W$8</c:f>
              <c:strCache>
                <c:ptCount val="3"/>
                <c:pt idx="0">
                  <c:v>최악의 상황</c:v>
                </c:pt>
                <c:pt idx="1">
                  <c:v>일반적 상황</c:v>
                </c:pt>
                <c:pt idx="2">
                  <c:v>최고의 상황</c:v>
                </c:pt>
              </c:strCache>
            </c:strRef>
          </c:cat>
          <c:val>
            <c:numRef>
              <c:f>'6. What-if 및 시나리오 분석'!$U$21:$W$21</c:f>
              <c:numCache>
                <c:formatCode>#,##0_ ;[Red]\-#,##0\ </c:formatCode>
                <c:ptCount val="3"/>
                <c:pt idx="0">
                  <c:v>-32102749948</c:v>
                </c:pt>
                <c:pt idx="1">
                  <c:v>5273870052</c:v>
                </c:pt>
                <c:pt idx="2">
                  <c:v>12157250052</c:v>
                </c:pt>
              </c:numCache>
            </c:numRef>
          </c:val>
          <c:extLst>
            <c:ext xmlns:c16="http://schemas.microsoft.com/office/drawing/2014/chart" uri="{C3380CC4-5D6E-409C-BE32-E72D297353CC}">
              <c16:uniqueId val="{00000000-BDC8-456E-BC94-FCD1A5BDA307}"/>
            </c:ext>
          </c:extLst>
        </c:ser>
        <c:dLbls>
          <c:showLegendKey val="0"/>
          <c:showVal val="0"/>
          <c:showCatName val="0"/>
          <c:showSerName val="0"/>
          <c:showPercent val="0"/>
          <c:showBubbleSize val="0"/>
        </c:dLbls>
        <c:gapWidth val="150"/>
        <c:axId val="35405760"/>
        <c:axId val="1"/>
      </c:barChart>
      <c:catAx>
        <c:axId val="35405760"/>
        <c:scaling>
          <c:orientation val="minMax"/>
        </c:scaling>
        <c:delete val="0"/>
        <c:axPos val="b"/>
        <c:numFmt formatCode="General" sourceLinked="1"/>
        <c:majorTickMark val="out"/>
        <c:minorTickMark val="none"/>
        <c:tickLblPos val="nextTo"/>
        <c:txPr>
          <a:bodyPr/>
          <a:lstStyle/>
          <a:p>
            <a:pPr>
              <a:defRPr sz="1100" b="1"/>
            </a:pPr>
            <a:endParaRPr lang="ko-KR"/>
          </a:p>
        </c:txPr>
        <c:crossAx val="1"/>
        <c:crosses val="autoZero"/>
        <c:auto val="1"/>
        <c:lblAlgn val="ctr"/>
        <c:lblOffset val="100"/>
        <c:noMultiLvlLbl val="0"/>
      </c:catAx>
      <c:valAx>
        <c:axId val="1"/>
        <c:scaling>
          <c:orientation val="minMax"/>
        </c:scaling>
        <c:delete val="0"/>
        <c:axPos val="l"/>
        <c:majorGridlines/>
        <c:numFmt formatCode="#,##0_ ;[Red]\-#,##0\ " sourceLinked="1"/>
        <c:majorTickMark val="out"/>
        <c:minorTickMark val="none"/>
        <c:tickLblPos val="nextTo"/>
        <c:crossAx val="35405760"/>
        <c:crosses val="autoZero"/>
        <c:crossBetween val="between"/>
      </c:valAx>
    </c:plotArea>
    <c:plotVisOnly val="1"/>
    <c:dispBlanksAs val="gap"/>
    <c:showDLblsOverMax val="0"/>
  </c:chart>
  <c:printSettings>
    <c:headerFooter/>
    <c:pageMargins b="0.75000000000000033" l="0.70000000000000029" r="0.70000000000000029" t="0.75000000000000033" header="0.30000000000000016" footer="0.30000000000000016"/>
    <c:pageSetup/>
  </c:printSettings>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colors3.xml><?xml version="1.0" encoding="utf-8"?>
<cs:colorStyle xmlns:cs="http://schemas.microsoft.com/office/drawing/2012/chartStyle" xmlns:a="http://schemas.openxmlformats.org/drawingml/2006/main" meth="withinLinearReversed" id="25">
  <a:schemeClr val="accent5"/>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3" Type="http://schemas.openxmlformats.org/officeDocument/2006/relationships/chart" Target="../charts/chart12.xml"/><Relationship Id="rId18" Type="http://schemas.openxmlformats.org/officeDocument/2006/relationships/chart" Target="../charts/chart17.xml"/><Relationship Id="rId26" Type="http://schemas.openxmlformats.org/officeDocument/2006/relationships/chart" Target="../charts/chart25.xml"/><Relationship Id="rId39" Type="http://schemas.openxmlformats.org/officeDocument/2006/relationships/chart" Target="../charts/chart38.xml"/><Relationship Id="rId21" Type="http://schemas.openxmlformats.org/officeDocument/2006/relationships/chart" Target="../charts/chart20.xml"/><Relationship Id="rId34" Type="http://schemas.openxmlformats.org/officeDocument/2006/relationships/chart" Target="../charts/chart33.xml"/><Relationship Id="rId42" Type="http://schemas.openxmlformats.org/officeDocument/2006/relationships/chart" Target="../charts/chart41.xml"/><Relationship Id="rId7" Type="http://schemas.openxmlformats.org/officeDocument/2006/relationships/chart" Target="../charts/chart6.xml"/><Relationship Id="rId2" Type="http://schemas.openxmlformats.org/officeDocument/2006/relationships/chart" Target="../charts/chart1.xml"/><Relationship Id="rId16" Type="http://schemas.openxmlformats.org/officeDocument/2006/relationships/chart" Target="../charts/chart15.xml"/><Relationship Id="rId20" Type="http://schemas.openxmlformats.org/officeDocument/2006/relationships/chart" Target="../charts/chart19.xml"/><Relationship Id="rId29" Type="http://schemas.openxmlformats.org/officeDocument/2006/relationships/chart" Target="../charts/chart28.xml"/><Relationship Id="rId41" Type="http://schemas.openxmlformats.org/officeDocument/2006/relationships/chart" Target="../charts/chart40.xml"/><Relationship Id="rId1" Type="http://schemas.openxmlformats.org/officeDocument/2006/relationships/image" Target="../media/image1.png"/><Relationship Id="rId6" Type="http://schemas.openxmlformats.org/officeDocument/2006/relationships/chart" Target="../charts/chart5.xml"/><Relationship Id="rId11" Type="http://schemas.openxmlformats.org/officeDocument/2006/relationships/chart" Target="../charts/chart10.xml"/><Relationship Id="rId24" Type="http://schemas.openxmlformats.org/officeDocument/2006/relationships/chart" Target="../charts/chart23.xml"/><Relationship Id="rId32" Type="http://schemas.openxmlformats.org/officeDocument/2006/relationships/chart" Target="../charts/chart31.xml"/><Relationship Id="rId37" Type="http://schemas.openxmlformats.org/officeDocument/2006/relationships/chart" Target="../charts/chart36.xml"/><Relationship Id="rId40" Type="http://schemas.openxmlformats.org/officeDocument/2006/relationships/chart" Target="../charts/chart39.xml"/><Relationship Id="rId5" Type="http://schemas.openxmlformats.org/officeDocument/2006/relationships/chart" Target="../charts/chart4.xml"/><Relationship Id="rId15" Type="http://schemas.openxmlformats.org/officeDocument/2006/relationships/chart" Target="../charts/chart14.xml"/><Relationship Id="rId23" Type="http://schemas.openxmlformats.org/officeDocument/2006/relationships/chart" Target="../charts/chart22.xml"/><Relationship Id="rId28" Type="http://schemas.openxmlformats.org/officeDocument/2006/relationships/chart" Target="../charts/chart27.xml"/><Relationship Id="rId36" Type="http://schemas.openxmlformats.org/officeDocument/2006/relationships/chart" Target="../charts/chart35.xml"/><Relationship Id="rId10" Type="http://schemas.openxmlformats.org/officeDocument/2006/relationships/chart" Target="../charts/chart9.xml"/><Relationship Id="rId19" Type="http://schemas.openxmlformats.org/officeDocument/2006/relationships/chart" Target="../charts/chart18.xml"/><Relationship Id="rId31" Type="http://schemas.openxmlformats.org/officeDocument/2006/relationships/chart" Target="../charts/chart30.xml"/><Relationship Id="rId44" Type="http://schemas.openxmlformats.org/officeDocument/2006/relationships/chart" Target="../charts/chart43.xml"/><Relationship Id="rId4" Type="http://schemas.openxmlformats.org/officeDocument/2006/relationships/chart" Target="../charts/chart3.xml"/><Relationship Id="rId9" Type="http://schemas.openxmlformats.org/officeDocument/2006/relationships/chart" Target="../charts/chart8.xml"/><Relationship Id="rId14" Type="http://schemas.openxmlformats.org/officeDocument/2006/relationships/chart" Target="../charts/chart13.xml"/><Relationship Id="rId22" Type="http://schemas.openxmlformats.org/officeDocument/2006/relationships/chart" Target="../charts/chart21.xml"/><Relationship Id="rId27" Type="http://schemas.openxmlformats.org/officeDocument/2006/relationships/chart" Target="../charts/chart26.xml"/><Relationship Id="rId30" Type="http://schemas.openxmlformats.org/officeDocument/2006/relationships/chart" Target="../charts/chart29.xml"/><Relationship Id="rId35" Type="http://schemas.openxmlformats.org/officeDocument/2006/relationships/chart" Target="../charts/chart34.xml"/><Relationship Id="rId43" Type="http://schemas.openxmlformats.org/officeDocument/2006/relationships/chart" Target="../charts/chart42.xml"/><Relationship Id="rId8" Type="http://schemas.openxmlformats.org/officeDocument/2006/relationships/chart" Target="../charts/chart7.xml"/><Relationship Id="rId3" Type="http://schemas.openxmlformats.org/officeDocument/2006/relationships/chart" Target="../charts/chart2.xml"/><Relationship Id="rId12" Type="http://schemas.openxmlformats.org/officeDocument/2006/relationships/chart" Target="../charts/chart11.xml"/><Relationship Id="rId17" Type="http://schemas.openxmlformats.org/officeDocument/2006/relationships/chart" Target="../charts/chart16.xml"/><Relationship Id="rId25" Type="http://schemas.openxmlformats.org/officeDocument/2006/relationships/chart" Target="../charts/chart24.xml"/><Relationship Id="rId33" Type="http://schemas.openxmlformats.org/officeDocument/2006/relationships/chart" Target="../charts/chart32.xml"/><Relationship Id="rId38" Type="http://schemas.openxmlformats.org/officeDocument/2006/relationships/chart" Target="../charts/chart37.xml"/></Relationships>
</file>

<file path=xl/drawings/_rels/drawing2.xml.rels><?xml version="1.0" encoding="UTF-8" standalone="yes"?>
<Relationships xmlns="http://schemas.openxmlformats.org/package/2006/relationships"><Relationship Id="rId8" Type="http://schemas.openxmlformats.org/officeDocument/2006/relationships/chart" Target="../charts/chart51.xml"/><Relationship Id="rId13" Type="http://schemas.openxmlformats.org/officeDocument/2006/relationships/chart" Target="../charts/chart56.xml"/><Relationship Id="rId3" Type="http://schemas.openxmlformats.org/officeDocument/2006/relationships/chart" Target="../charts/chart46.xml"/><Relationship Id="rId7" Type="http://schemas.openxmlformats.org/officeDocument/2006/relationships/chart" Target="../charts/chart50.xml"/><Relationship Id="rId12" Type="http://schemas.openxmlformats.org/officeDocument/2006/relationships/chart" Target="../charts/chart55.xml"/><Relationship Id="rId2" Type="http://schemas.openxmlformats.org/officeDocument/2006/relationships/chart" Target="../charts/chart45.xml"/><Relationship Id="rId1" Type="http://schemas.openxmlformats.org/officeDocument/2006/relationships/chart" Target="../charts/chart44.xml"/><Relationship Id="rId6" Type="http://schemas.openxmlformats.org/officeDocument/2006/relationships/chart" Target="../charts/chart49.xml"/><Relationship Id="rId11" Type="http://schemas.openxmlformats.org/officeDocument/2006/relationships/chart" Target="../charts/chart54.xml"/><Relationship Id="rId5" Type="http://schemas.openxmlformats.org/officeDocument/2006/relationships/chart" Target="../charts/chart48.xml"/><Relationship Id="rId10" Type="http://schemas.openxmlformats.org/officeDocument/2006/relationships/chart" Target="../charts/chart53.xml"/><Relationship Id="rId4" Type="http://schemas.openxmlformats.org/officeDocument/2006/relationships/chart" Target="../charts/chart47.xml"/><Relationship Id="rId9" Type="http://schemas.openxmlformats.org/officeDocument/2006/relationships/chart" Target="../charts/chart5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9.xml"/><Relationship Id="rId2" Type="http://schemas.openxmlformats.org/officeDocument/2006/relationships/chart" Target="../charts/chart58.xml"/><Relationship Id="rId1" Type="http://schemas.openxmlformats.org/officeDocument/2006/relationships/chart" Target="../charts/chart57.xml"/><Relationship Id="rId4" Type="http://schemas.openxmlformats.org/officeDocument/2006/relationships/chart" Target="../charts/chart60.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3.xml"/><Relationship Id="rId2" Type="http://schemas.openxmlformats.org/officeDocument/2006/relationships/chart" Target="../charts/chart62.xml"/><Relationship Id="rId1" Type="http://schemas.openxmlformats.org/officeDocument/2006/relationships/chart" Target="../charts/chart61.xml"/><Relationship Id="rId5" Type="http://schemas.openxmlformats.org/officeDocument/2006/relationships/chart" Target="../charts/chart65.xml"/><Relationship Id="rId4" Type="http://schemas.openxmlformats.org/officeDocument/2006/relationships/chart" Target="../charts/chart64.xml"/></Relationships>
</file>

<file path=xl/drawings/drawing1.xml><?xml version="1.0" encoding="utf-8"?>
<xdr:wsDr xmlns:xdr="http://schemas.openxmlformats.org/drawingml/2006/spreadsheetDrawing" xmlns:a="http://schemas.openxmlformats.org/drawingml/2006/main">
  <xdr:twoCellAnchor editAs="oneCell">
    <xdr:from>
      <xdr:col>20</xdr:col>
      <xdr:colOff>123825</xdr:colOff>
      <xdr:row>35</xdr:row>
      <xdr:rowOff>0</xdr:rowOff>
    </xdr:from>
    <xdr:to>
      <xdr:col>20</xdr:col>
      <xdr:colOff>392430</xdr:colOff>
      <xdr:row>35</xdr:row>
      <xdr:rowOff>0</xdr:rowOff>
    </xdr:to>
    <xdr:pic>
      <xdr:nvPicPr>
        <xdr:cNvPr id="19649177" name="Picture 73">
          <a:extLst>
            <a:ext uri="{FF2B5EF4-FFF2-40B4-BE49-F238E27FC236}">
              <a16:creationId xmlns:a16="http://schemas.microsoft.com/office/drawing/2014/main" id="{A20F46F7-B033-48ED-94C1-906A662140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078825" y="8867775"/>
          <a:ext cx="2667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123825</xdr:colOff>
      <xdr:row>65</xdr:row>
      <xdr:rowOff>0</xdr:rowOff>
    </xdr:from>
    <xdr:to>
      <xdr:col>17</xdr:col>
      <xdr:colOff>392430</xdr:colOff>
      <xdr:row>65</xdr:row>
      <xdr:rowOff>0</xdr:rowOff>
    </xdr:to>
    <xdr:pic>
      <xdr:nvPicPr>
        <xdr:cNvPr id="19649178" name="Picture 73">
          <a:extLst>
            <a:ext uri="{FF2B5EF4-FFF2-40B4-BE49-F238E27FC236}">
              <a16:creationId xmlns:a16="http://schemas.microsoft.com/office/drawing/2014/main" id="{056FF11A-B3FF-4004-94D9-2C4484CF61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392775" y="17440275"/>
          <a:ext cx="2667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219075</xdr:colOff>
      <xdr:row>50</xdr:row>
      <xdr:rowOff>123825</xdr:rowOff>
    </xdr:from>
    <xdr:to>
      <xdr:col>7</xdr:col>
      <xdr:colOff>161925</xdr:colOff>
      <xdr:row>62</xdr:row>
      <xdr:rowOff>38100</xdr:rowOff>
    </xdr:to>
    <xdr:graphicFrame macro="">
      <xdr:nvGraphicFramePr>
        <xdr:cNvPr id="19649179" name="차트 29">
          <a:extLst>
            <a:ext uri="{FF2B5EF4-FFF2-40B4-BE49-F238E27FC236}">
              <a16:creationId xmlns:a16="http://schemas.microsoft.com/office/drawing/2014/main" id="{A251C705-B42E-4ACB-86B4-E96B2A03A6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219075</xdr:colOff>
      <xdr:row>65</xdr:row>
      <xdr:rowOff>152400</xdr:rowOff>
    </xdr:from>
    <xdr:to>
      <xdr:col>22</xdr:col>
      <xdr:colOff>0</xdr:colOff>
      <xdr:row>77</xdr:row>
      <xdr:rowOff>123825</xdr:rowOff>
    </xdr:to>
    <xdr:grpSp>
      <xdr:nvGrpSpPr>
        <xdr:cNvPr id="19649180" name="그룹 42">
          <a:extLst>
            <a:ext uri="{FF2B5EF4-FFF2-40B4-BE49-F238E27FC236}">
              <a16:creationId xmlns:a16="http://schemas.microsoft.com/office/drawing/2014/main" id="{3991E1D3-01F1-4B34-9646-A8B5DAA1AB50}"/>
            </a:ext>
          </a:extLst>
        </xdr:cNvPr>
        <xdr:cNvGrpSpPr>
          <a:grpSpLocks/>
        </xdr:cNvGrpSpPr>
      </xdr:nvGrpSpPr>
      <xdr:grpSpPr bwMode="auto">
        <a:xfrm>
          <a:off x="218017" y="17501507"/>
          <a:ext cx="25689983" cy="3401483"/>
          <a:chOff x="250031" y="7463053"/>
          <a:chExt cx="20157281" cy="3086317"/>
        </a:xfrm>
      </xdr:grpSpPr>
      <xdr:graphicFrame macro="">
        <xdr:nvGraphicFramePr>
          <xdr:cNvPr id="19649219" name="차트 30">
            <a:extLst>
              <a:ext uri="{FF2B5EF4-FFF2-40B4-BE49-F238E27FC236}">
                <a16:creationId xmlns:a16="http://schemas.microsoft.com/office/drawing/2014/main" id="{C9AF8450-10B1-43F4-9949-933F3A6573CC}"/>
              </a:ext>
            </a:extLst>
          </xdr:cNvPr>
          <xdr:cNvGraphicFramePr>
            <a:graphicFrameLocks/>
          </xdr:cNvGraphicFramePr>
        </xdr:nvGraphicFramePr>
        <xdr:xfrm>
          <a:off x="250031" y="7474961"/>
          <a:ext cx="6677242" cy="3074409"/>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9649220" name="차트 31">
            <a:extLst>
              <a:ext uri="{FF2B5EF4-FFF2-40B4-BE49-F238E27FC236}">
                <a16:creationId xmlns:a16="http://schemas.microsoft.com/office/drawing/2014/main" id="{878DD591-9A4F-4977-95E2-CD585869D597}"/>
              </a:ext>
            </a:extLst>
          </xdr:cNvPr>
          <xdr:cNvGraphicFramePr>
            <a:graphicFrameLocks/>
          </xdr:cNvGraphicFramePr>
        </xdr:nvGraphicFramePr>
        <xdr:xfrm>
          <a:off x="6974900" y="7474959"/>
          <a:ext cx="6678323" cy="3074409"/>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9649221" name="차트 33">
            <a:extLst>
              <a:ext uri="{FF2B5EF4-FFF2-40B4-BE49-F238E27FC236}">
                <a16:creationId xmlns:a16="http://schemas.microsoft.com/office/drawing/2014/main" id="{968CDC8B-8F7A-4369-83D5-7AC941318E08}"/>
              </a:ext>
            </a:extLst>
          </xdr:cNvPr>
          <xdr:cNvGraphicFramePr>
            <a:graphicFrameLocks/>
          </xdr:cNvGraphicFramePr>
        </xdr:nvGraphicFramePr>
        <xdr:xfrm>
          <a:off x="13700846" y="7463053"/>
          <a:ext cx="6706466" cy="3074409"/>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0</xdr:col>
      <xdr:colOff>228600</xdr:colOff>
      <xdr:row>88</xdr:row>
      <xdr:rowOff>0</xdr:rowOff>
    </xdr:from>
    <xdr:to>
      <xdr:col>22</xdr:col>
      <xdr:colOff>0</xdr:colOff>
      <xdr:row>102</xdr:row>
      <xdr:rowOff>85725</xdr:rowOff>
    </xdr:to>
    <xdr:graphicFrame macro="">
      <xdr:nvGraphicFramePr>
        <xdr:cNvPr id="19649181" name="차트 40">
          <a:extLst>
            <a:ext uri="{FF2B5EF4-FFF2-40B4-BE49-F238E27FC236}">
              <a16:creationId xmlns:a16="http://schemas.microsoft.com/office/drawing/2014/main" id="{AB5F613E-F1B1-41EB-BF43-DC834D9204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161925</xdr:colOff>
      <xdr:row>113</xdr:row>
      <xdr:rowOff>180975</xdr:rowOff>
    </xdr:from>
    <xdr:to>
      <xdr:col>10</xdr:col>
      <xdr:colOff>409575</xdr:colOff>
      <xdr:row>126</xdr:row>
      <xdr:rowOff>28575</xdr:rowOff>
    </xdr:to>
    <xdr:graphicFrame macro="">
      <xdr:nvGraphicFramePr>
        <xdr:cNvPr id="19649182" name="차트 41">
          <a:extLst>
            <a:ext uri="{FF2B5EF4-FFF2-40B4-BE49-F238E27FC236}">
              <a16:creationId xmlns:a16="http://schemas.microsoft.com/office/drawing/2014/main" id="{C00A4417-8AA8-4558-89E6-01E67BE8B2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523875</xdr:colOff>
      <xdr:row>113</xdr:row>
      <xdr:rowOff>180975</xdr:rowOff>
    </xdr:from>
    <xdr:to>
      <xdr:col>22</xdr:col>
      <xdr:colOff>0</xdr:colOff>
      <xdr:row>126</xdr:row>
      <xdr:rowOff>9525</xdr:rowOff>
    </xdr:to>
    <xdr:graphicFrame macro="">
      <xdr:nvGraphicFramePr>
        <xdr:cNvPr id="19649183" name="차트 46">
          <a:extLst>
            <a:ext uri="{FF2B5EF4-FFF2-40B4-BE49-F238E27FC236}">
              <a16:creationId xmlns:a16="http://schemas.microsoft.com/office/drawing/2014/main" id="{6756703E-BB5F-4917-BF93-85A4D381D5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133350</xdr:colOff>
      <xdr:row>137</xdr:row>
      <xdr:rowOff>133350</xdr:rowOff>
    </xdr:from>
    <xdr:to>
      <xdr:col>22</xdr:col>
      <xdr:colOff>38100</xdr:colOff>
      <xdr:row>150</xdr:row>
      <xdr:rowOff>28575</xdr:rowOff>
    </xdr:to>
    <xdr:grpSp>
      <xdr:nvGrpSpPr>
        <xdr:cNvPr id="19649184" name="그룹 1">
          <a:extLst>
            <a:ext uri="{FF2B5EF4-FFF2-40B4-BE49-F238E27FC236}">
              <a16:creationId xmlns:a16="http://schemas.microsoft.com/office/drawing/2014/main" id="{C1BA9FB4-DBF6-4641-A12A-CD3AA1832CC3}"/>
            </a:ext>
          </a:extLst>
        </xdr:cNvPr>
        <xdr:cNvGrpSpPr>
          <a:grpSpLocks/>
        </xdr:cNvGrpSpPr>
      </xdr:nvGrpSpPr>
      <xdr:grpSpPr bwMode="auto">
        <a:xfrm>
          <a:off x="131233" y="37999912"/>
          <a:ext cx="25814867" cy="3611034"/>
          <a:chOff x="149678" y="26390435"/>
          <a:chExt cx="20788324" cy="3493325"/>
        </a:xfrm>
      </xdr:grpSpPr>
      <xdr:graphicFrame macro="">
        <xdr:nvGraphicFramePr>
          <xdr:cNvPr id="19649216" name="차트 30">
            <a:extLst>
              <a:ext uri="{FF2B5EF4-FFF2-40B4-BE49-F238E27FC236}">
                <a16:creationId xmlns:a16="http://schemas.microsoft.com/office/drawing/2014/main" id="{49395965-D3B0-42A7-9855-3DD47F5D603A}"/>
              </a:ext>
            </a:extLst>
          </xdr:cNvPr>
          <xdr:cNvGraphicFramePr>
            <a:graphicFrameLocks/>
          </xdr:cNvGraphicFramePr>
        </xdr:nvGraphicFramePr>
        <xdr:xfrm>
          <a:off x="149678" y="26390436"/>
          <a:ext cx="6883061" cy="3493324"/>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19649217" name="차트 30">
            <a:extLst>
              <a:ext uri="{FF2B5EF4-FFF2-40B4-BE49-F238E27FC236}">
                <a16:creationId xmlns:a16="http://schemas.microsoft.com/office/drawing/2014/main" id="{F61D7490-BC1B-430B-8F36-128E3A3EC18E}"/>
              </a:ext>
            </a:extLst>
          </xdr:cNvPr>
          <xdr:cNvGraphicFramePr>
            <a:graphicFrameLocks/>
          </xdr:cNvGraphicFramePr>
        </xdr:nvGraphicFramePr>
        <xdr:xfrm>
          <a:off x="7111587" y="26390435"/>
          <a:ext cx="6834817" cy="3493324"/>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19649218" name="차트 30">
            <a:extLst>
              <a:ext uri="{FF2B5EF4-FFF2-40B4-BE49-F238E27FC236}">
                <a16:creationId xmlns:a16="http://schemas.microsoft.com/office/drawing/2014/main" id="{8FAE31F0-F07D-4904-B83A-5024DC8606E5}"/>
              </a:ext>
            </a:extLst>
          </xdr:cNvPr>
          <xdr:cNvGraphicFramePr>
            <a:graphicFrameLocks/>
          </xdr:cNvGraphicFramePr>
        </xdr:nvGraphicFramePr>
        <xdr:xfrm>
          <a:off x="14078445" y="26390435"/>
          <a:ext cx="6859557" cy="3493324"/>
        </xdr:xfrm>
        <a:graphic>
          <a:graphicData uri="http://schemas.openxmlformats.org/drawingml/2006/chart">
            <c:chart xmlns:c="http://schemas.openxmlformats.org/drawingml/2006/chart" xmlns:r="http://schemas.openxmlformats.org/officeDocument/2006/relationships" r:id="rId11"/>
          </a:graphicData>
        </a:graphic>
      </xdr:graphicFrame>
    </xdr:grpSp>
    <xdr:clientData/>
  </xdr:twoCellAnchor>
  <xdr:twoCellAnchor>
    <xdr:from>
      <xdr:col>0</xdr:col>
      <xdr:colOff>200025</xdr:colOff>
      <xdr:row>162</xdr:row>
      <xdr:rowOff>0</xdr:rowOff>
    </xdr:from>
    <xdr:to>
      <xdr:col>6</xdr:col>
      <xdr:colOff>962025</xdr:colOff>
      <xdr:row>174</xdr:row>
      <xdr:rowOff>171450</xdr:rowOff>
    </xdr:to>
    <xdr:graphicFrame macro="">
      <xdr:nvGraphicFramePr>
        <xdr:cNvPr id="19649185" name="차트 30">
          <a:extLst>
            <a:ext uri="{FF2B5EF4-FFF2-40B4-BE49-F238E27FC236}">
              <a16:creationId xmlns:a16="http://schemas.microsoft.com/office/drawing/2014/main" id="{F47753D0-FCCC-43BD-B83C-654AF716ED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1066800</xdr:colOff>
      <xdr:row>161</xdr:row>
      <xdr:rowOff>276225</xdr:rowOff>
    </xdr:from>
    <xdr:to>
      <xdr:col>13</xdr:col>
      <xdr:colOff>561975</xdr:colOff>
      <xdr:row>174</xdr:row>
      <xdr:rowOff>161925</xdr:rowOff>
    </xdr:to>
    <xdr:graphicFrame macro="">
      <xdr:nvGraphicFramePr>
        <xdr:cNvPr id="19649186" name="차트 30">
          <a:extLst>
            <a:ext uri="{FF2B5EF4-FFF2-40B4-BE49-F238E27FC236}">
              <a16:creationId xmlns:a16="http://schemas.microsoft.com/office/drawing/2014/main" id="{D1D4C4CB-FB67-464B-B92D-FC84CFC272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714375</xdr:colOff>
      <xdr:row>161</xdr:row>
      <xdr:rowOff>238125</xdr:rowOff>
    </xdr:from>
    <xdr:to>
      <xdr:col>21</xdr:col>
      <xdr:colOff>828675</xdr:colOff>
      <xdr:row>174</xdr:row>
      <xdr:rowOff>123825</xdr:rowOff>
    </xdr:to>
    <xdr:graphicFrame macro="">
      <xdr:nvGraphicFramePr>
        <xdr:cNvPr id="19649187" name="차트 30">
          <a:extLst>
            <a:ext uri="{FF2B5EF4-FFF2-40B4-BE49-F238E27FC236}">
              <a16:creationId xmlns:a16="http://schemas.microsoft.com/office/drawing/2014/main" id="{6AA4A59E-5C9C-4EDA-BB60-E4D13BA135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142875</xdr:colOff>
      <xdr:row>265</xdr:row>
      <xdr:rowOff>161925</xdr:rowOff>
    </xdr:from>
    <xdr:to>
      <xdr:col>21</xdr:col>
      <xdr:colOff>866775</xdr:colOff>
      <xdr:row>277</xdr:row>
      <xdr:rowOff>123825</xdr:rowOff>
    </xdr:to>
    <xdr:grpSp>
      <xdr:nvGrpSpPr>
        <xdr:cNvPr id="19649188" name="그룹 1">
          <a:extLst>
            <a:ext uri="{FF2B5EF4-FFF2-40B4-BE49-F238E27FC236}">
              <a16:creationId xmlns:a16="http://schemas.microsoft.com/office/drawing/2014/main" id="{D023444A-DA88-4F5A-86EE-34A2F9B4123C}"/>
            </a:ext>
          </a:extLst>
        </xdr:cNvPr>
        <xdr:cNvGrpSpPr>
          <a:grpSpLocks/>
        </xdr:cNvGrpSpPr>
      </xdr:nvGrpSpPr>
      <xdr:grpSpPr bwMode="auto">
        <a:xfrm>
          <a:off x="141817" y="74648483"/>
          <a:ext cx="25611364" cy="3390900"/>
          <a:chOff x="161925" y="61000698"/>
          <a:chExt cx="22334393" cy="3494809"/>
        </a:xfrm>
      </xdr:grpSpPr>
      <xdr:graphicFrame macro="">
        <xdr:nvGraphicFramePr>
          <xdr:cNvPr id="19649213" name="차트 30">
            <a:extLst>
              <a:ext uri="{FF2B5EF4-FFF2-40B4-BE49-F238E27FC236}">
                <a16:creationId xmlns:a16="http://schemas.microsoft.com/office/drawing/2014/main" id="{02E1E13F-8914-4FE8-91E4-810BECD8826A}"/>
              </a:ext>
            </a:extLst>
          </xdr:cNvPr>
          <xdr:cNvGraphicFramePr>
            <a:graphicFrameLocks/>
          </xdr:cNvGraphicFramePr>
        </xdr:nvGraphicFramePr>
        <xdr:xfrm>
          <a:off x="161925" y="61000698"/>
          <a:ext cx="7302211" cy="3494809"/>
        </xdr:xfrm>
        <a:graphic>
          <a:graphicData uri="http://schemas.openxmlformats.org/drawingml/2006/chart">
            <c:chart xmlns:c="http://schemas.openxmlformats.org/drawingml/2006/chart" xmlns:r="http://schemas.openxmlformats.org/officeDocument/2006/relationships" r:id="rId15"/>
          </a:graphicData>
        </a:graphic>
      </xdr:graphicFrame>
      <xdr:graphicFrame macro="">
        <xdr:nvGraphicFramePr>
          <xdr:cNvPr id="19649214" name="차트 30">
            <a:extLst>
              <a:ext uri="{FF2B5EF4-FFF2-40B4-BE49-F238E27FC236}">
                <a16:creationId xmlns:a16="http://schemas.microsoft.com/office/drawing/2014/main" id="{D9211F7E-637B-460F-AD75-F5060A051172}"/>
              </a:ext>
            </a:extLst>
          </xdr:cNvPr>
          <xdr:cNvGraphicFramePr>
            <a:graphicFrameLocks/>
          </xdr:cNvGraphicFramePr>
        </xdr:nvGraphicFramePr>
        <xdr:xfrm>
          <a:off x="7550727" y="61000698"/>
          <a:ext cx="7169727" cy="3494809"/>
        </xdr:xfrm>
        <a:graphic>
          <a:graphicData uri="http://schemas.openxmlformats.org/drawingml/2006/chart">
            <c:chart xmlns:c="http://schemas.openxmlformats.org/drawingml/2006/chart" xmlns:r="http://schemas.openxmlformats.org/officeDocument/2006/relationships" r:id="rId16"/>
          </a:graphicData>
        </a:graphic>
      </xdr:graphicFrame>
      <xdr:graphicFrame macro="">
        <xdr:nvGraphicFramePr>
          <xdr:cNvPr id="19649215" name="차트 33">
            <a:extLst>
              <a:ext uri="{FF2B5EF4-FFF2-40B4-BE49-F238E27FC236}">
                <a16:creationId xmlns:a16="http://schemas.microsoft.com/office/drawing/2014/main" id="{DBAEEAD8-7F65-4B3F-842D-02313DE4FFD1}"/>
              </a:ext>
            </a:extLst>
          </xdr:cNvPr>
          <xdr:cNvGraphicFramePr>
            <a:graphicFrameLocks/>
          </xdr:cNvGraphicFramePr>
        </xdr:nvGraphicFramePr>
        <xdr:xfrm>
          <a:off x="14841681" y="61000698"/>
          <a:ext cx="7654637" cy="3494809"/>
        </xdr:xfrm>
        <a:graphic>
          <a:graphicData uri="http://schemas.openxmlformats.org/drawingml/2006/chart">
            <c:chart xmlns:c="http://schemas.openxmlformats.org/drawingml/2006/chart" xmlns:r="http://schemas.openxmlformats.org/officeDocument/2006/relationships" r:id="rId17"/>
          </a:graphicData>
        </a:graphic>
      </xdr:graphicFrame>
    </xdr:grpSp>
    <xdr:clientData/>
  </xdr:twoCellAnchor>
  <xdr:twoCellAnchor>
    <xdr:from>
      <xdr:col>10</xdr:col>
      <xdr:colOff>666750</xdr:colOff>
      <xdr:row>365</xdr:row>
      <xdr:rowOff>28575</xdr:rowOff>
    </xdr:from>
    <xdr:to>
      <xdr:col>22</xdr:col>
      <xdr:colOff>0</xdr:colOff>
      <xdr:row>378</xdr:row>
      <xdr:rowOff>76200</xdr:rowOff>
    </xdr:to>
    <xdr:graphicFrame macro="">
      <xdr:nvGraphicFramePr>
        <xdr:cNvPr id="19649189" name="차트 41">
          <a:extLst>
            <a:ext uri="{FF2B5EF4-FFF2-40B4-BE49-F238E27FC236}">
              <a16:creationId xmlns:a16="http://schemas.microsoft.com/office/drawing/2014/main" id="{A37B1E80-0576-4D95-9099-3C9339C141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0</xdr:col>
      <xdr:colOff>104775</xdr:colOff>
      <xdr:row>365</xdr:row>
      <xdr:rowOff>19050</xdr:rowOff>
    </xdr:from>
    <xdr:to>
      <xdr:col>10</xdr:col>
      <xdr:colOff>628650</xdr:colOff>
      <xdr:row>378</xdr:row>
      <xdr:rowOff>76200</xdr:rowOff>
    </xdr:to>
    <xdr:graphicFrame macro="">
      <xdr:nvGraphicFramePr>
        <xdr:cNvPr id="19649190" name="차트 41">
          <a:extLst>
            <a:ext uri="{FF2B5EF4-FFF2-40B4-BE49-F238E27FC236}">
              <a16:creationId xmlns:a16="http://schemas.microsoft.com/office/drawing/2014/main" id="{351B6E65-8FE4-42DE-A63A-99C27F53A7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7</xdr:col>
      <xdr:colOff>200025</xdr:colOff>
      <xdr:row>50</xdr:row>
      <xdr:rowOff>104775</xdr:rowOff>
    </xdr:from>
    <xdr:to>
      <xdr:col>14</xdr:col>
      <xdr:colOff>161925</xdr:colOff>
      <xdr:row>62</xdr:row>
      <xdr:rowOff>28575</xdr:rowOff>
    </xdr:to>
    <xdr:graphicFrame macro="">
      <xdr:nvGraphicFramePr>
        <xdr:cNvPr id="19649191" name="차트 31">
          <a:extLst>
            <a:ext uri="{FF2B5EF4-FFF2-40B4-BE49-F238E27FC236}">
              <a16:creationId xmlns:a16="http://schemas.microsoft.com/office/drawing/2014/main" id="{6DC05405-2C30-4900-ABCE-4A589DE280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14</xdr:col>
      <xdr:colOff>200025</xdr:colOff>
      <xdr:row>50</xdr:row>
      <xdr:rowOff>123825</xdr:rowOff>
    </xdr:from>
    <xdr:to>
      <xdr:col>21</xdr:col>
      <xdr:colOff>885825</xdr:colOff>
      <xdr:row>62</xdr:row>
      <xdr:rowOff>28575</xdr:rowOff>
    </xdr:to>
    <xdr:graphicFrame macro="">
      <xdr:nvGraphicFramePr>
        <xdr:cNvPr id="19649192" name="차트 33">
          <a:extLst>
            <a:ext uri="{FF2B5EF4-FFF2-40B4-BE49-F238E27FC236}">
              <a16:creationId xmlns:a16="http://schemas.microsoft.com/office/drawing/2014/main" id="{A9CE4838-F8E1-4CA8-A80F-1307EB1749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0</xdr:col>
      <xdr:colOff>200025</xdr:colOff>
      <xdr:row>187</xdr:row>
      <xdr:rowOff>0</xdr:rowOff>
    </xdr:from>
    <xdr:to>
      <xdr:col>7</xdr:col>
      <xdr:colOff>161925</xdr:colOff>
      <xdr:row>199</xdr:row>
      <xdr:rowOff>171450</xdr:rowOff>
    </xdr:to>
    <xdr:graphicFrame macro="">
      <xdr:nvGraphicFramePr>
        <xdr:cNvPr id="19649193" name="차트 30">
          <a:extLst>
            <a:ext uri="{FF2B5EF4-FFF2-40B4-BE49-F238E27FC236}">
              <a16:creationId xmlns:a16="http://schemas.microsoft.com/office/drawing/2014/main" id="{4331BB5E-0B41-4C7B-8BE3-A01273F3E5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7</xdr:col>
      <xdr:colOff>228600</xdr:colOff>
      <xdr:row>187</xdr:row>
      <xdr:rowOff>0</xdr:rowOff>
    </xdr:from>
    <xdr:to>
      <xdr:col>13</xdr:col>
      <xdr:colOff>838200</xdr:colOff>
      <xdr:row>199</xdr:row>
      <xdr:rowOff>171450</xdr:rowOff>
    </xdr:to>
    <xdr:graphicFrame macro="">
      <xdr:nvGraphicFramePr>
        <xdr:cNvPr id="19649194" name="차트 30">
          <a:extLst>
            <a:ext uri="{FF2B5EF4-FFF2-40B4-BE49-F238E27FC236}">
              <a16:creationId xmlns:a16="http://schemas.microsoft.com/office/drawing/2014/main" id="{560A428C-6414-415B-AD30-7C58ACD18B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14</xdr:col>
      <xdr:colOff>66675</xdr:colOff>
      <xdr:row>187</xdr:row>
      <xdr:rowOff>0</xdr:rowOff>
    </xdr:from>
    <xdr:to>
      <xdr:col>22</xdr:col>
      <xdr:colOff>9525</xdr:colOff>
      <xdr:row>199</xdr:row>
      <xdr:rowOff>171450</xdr:rowOff>
    </xdr:to>
    <xdr:graphicFrame macro="">
      <xdr:nvGraphicFramePr>
        <xdr:cNvPr id="19649195" name="차트 30">
          <a:extLst>
            <a:ext uri="{FF2B5EF4-FFF2-40B4-BE49-F238E27FC236}">
              <a16:creationId xmlns:a16="http://schemas.microsoft.com/office/drawing/2014/main" id="{83D65EE5-CDE7-4B5F-B13B-1B883C7B4D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0</xdr:col>
      <xdr:colOff>200025</xdr:colOff>
      <xdr:row>212</xdr:row>
      <xdr:rowOff>0</xdr:rowOff>
    </xdr:from>
    <xdr:to>
      <xdr:col>7</xdr:col>
      <xdr:colOff>161925</xdr:colOff>
      <xdr:row>224</xdr:row>
      <xdr:rowOff>171450</xdr:rowOff>
    </xdr:to>
    <xdr:graphicFrame macro="">
      <xdr:nvGraphicFramePr>
        <xdr:cNvPr id="19649196" name="차트 30">
          <a:extLst>
            <a:ext uri="{FF2B5EF4-FFF2-40B4-BE49-F238E27FC236}">
              <a16:creationId xmlns:a16="http://schemas.microsoft.com/office/drawing/2014/main" id="{6770F047-9F63-48D7-87B7-C32C420CAC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7</xdr:col>
      <xdr:colOff>228600</xdr:colOff>
      <xdr:row>212</xdr:row>
      <xdr:rowOff>0</xdr:rowOff>
    </xdr:from>
    <xdr:to>
      <xdr:col>13</xdr:col>
      <xdr:colOff>838200</xdr:colOff>
      <xdr:row>224</xdr:row>
      <xdr:rowOff>171450</xdr:rowOff>
    </xdr:to>
    <xdr:graphicFrame macro="">
      <xdr:nvGraphicFramePr>
        <xdr:cNvPr id="19649197" name="차트 30">
          <a:extLst>
            <a:ext uri="{FF2B5EF4-FFF2-40B4-BE49-F238E27FC236}">
              <a16:creationId xmlns:a16="http://schemas.microsoft.com/office/drawing/2014/main" id="{4E028705-301E-4B60-8CE0-706A08BC22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14</xdr:col>
      <xdr:colOff>66675</xdr:colOff>
      <xdr:row>212</xdr:row>
      <xdr:rowOff>0</xdr:rowOff>
    </xdr:from>
    <xdr:to>
      <xdr:col>22</xdr:col>
      <xdr:colOff>9525</xdr:colOff>
      <xdr:row>224</xdr:row>
      <xdr:rowOff>171450</xdr:rowOff>
    </xdr:to>
    <xdr:graphicFrame macro="">
      <xdr:nvGraphicFramePr>
        <xdr:cNvPr id="19649198" name="차트 30">
          <a:extLst>
            <a:ext uri="{FF2B5EF4-FFF2-40B4-BE49-F238E27FC236}">
              <a16:creationId xmlns:a16="http://schemas.microsoft.com/office/drawing/2014/main" id="{DCEF3E7D-F36D-451E-B2AB-FE40F8A093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0</xdr:col>
      <xdr:colOff>161925</xdr:colOff>
      <xdr:row>289</xdr:row>
      <xdr:rowOff>180975</xdr:rowOff>
    </xdr:from>
    <xdr:to>
      <xdr:col>10</xdr:col>
      <xdr:colOff>409575</xdr:colOff>
      <xdr:row>302</xdr:row>
      <xdr:rowOff>28575</xdr:rowOff>
    </xdr:to>
    <xdr:graphicFrame macro="">
      <xdr:nvGraphicFramePr>
        <xdr:cNvPr id="19649199" name="차트 41">
          <a:extLst>
            <a:ext uri="{FF2B5EF4-FFF2-40B4-BE49-F238E27FC236}">
              <a16:creationId xmlns:a16="http://schemas.microsoft.com/office/drawing/2014/main" id="{184368B8-9E23-4A4C-B496-F95EEAD558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10</xdr:col>
      <xdr:colOff>523875</xdr:colOff>
      <xdr:row>289</xdr:row>
      <xdr:rowOff>180975</xdr:rowOff>
    </xdr:from>
    <xdr:to>
      <xdr:col>22</xdr:col>
      <xdr:colOff>0</xdr:colOff>
      <xdr:row>302</xdr:row>
      <xdr:rowOff>9525</xdr:rowOff>
    </xdr:to>
    <xdr:graphicFrame macro="">
      <xdr:nvGraphicFramePr>
        <xdr:cNvPr id="19649200" name="차트 46">
          <a:extLst>
            <a:ext uri="{FF2B5EF4-FFF2-40B4-BE49-F238E27FC236}">
              <a16:creationId xmlns:a16="http://schemas.microsoft.com/office/drawing/2014/main" id="{8A76FE0C-67FE-41AA-895E-19AAE79ACD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0</xdr:col>
      <xdr:colOff>161925</xdr:colOff>
      <xdr:row>314</xdr:row>
      <xdr:rowOff>180975</xdr:rowOff>
    </xdr:from>
    <xdr:to>
      <xdr:col>10</xdr:col>
      <xdr:colOff>409575</xdr:colOff>
      <xdr:row>327</xdr:row>
      <xdr:rowOff>28575</xdr:rowOff>
    </xdr:to>
    <xdr:graphicFrame macro="">
      <xdr:nvGraphicFramePr>
        <xdr:cNvPr id="19649201" name="차트 41">
          <a:extLst>
            <a:ext uri="{FF2B5EF4-FFF2-40B4-BE49-F238E27FC236}">
              <a16:creationId xmlns:a16="http://schemas.microsoft.com/office/drawing/2014/main" id="{4C4247D9-60E1-402C-B195-CAC098B55B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10</xdr:col>
      <xdr:colOff>523875</xdr:colOff>
      <xdr:row>314</xdr:row>
      <xdr:rowOff>180975</xdr:rowOff>
    </xdr:from>
    <xdr:to>
      <xdr:col>22</xdr:col>
      <xdr:colOff>0</xdr:colOff>
      <xdr:row>327</xdr:row>
      <xdr:rowOff>9525</xdr:rowOff>
    </xdr:to>
    <xdr:graphicFrame macro="">
      <xdr:nvGraphicFramePr>
        <xdr:cNvPr id="19649202" name="차트 46">
          <a:extLst>
            <a:ext uri="{FF2B5EF4-FFF2-40B4-BE49-F238E27FC236}">
              <a16:creationId xmlns:a16="http://schemas.microsoft.com/office/drawing/2014/main" id="{132EE5D0-2963-4065-A4F1-F33BA08B35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0</xdr:col>
      <xdr:colOff>171450</xdr:colOff>
      <xdr:row>344</xdr:row>
      <xdr:rowOff>238125</xdr:rowOff>
    </xdr:from>
    <xdr:to>
      <xdr:col>10</xdr:col>
      <xdr:colOff>419100</xdr:colOff>
      <xdr:row>357</xdr:row>
      <xdr:rowOff>85725</xdr:rowOff>
    </xdr:to>
    <xdr:graphicFrame macro="">
      <xdr:nvGraphicFramePr>
        <xdr:cNvPr id="19649203" name="차트 41">
          <a:extLst>
            <a:ext uri="{FF2B5EF4-FFF2-40B4-BE49-F238E27FC236}">
              <a16:creationId xmlns:a16="http://schemas.microsoft.com/office/drawing/2014/main" id="{D8018489-F223-430E-A0DB-B95957EC44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10</xdr:col>
      <xdr:colOff>523875</xdr:colOff>
      <xdr:row>344</xdr:row>
      <xdr:rowOff>238125</xdr:rowOff>
    </xdr:from>
    <xdr:to>
      <xdr:col>21</xdr:col>
      <xdr:colOff>885825</xdr:colOff>
      <xdr:row>357</xdr:row>
      <xdr:rowOff>66675</xdr:rowOff>
    </xdr:to>
    <xdr:graphicFrame macro="">
      <xdr:nvGraphicFramePr>
        <xdr:cNvPr id="19649204" name="차트 46">
          <a:extLst>
            <a:ext uri="{FF2B5EF4-FFF2-40B4-BE49-F238E27FC236}">
              <a16:creationId xmlns:a16="http://schemas.microsoft.com/office/drawing/2014/main" id="{FA609776-30D0-4515-A16C-1A49D80DDE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0</xdr:col>
      <xdr:colOff>104775</xdr:colOff>
      <xdr:row>387</xdr:row>
      <xdr:rowOff>19050</xdr:rowOff>
    </xdr:from>
    <xdr:to>
      <xdr:col>10</xdr:col>
      <xdr:colOff>419100</xdr:colOff>
      <xdr:row>400</xdr:row>
      <xdr:rowOff>76200</xdr:rowOff>
    </xdr:to>
    <xdr:graphicFrame macro="">
      <xdr:nvGraphicFramePr>
        <xdr:cNvPr id="19649205" name="차트 41">
          <a:extLst>
            <a:ext uri="{FF2B5EF4-FFF2-40B4-BE49-F238E27FC236}">
              <a16:creationId xmlns:a16="http://schemas.microsoft.com/office/drawing/2014/main" id="{5E9E95B4-ED8C-485B-9340-14C61EB3F3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10</xdr:col>
      <xdr:colOff>466725</xdr:colOff>
      <xdr:row>387</xdr:row>
      <xdr:rowOff>0</xdr:rowOff>
    </xdr:from>
    <xdr:to>
      <xdr:col>22</xdr:col>
      <xdr:colOff>38100</xdr:colOff>
      <xdr:row>400</xdr:row>
      <xdr:rowOff>57150</xdr:rowOff>
    </xdr:to>
    <xdr:graphicFrame macro="">
      <xdr:nvGraphicFramePr>
        <xdr:cNvPr id="19649206" name="차트 41">
          <a:extLst>
            <a:ext uri="{FF2B5EF4-FFF2-40B4-BE49-F238E27FC236}">
              <a16:creationId xmlns:a16="http://schemas.microsoft.com/office/drawing/2014/main" id="{5369924A-0140-42BB-805C-8850F98A06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0</xdr:col>
      <xdr:colOff>200025</xdr:colOff>
      <xdr:row>237</xdr:row>
      <xdr:rowOff>0</xdr:rowOff>
    </xdr:from>
    <xdr:to>
      <xdr:col>7</xdr:col>
      <xdr:colOff>161925</xdr:colOff>
      <xdr:row>249</xdr:row>
      <xdr:rowOff>171450</xdr:rowOff>
    </xdr:to>
    <xdr:graphicFrame macro="">
      <xdr:nvGraphicFramePr>
        <xdr:cNvPr id="19649207" name="차트 30">
          <a:extLst>
            <a:ext uri="{FF2B5EF4-FFF2-40B4-BE49-F238E27FC236}">
              <a16:creationId xmlns:a16="http://schemas.microsoft.com/office/drawing/2014/main" id="{8BE021E2-FEF4-4FDD-BD16-5C74C00B57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7</xdr:col>
      <xdr:colOff>228600</xdr:colOff>
      <xdr:row>237</xdr:row>
      <xdr:rowOff>0</xdr:rowOff>
    </xdr:from>
    <xdr:to>
      <xdr:col>13</xdr:col>
      <xdr:colOff>838200</xdr:colOff>
      <xdr:row>249</xdr:row>
      <xdr:rowOff>171450</xdr:rowOff>
    </xdr:to>
    <xdr:graphicFrame macro="">
      <xdr:nvGraphicFramePr>
        <xdr:cNvPr id="19649208" name="차트 30">
          <a:extLst>
            <a:ext uri="{FF2B5EF4-FFF2-40B4-BE49-F238E27FC236}">
              <a16:creationId xmlns:a16="http://schemas.microsoft.com/office/drawing/2014/main" id="{7FCF555F-99C7-4843-81C7-371595F4FF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14</xdr:col>
      <xdr:colOff>66675</xdr:colOff>
      <xdr:row>237</xdr:row>
      <xdr:rowOff>0</xdr:rowOff>
    </xdr:from>
    <xdr:to>
      <xdr:col>22</xdr:col>
      <xdr:colOff>9525</xdr:colOff>
      <xdr:row>249</xdr:row>
      <xdr:rowOff>171450</xdr:rowOff>
    </xdr:to>
    <xdr:graphicFrame macro="">
      <xdr:nvGraphicFramePr>
        <xdr:cNvPr id="19649209" name="차트 30">
          <a:extLst>
            <a:ext uri="{FF2B5EF4-FFF2-40B4-BE49-F238E27FC236}">
              <a16:creationId xmlns:a16="http://schemas.microsoft.com/office/drawing/2014/main" id="{7D350CC2-9795-4665-B647-8879ED46CD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twoCellAnchor>
  <xdr:twoCellAnchor>
    <xdr:from>
      <xdr:col>0</xdr:col>
      <xdr:colOff>95250</xdr:colOff>
      <xdr:row>11</xdr:row>
      <xdr:rowOff>276225</xdr:rowOff>
    </xdr:from>
    <xdr:to>
      <xdr:col>7</xdr:col>
      <xdr:colOff>190500</xdr:colOff>
      <xdr:row>31</xdr:row>
      <xdr:rowOff>104775</xdr:rowOff>
    </xdr:to>
    <xdr:graphicFrame macro="">
      <xdr:nvGraphicFramePr>
        <xdr:cNvPr id="19649210" name="차트 30">
          <a:extLst>
            <a:ext uri="{FF2B5EF4-FFF2-40B4-BE49-F238E27FC236}">
              <a16:creationId xmlns:a16="http://schemas.microsoft.com/office/drawing/2014/main" id="{21252850-DDE2-4F9F-93F4-26F55D9BF8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twoCellAnchor>
    <xdr:from>
      <xdr:col>7</xdr:col>
      <xdr:colOff>295275</xdr:colOff>
      <xdr:row>11</xdr:row>
      <xdr:rowOff>276225</xdr:rowOff>
    </xdr:from>
    <xdr:to>
      <xdr:col>14</xdr:col>
      <xdr:colOff>723900</xdr:colOff>
      <xdr:row>31</xdr:row>
      <xdr:rowOff>104775</xdr:rowOff>
    </xdr:to>
    <xdr:graphicFrame macro="">
      <xdr:nvGraphicFramePr>
        <xdr:cNvPr id="19649211" name="차트 33">
          <a:extLst>
            <a:ext uri="{FF2B5EF4-FFF2-40B4-BE49-F238E27FC236}">
              <a16:creationId xmlns:a16="http://schemas.microsoft.com/office/drawing/2014/main" id="{0E50BE32-F7D8-43C9-9C74-DAA1E29FB4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0"/>
        </a:graphicData>
      </a:graphic>
    </xdr:graphicFrame>
    <xdr:clientData/>
  </xdr:twoCellAnchor>
  <xdr:twoCellAnchor>
    <xdr:from>
      <xdr:col>14</xdr:col>
      <xdr:colOff>752475</xdr:colOff>
      <xdr:row>11</xdr:row>
      <xdr:rowOff>276225</xdr:rowOff>
    </xdr:from>
    <xdr:to>
      <xdr:col>22</xdr:col>
      <xdr:colOff>304800</xdr:colOff>
      <xdr:row>31</xdr:row>
      <xdr:rowOff>104775</xdr:rowOff>
    </xdr:to>
    <xdr:graphicFrame macro="">
      <xdr:nvGraphicFramePr>
        <xdr:cNvPr id="19649212" name="차트 33">
          <a:extLst>
            <a:ext uri="{FF2B5EF4-FFF2-40B4-BE49-F238E27FC236}">
              <a16:creationId xmlns:a16="http://schemas.microsoft.com/office/drawing/2014/main" id="{A32C687A-3AF0-40E1-A769-2F231DC76A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1"/>
        </a:graphicData>
      </a:graphic>
    </xdr:graphicFrame>
    <xdr:clientData/>
  </xdr:twoCellAnchor>
  <xdr:twoCellAnchor>
    <xdr:from>
      <xdr:col>0</xdr:col>
      <xdr:colOff>173181</xdr:colOff>
      <xdr:row>407</xdr:row>
      <xdr:rowOff>48490</xdr:rowOff>
    </xdr:from>
    <xdr:to>
      <xdr:col>10</xdr:col>
      <xdr:colOff>498762</xdr:colOff>
      <xdr:row>419</xdr:row>
      <xdr:rowOff>131617</xdr:rowOff>
    </xdr:to>
    <xdr:graphicFrame macro="">
      <xdr:nvGraphicFramePr>
        <xdr:cNvPr id="6" name="차트 5">
          <a:extLst>
            <a:ext uri="{FF2B5EF4-FFF2-40B4-BE49-F238E27FC236}">
              <a16:creationId xmlns:a16="http://schemas.microsoft.com/office/drawing/2014/main" id="{A408AC25-D804-5C98-F469-F3DFEB9FEA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2"/>
        </a:graphicData>
      </a:graphic>
    </xdr:graphicFrame>
    <xdr:clientData/>
  </xdr:twoCellAnchor>
  <xdr:twoCellAnchor>
    <xdr:from>
      <xdr:col>0</xdr:col>
      <xdr:colOff>173181</xdr:colOff>
      <xdr:row>429</xdr:row>
      <xdr:rowOff>20782</xdr:rowOff>
    </xdr:from>
    <xdr:to>
      <xdr:col>10</xdr:col>
      <xdr:colOff>734290</xdr:colOff>
      <xdr:row>441</xdr:row>
      <xdr:rowOff>103909</xdr:rowOff>
    </xdr:to>
    <xdr:graphicFrame macro="">
      <xdr:nvGraphicFramePr>
        <xdr:cNvPr id="11" name="차트 10">
          <a:extLst>
            <a:ext uri="{FF2B5EF4-FFF2-40B4-BE49-F238E27FC236}">
              <a16:creationId xmlns:a16="http://schemas.microsoft.com/office/drawing/2014/main" id="{692CF00A-32C9-5901-0941-A4AB53ADF6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3"/>
        </a:graphicData>
      </a:graphic>
    </xdr:graphicFrame>
    <xdr:clientData/>
  </xdr:twoCellAnchor>
  <xdr:twoCellAnchor>
    <xdr:from>
      <xdr:col>10</xdr:col>
      <xdr:colOff>852054</xdr:colOff>
      <xdr:row>429</xdr:row>
      <xdr:rowOff>34637</xdr:rowOff>
    </xdr:from>
    <xdr:to>
      <xdr:col>22</xdr:col>
      <xdr:colOff>55419</xdr:colOff>
      <xdr:row>441</xdr:row>
      <xdr:rowOff>117764</xdr:rowOff>
    </xdr:to>
    <xdr:graphicFrame macro="">
      <xdr:nvGraphicFramePr>
        <xdr:cNvPr id="12" name="차트 11">
          <a:extLst>
            <a:ext uri="{FF2B5EF4-FFF2-40B4-BE49-F238E27FC236}">
              <a16:creationId xmlns:a16="http://schemas.microsoft.com/office/drawing/2014/main" id="{E2401271-F0E6-7C8F-1135-46327CF965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17</xdr:col>
      <xdr:colOff>95250</xdr:colOff>
      <xdr:row>4</xdr:row>
      <xdr:rowOff>0</xdr:rowOff>
    </xdr:from>
    <xdr:to>
      <xdr:col>21</xdr:col>
      <xdr:colOff>1162050</xdr:colOff>
      <xdr:row>16</xdr:row>
      <xdr:rowOff>180975</xdr:rowOff>
    </xdr:to>
    <xdr:graphicFrame macro="">
      <xdr:nvGraphicFramePr>
        <xdr:cNvPr id="19304887" name="차트 1">
          <a:extLst>
            <a:ext uri="{FF2B5EF4-FFF2-40B4-BE49-F238E27FC236}">
              <a16:creationId xmlns:a16="http://schemas.microsoft.com/office/drawing/2014/main" id="{00E4247D-1911-438C-8C9E-51D2F3D966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95250</xdr:colOff>
      <xdr:row>16</xdr:row>
      <xdr:rowOff>276225</xdr:rowOff>
    </xdr:from>
    <xdr:to>
      <xdr:col>21</xdr:col>
      <xdr:colOff>1181100</xdr:colOff>
      <xdr:row>28</xdr:row>
      <xdr:rowOff>28575</xdr:rowOff>
    </xdr:to>
    <xdr:graphicFrame macro="">
      <xdr:nvGraphicFramePr>
        <xdr:cNvPr id="19304888" name="차트 4">
          <a:extLst>
            <a:ext uri="{FF2B5EF4-FFF2-40B4-BE49-F238E27FC236}">
              <a16:creationId xmlns:a16="http://schemas.microsoft.com/office/drawing/2014/main" id="{FB652D0E-80CF-4ED5-A212-A31C1A261A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40</xdr:col>
      <xdr:colOff>295275</xdr:colOff>
      <xdr:row>18</xdr:row>
      <xdr:rowOff>190500</xdr:rowOff>
    </xdr:from>
    <xdr:to>
      <xdr:col>46</xdr:col>
      <xdr:colOff>0</xdr:colOff>
      <xdr:row>29</xdr:row>
      <xdr:rowOff>0</xdr:rowOff>
    </xdr:to>
    <xdr:graphicFrame macro="">
      <xdr:nvGraphicFramePr>
        <xdr:cNvPr id="19304889" name="차트 2">
          <a:extLst>
            <a:ext uri="{FF2B5EF4-FFF2-40B4-BE49-F238E27FC236}">
              <a16:creationId xmlns:a16="http://schemas.microsoft.com/office/drawing/2014/main" id="{645E685F-0265-4BBE-8137-87C4098188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1104900</xdr:colOff>
      <xdr:row>104</xdr:row>
      <xdr:rowOff>247650</xdr:rowOff>
    </xdr:from>
    <xdr:to>
      <xdr:col>21</xdr:col>
      <xdr:colOff>1162050</xdr:colOff>
      <xdr:row>117</xdr:row>
      <xdr:rowOff>276225</xdr:rowOff>
    </xdr:to>
    <xdr:graphicFrame macro="">
      <xdr:nvGraphicFramePr>
        <xdr:cNvPr id="19304890" name="차트 3">
          <a:extLst>
            <a:ext uri="{FF2B5EF4-FFF2-40B4-BE49-F238E27FC236}">
              <a16:creationId xmlns:a16="http://schemas.microsoft.com/office/drawing/2014/main" id="{B27759B6-2115-4A7A-BCD5-D1A61E5EB8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257175</xdr:colOff>
      <xdr:row>104</xdr:row>
      <xdr:rowOff>257175</xdr:rowOff>
    </xdr:from>
    <xdr:to>
      <xdr:col>18</xdr:col>
      <xdr:colOff>1038225</xdr:colOff>
      <xdr:row>117</xdr:row>
      <xdr:rowOff>285750</xdr:rowOff>
    </xdr:to>
    <xdr:graphicFrame macro="">
      <xdr:nvGraphicFramePr>
        <xdr:cNvPr id="19304891" name="차트 3">
          <a:extLst>
            <a:ext uri="{FF2B5EF4-FFF2-40B4-BE49-F238E27FC236}">
              <a16:creationId xmlns:a16="http://schemas.microsoft.com/office/drawing/2014/main" id="{D7523DD3-7E9D-437F-B0DB-5C5BA1746A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76200</xdr:colOff>
      <xdr:row>104</xdr:row>
      <xdr:rowOff>228600</xdr:rowOff>
    </xdr:from>
    <xdr:to>
      <xdr:col>16</xdr:col>
      <xdr:colOff>161925</xdr:colOff>
      <xdr:row>117</xdr:row>
      <xdr:rowOff>266700</xdr:rowOff>
    </xdr:to>
    <xdr:graphicFrame macro="">
      <xdr:nvGraphicFramePr>
        <xdr:cNvPr id="19304892" name="차트 4">
          <a:extLst>
            <a:ext uri="{FF2B5EF4-FFF2-40B4-BE49-F238E27FC236}">
              <a16:creationId xmlns:a16="http://schemas.microsoft.com/office/drawing/2014/main" id="{7A70E773-9B6C-4614-815C-1573E636B4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30</xdr:col>
      <xdr:colOff>9525</xdr:colOff>
      <xdr:row>11</xdr:row>
      <xdr:rowOff>161925</xdr:rowOff>
    </xdr:from>
    <xdr:to>
      <xdr:col>32</xdr:col>
      <xdr:colOff>9525</xdr:colOff>
      <xdr:row>22</xdr:row>
      <xdr:rowOff>228600</xdr:rowOff>
    </xdr:to>
    <xdr:graphicFrame macro="">
      <xdr:nvGraphicFramePr>
        <xdr:cNvPr id="19304893" name="차트 1">
          <a:extLst>
            <a:ext uri="{FF2B5EF4-FFF2-40B4-BE49-F238E27FC236}">
              <a16:creationId xmlns:a16="http://schemas.microsoft.com/office/drawing/2014/main" id="{6D8BA687-BCA1-411E-815C-40F63BF870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95250</xdr:colOff>
      <xdr:row>30</xdr:row>
      <xdr:rowOff>95250</xdr:rowOff>
    </xdr:from>
    <xdr:to>
      <xdr:col>21</xdr:col>
      <xdr:colOff>1162050</xdr:colOff>
      <xdr:row>41</xdr:row>
      <xdr:rowOff>0</xdr:rowOff>
    </xdr:to>
    <xdr:graphicFrame macro="">
      <xdr:nvGraphicFramePr>
        <xdr:cNvPr id="19304894" name="차트 11">
          <a:extLst>
            <a:ext uri="{FF2B5EF4-FFF2-40B4-BE49-F238E27FC236}">
              <a16:creationId xmlns:a16="http://schemas.microsoft.com/office/drawing/2014/main" id="{63201CD3-6107-4817-9971-C01D72BB61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1529442</xdr:colOff>
      <xdr:row>6</xdr:row>
      <xdr:rowOff>0</xdr:rowOff>
    </xdr:from>
    <xdr:to>
      <xdr:col>1</xdr:col>
      <xdr:colOff>1691648</xdr:colOff>
      <xdr:row>6</xdr:row>
      <xdr:rowOff>224925</xdr:rowOff>
    </xdr:to>
    <xdr:sp macro="" textlink="">
      <xdr:nvSpPr>
        <xdr:cNvPr id="10" name="아래쪽 화살표 9">
          <a:extLst>
            <a:ext uri="{FF2B5EF4-FFF2-40B4-BE49-F238E27FC236}">
              <a16:creationId xmlns:a16="http://schemas.microsoft.com/office/drawing/2014/main" id="{FB3F0460-6115-43B7-981C-7A32EFBCE668}"/>
            </a:ext>
          </a:extLst>
        </xdr:cNvPr>
        <xdr:cNvSpPr/>
      </xdr:nvSpPr>
      <xdr:spPr>
        <a:xfrm>
          <a:off x="1616528" y="1458686"/>
          <a:ext cx="162206" cy="224925"/>
        </a:xfrm>
        <a:prstGeom prst="downArrow">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1</xdr:col>
      <xdr:colOff>1431470</xdr:colOff>
      <xdr:row>12</xdr:row>
      <xdr:rowOff>24443</xdr:rowOff>
    </xdr:from>
    <xdr:to>
      <xdr:col>1</xdr:col>
      <xdr:colOff>1595099</xdr:colOff>
      <xdr:row>12</xdr:row>
      <xdr:rowOff>225764</xdr:rowOff>
    </xdr:to>
    <xdr:sp macro="" textlink="">
      <xdr:nvSpPr>
        <xdr:cNvPr id="12" name="아래쪽 화살표 11">
          <a:extLst>
            <a:ext uri="{FF2B5EF4-FFF2-40B4-BE49-F238E27FC236}">
              <a16:creationId xmlns:a16="http://schemas.microsoft.com/office/drawing/2014/main" id="{50BC8802-60C0-4424-8C0B-189228380324}"/>
            </a:ext>
          </a:extLst>
        </xdr:cNvPr>
        <xdr:cNvSpPr/>
      </xdr:nvSpPr>
      <xdr:spPr>
        <a:xfrm>
          <a:off x="1631495" y="3332389"/>
          <a:ext cx="182880" cy="217170"/>
        </a:xfrm>
        <a:prstGeom prst="downArrow">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1</xdr:col>
      <xdr:colOff>1540327</xdr:colOff>
      <xdr:row>10</xdr:row>
      <xdr:rowOff>44853</xdr:rowOff>
    </xdr:from>
    <xdr:to>
      <xdr:col>1</xdr:col>
      <xdr:colOff>1703956</xdr:colOff>
      <xdr:row>10</xdr:row>
      <xdr:rowOff>246174</xdr:rowOff>
    </xdr:to>
    <xdr:sp macro="" textlink="">
      <xdr:nvSpPr>
        <xdr:cNvPr id="14" name="아래쪽 화살표 13">
          <a:extLst>
            <a:ext uri="{FF2B5EF4-FFF2-40B4-BE49-F238E27FC236}">
              <a16:creationId xmlns:a16="http://schemas.microsoft.com/office/drawing/2014/main" id="{ACBD542A-81DF-4075-8186-58C2D43C2CB0}"/>
            </a:ext>
          </a:extLst>
        </xdr:cNvPr>
        <xdr:cNvSpPr/>
      </xdr:nvSpPr>
      <xdr:spPr>
        <a:xfrm>
          <a:off x="1627413" y="2635653"/>
          <a:ext cx="163629" cy="201321"/>
        </a:xfrm>
        <a:prstGeom prst="downArrow">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25</xdr:col>
      <xdr:colOff>1559919</xdr:colOff>
      <xdr:row>5</xdr:row>
      <xdr:rowOff>0</xdr:rowOff>
    </xdr:from>
    <xdr:to>
      <xdr:col>25</xdr:col>
      <xdr:colOff>1722125</xdr:colOff>
      <xdr:row>5</xdr:row>
      <xdr:rowOff>224926</xdr:rowOff>
    </xdr:to>
    <xdr:sp macro="" textlink="">
      <xdr:nvSpPr>
        <xdr:cNvPr id="15" name="아래쪽 화살표 14">
          <a:extLst>
            <a:ext uri="{FF2B5EF4-FFF2-40B4-BE49-F238E27FC236}">
              <a16:creationId xmlns:a16="http://schemas.microsoft.com/office/drawing/2014/main" id="{A8D49871-4538-4879-9C66-187DE1ADD7F5}"/>
            </a:ext>
          </a:extLst>
        </xdr:cNvPr>
        <xdr:cNvSpPr/>
      </xdr:nvSpPr>
      <xdr:spPr>
        <a:xfrm>
          <a:off x="28098746" y="1483179"/>
          <a:ext cx="182880" cy="217170"/>
        </a:xfrm>
        <a:prstGeom prst="downArrow">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25</xdr:col>
      <xdr:colOff>1559919</xdr:colOff>
      <xdr:row>11</xdr:row>
      <xdr:rowOff>7978</xdr:rowOff>
    </xdr:from>
    <xdr:to>
      <xdr:col>25</xdr:col>
      <xdr:colOff>1722125</xdr:colOff>
      <xdr:row>11</xdr:row>
      <xdr:rowOff>223936</xdr:rowOff>
    </xdr:to>
    <xdr:sp macro="" textlink="">
      <xdr:nvSpPr>
        <xdr:cNvPr id="16" name="아래쪽 화살표 15">
          <a:extLst>
            <a:ext uri="{FF2B5EF4-FFF2-40B4-BE49-F238E27FC236}">
              <a16:creationId xmlns:a16="http://schemas.microsoft.com/office/drawing/2014/main" id="{F76B3A3E-FCA4-478F-BE38-65FFCF372F32}"/>
            </a:ext>
          </a:extLst>
        </xdr:cNvPr>
        <xdr:cNvSpPr/>
      </xdr:nvSpPr>
      <xdr:spPr>
        <a:xfrm>
          <a:off x="28098746" y="2339748"/>
          <a:ext cx="182880" cy="217170"/>
        </a:xfrm>
        <a:prstGeom prst="downArrow">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25</xdr:col>
      <xdr:colOff>1559919</xdr:colOff>
      <xdr:row>14</xdr:row>
      <xdr:rowOff>2449</xdr:rowOff>
    </xdr:from>
    <xdr:to>
      <xdr:col>25</xdr:col>
      <xdr:colOff>1731667</xdr:colOff>
      <xdr:row>14</xdr:row>
      <xdr:rowOff>223437</xdr:rowOff>
    </xdr:to>
    <xdr:sp macro="" textlink="">
      <xdr:nvSpPr>
        <xdr:cNvPr id="17" name="아래쪽 화살표 16">
          <a:extLst>
            <a:ext uri="{FF2B5EF4-FFF2-40B4-BE49-F238E27FC236}">
              <a16:creationId xmlns:a16="http://schemas.microsoft.com/office/drawing/2014/main" id="{A97B3192-40BA-4209-B05F-43B1FBDCF3A2}"/>
            </a:ext>
          </a:extLst>
        </xdr:cNvPr>
        <xdr:cNvSpPr/>
      </xdr:nvSpPr>
      <xdr:spPr>
        <a:xfrm>
          <a:off x="28098746" y="3196318"/>
          <a:ext cx="182880" cy="217170"/>
        </a:xfrm>
        <a:prstGeom prst="downArrow">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25</xdr:col>
      <xdr:colOff>1553934</xdr:colOff>
      <xdr:row>20</xdr:row>
      <xdr:rowOff>0</xdr:rowOff>
    </xdr:from>
    <xdr:to>
      <xdr:col>25</xdr:col>
      <xdr:colOff>1717563</xdr:colOff>
      <xdr:row>20</xdr:row>
      <xdr:rowOff>217170</xdr:rowOff>
    </xdr:to>
    <xdr:sp macro="" textlink="">
      <xdr:nvSpPr>
        <xdr:cNvPr id="20" name="아래쪽 화살표 19">
          <a:extLst>
            <a:ext uri="{FF2B5EF4-FFF2-40B4-BE49-F238E27FC236}">
              <a16:creationId xmlns:a16="http://schemas.microsoft.com/office/drawing/2014/main" id="{96699539-B6C9-462A-B1A8-1EC4D67F5490}"/>
            </a:ext>
          </a:extLst>
        </xdr:cNvPr>
        <xdr:cNvSpPr/>
      </xdr:nvSpPr>
      <xdr:spPr>
        <a:xfrm>
          <a:off x="28085141" y="5769429"/>
          <a:ext cx="182880" cy="217170"/>
        </a:xfrm>
        <a:prstGeom prst="downArrow">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1</xdr:col>
      <xdr:colOff>1431470</xdr:colOff>
      <xdr:row>12</xdr:row>
      <xdr:rowOff>26533</xdr:rowOff>
    </xdr:from>
    <xdr:to>
      <xdr:col>1</xdr:col>
      <xdr:colOff>1593676</xdr:colOff>
      <xdr:row>12</xdr:row>
      <xdr:rowOff>243703</xdr:rowOff>
    </xdr:to>
    <xdr:sp macro="" textlink="">
      <xdr:nvSpPr>
        <xdr:cNvPr id="21" name="아래쪽 화살표 20">
          <a:extLst>
            <a:ext uri="{FF2B5EF4-FFF2-40B4-BE49-F238E27FC236}">
              <a16:creationId xmlns:a16="http://schemas.microsoft.com/office/drawing/2014/main" id="{471F70FF-436A-4AA3-B3EA-171536FE8DB3}"/>
            </a:ext>
          </a:extLst>
        </xdr:cNvPr>
        <xdr:cNvSpPr/>
      </xdr:nvSpPr>
      <xdr:spPr>
        <a:xfrm>
          <a:off x="1713138" y="2938462"/>
          <a:ext cx="182880" cy="217170"/>
        </a:xfrm>
        <a:prstGeom prst="downArrow">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25</xdr:col>
      <xdr:colOff>1564005</xdr:colOff>
      <xdr:row>8</xdr:row>
      <xdr:rowOff>0</xdr:rowOff>
    </xdr:from>
    <xdr:to>
      <xdr:col>25</xdr:col>
      <xdr:colOff>1726211</xdr:colOff>
      <xdr:row>8</xdr:row>
      <xdr:rowOff>224926</xdr:rowOff>
    </xdr:to>
    <xdr:sp macro="" textlink="">
      <xdr:nvSpPr>
        <xdr:cNvPr id="22" name="아래쪽 화살표 21">
          <a:extLst>
            <a:ext uri="{FF2B5EF4-FFF2-40B4-BE49-F238E27FC236}">
              <a16:creationId xmlns:a16="http://schemas.microsoft.com/office/drawing/2014/main" id="{960C527F-A982-4BC3-B988-BBB3F91E713D}"/>
            </a:ext>
          </a:extLst>
        </xdr:cNvPr>
        <xdr:cNvSpPr/>
      </xdr:nvSpPr>
      <xdr:spPr>
        <a:xfrm>
          <a:off x="28330071" y="2054679"/>
          <a:ext cx="182880" cy="217170"/>
        </a:xfrm>
        <a:prstGeom prst="downArrow">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25</xdr:col>
      <xdr:colOff>1559919</xdr:colOff>
      <xdr:row>17</xdr:row>
      <xdr:rowOff>23763</xdr:rowOff>
    </xdr:from>
    <xdr:to>
      <xdr:col>25</xdr:col>
      <xdr:colOff>1722125</xdr:colOff>
      <xdr:row>17</xdr:row>
      <xdr:rowOff>225084</xdr:rowOff>
    </xdr:to>
    <xdr:sp macro="" textlink="">
      <xdr:nvSpPr>
        <xdr:cNvPr id="23" name="아래쪽 화살표 22">
          <a:extLst>
            <a:ext uri="{FF2B5EF4-FFF2-40B4-BE49-F238E27FC236}">
              <a16:creationId xmlns:a16="http://schemas.microsoft.com/office/drawing/2014/main" id="{1AD6B54C-7DAD-45DE-8649-590DA3FB0955}"/>
            </a:ext>
          </a:extLst>
        </xdr:cNvPr>
        <xdr:cNvSpPr/>
      </xdr:nvSpPr>
      <xdr:spPr>
        <a:xfrm>
          <a:off x="28316460" y="4624388"/>
          <a:ext cx="182880" cy="217170"/>
        </a:xfrm>
        <a:prstGeom prst="downArrow">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75</xdr:col>
      <xdr:colOff>123825</xdr:colOff>
      <xdr:row>10</xdr:row>
      <xdr:rowOff>200025</xdr:rowOff>
    </xdr:from>
    <xdr:to>
      <xdr:col>78</xdr:col>
      <xdr:colOff>133350</xdr:colOff>
      <xdr:row>17</xdr:row>
      <xdr:rowOff>190500</xdr:rowOff>
    </xdr:to>
    <xdr:graphicFrame macro="">
      <xdr:nvGraphicFramePr>
        <xdr:cNvPr id="24" name="차트 3">
          <a:extLst>
            <a:ext uri="{FF2B5EF4-FFF2-40B4-BE49-F238E27FC236}">
              <a16:creationId xmlns:a16="http://schemas.microsoft.com/office/drawing/2014/main" id="{30781AA1-D3F7-4C29-89A5-826C2259ED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75</xdr:col>
      <xdr:colOff>95250</xdr:colOff>
      <xdr:row>2</xdr:row>
      <xdr:rowOff>114300</xdr:rowOff>
    </xdr:from>
    <xdr:to>
      <xdr:col>78</xdr:col>
      <xdr:colOff>104775</xdr:colOff>
      <xdr:row>10</xdr:row>
      <xdr:rowOff>66675</xdr:rowOff>
    </xdr:to>
    <xdr:graphicFrame macro="">
      <xdr:nvGraphicFramePr>
        <xdr:cNvPr id="25" name="차트 4">
          <a:extLst>
            <a:ext uri="{FF2B5EF4-FFF2-40B4-BE49-F238E27FC236}">
              <a16:creationId xmlns:a16="http://schemas.microsoft.com/office/drawing/2014/main" id="{A22F6FC5-A8D3-4573-B021-194FC147B5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70</xdr:col>
      <xdr:colOff>0</xdr:colOff>
      <xdr:row>19</xdr:row>
      <xdr:rowOff>171450</xdr:rowOff>
    </xdr:from>
    <xdr:to>
      <xdr:col>72</xdr:col>
      <xdr:colOff>428625</xdr:colOff>
      <xdr:row>31</xdr:row>
      <xdr:rowOff>57150</xdr:rowOff>
    </xdr:to>
    <xdr:graphicFrame macro="">
      <xdr:nvGraphicFramePr>
        <xdr:cNvPr id="26" name="차트 3">
          <a:extLst>
            <a:ext uri="{FF2B5EF4-FFF2-40B4-BE49-F238E27FC236}">
              <a16:creationId xmlns:a16="http://schemas.microsoft.com/office/drawing/2014/main" id="{563DF481-FDB9-40A0-8B4D-E95D87E56C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72</xdr:col>
      <xdr:colOff>495300</xdr:colOff>
      <xdr:row>19</xdr:row>
      <xdr:rowOff>190500</xdr:rowOff>
    </xdr:from>
    <xdr:to>
      <xdr:col>74</xdr:col>
      <xdr:colOff>1514475</xdr:colOff>
      <xdr:row>31</xdr:row>
      <xdr:rowOff>76200</xdr:rowOff>
    </xdr:to>
    <xdr:graphicFrame macro="">
      <xdr:nvGraphicFramePr>
        <xdr:cNvPr id="27" name="차트 3">
          <a:extLst>
            <a:ext uri="{FF2B5EF4-FFF2-40B4-BE49-F238E27FC236}">
              <a16:creationId xmlns:a16="http://schemas.microsoft.com/office/drawing/2014/main" id="{E45CCB3E-4291-4415-8685-62875F027A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75</xdr:col>
      <xdr:colOff>123825</xdr:colOff>
      <xdr:row>19</xdr:row>
      <xdr:rowOff>180975</xdr:rowOff>
    </xdr:from>
    <xdr:to>
      <xdr:col>78</xdr:col>
      <xdr:colOff>123825</xdr:colOff>
      <xdr:row>31</xdr:row>
      <xdr:rowOff>9525</xdr:rowOff>
    </xdr:to>
    <xdr:graphicFrame macro="">
      <xdr:nvGraphicFramePr>
        <xdr:cNvPr id="28" name="차트 3">
          <a:extLst>
            <a:ext uri="{FF2B5EF4-FFF2-40B4-BE49-F238E27FC236}">
              <a16:creationId xmlns:a16="http://schemas.microsoft.com/office/drawing/2014/main" id="{77859943-8342-43C0-8C66-FF22B3F366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12</xdr:col>
      <xdr:colOff>76200</xdr:colOff>
      <xdr:row>4</xdr:row>
      <xdr:rowOff>200025</xdr:rowOff>
    </xdr:from>
    <xdr:to>
      <xdr:col>20</xdr:col>
      <xdr:colOff>57150</xdr:colOff>
      <xdr:row>27</xdr:row>
      <xdr:rowOff>28575</xdr:rowOff>
    </xdr:to>
    <xdr:graphicFrame macro="">
      <xdr:nvGraphicFramePr>
        <xdr:cNvPr id="15822276" name="차트 3">
          <a:extLst>
            <a:ext uri="{FF2B5EF4-FFF2-40B4-BE49-F238E27FC236}">
              <a16:creationId xmlns:a16="http://schemas.microsoft.com/office/drawing/2014/main" id="{FFC53355-14E5-476B-9652-3BF9055914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27</xdr:col>
      <xdr:colOff>180975</xdr:colOff>
      <xdr:row>5</xdr:row>
      <xdr:rowOff>190500</xdr:rowOff>
    </xdr:from>
    <xdr:to>
      <xdr:col>32</xdr:col>
      <xdr:colOff>19050</xdr:colOff>
      <xdr:row>19</xdr:row>
      <xdr:rowOff>9525</xdr:rowOff>
    </xdr:to>
    <xdr:graphicFrame macro="">
      <xdr:nvGraphicFramePr>
        <xdr:cNvPr id="15822277" name="차트 1">
          <a:extLst>
            <a:ext uri="{FF2B5EF4-FFF2-40B4-BE49-F238E27FC236}">
              <a16:creationId xmlns:a16="http://schemas.microsoft.com/office/drawing/2014/main" id="{3AF95D34-7DDD-4D79-9977-42D62F4975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39</xdr:col>
      <xdr:colOff>238125</xdr:colOff>
      <xdr:row>5</xdr:row>
      <xdr:rowOff>171450</xdr:rowOff>
    </xdr:from>
    <xdr:to>
      <xdr:col>43</xdr:col>
      <xdr:colOff>904875</xdr:colOff>
      <xdr:row>18</xdr:row>
      <xdr:rowOff>209550</xdr:rowOff>
    </xdr:to>
    <xdr:graphicFrame macro="">
      <xdr:nvGraphicFramePr>
        <xdr:cNvPr id="15822278" name="차트 1">
          <a:extLst>
            <a:ext uri="{FF2B5EF4-FFF2-40B4-BE49-F238E27FC236}">
              <a16:creationId xmlns:a16="http://schemas.microsoft.com/office/drawing/2014/main" id="{7F71F762-D865-4418-A9C0-DA2A156F33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62048</xdr:colOff>
      <xdr:row>28</xdr:row>
      <xdr:rowOff>37010</xdr:rowOff>
    </xdr:from>
    <xdr:to>
      <xdr:col>20</xdr:col>
      <xdr:colOff>3198</xdr:colOff>
      <xdr:row>59</xdr:row>
      <xdr:rowOff>173185</xdr:rowOff>
    </xdr:to>
    <xdr:sp macro="" textlink="">
      <xdr:nvSpPr>
        <xdr:cNvPr id="6" name="직사각형 5">
          <a:extLst>
            <a:ext uri="{FF2B5EF4-FFF2-40B4-BE49-F238E27FC236}">
              <a16:creationId xmlns:a16="http://schemas.microsoft.com/office/drawing/2014/main" id="{A0AA9445-170A-4D42-B089-43FC7C11BD9E}"/>
            </a:ext>
          </a:extLst>
        </xdr:cNvPr>
        <xdr:cNvSpPr/>
      </xdr:nvSpPr>
      <xdr:spPr>
        <a:xfrm>
          <a:off x="54428" y="7527470"/>
          <a:ext cx="14507055" cy="6628412"/>
        </a:xfrm>
        <a:prstGeom prst="rect">
          <a:avLst/>
        </a:prstGeom>
        <a:solidFill>
          <a:sysClr val="window" lastClr="FFFFFF"/>
        </a:solidFill>
        <a:ln w="25400">
          <a:solidFill>
            <a:srgbClr val="FF0000"/>
          </a:solidFill>
          <a:prstDash val="solid"/>
        </a:ln>
        <a:effectLst/>
      </xdr:spPr>
      <xdr:style>
        <a:lnRef idx="2">
          <a:schemeClr val="accent6"/>
        </a:lnRef>
        <a:fillRef idx="1">
          <a:schemeClr val="lt1"/>
        </a:fillRef>
        <a:effectRef idx="0">
          <a:schemeClr val="accent6"/>
        </a:effectRef>
        <a:fontRef idx="minor">
          <a:schemeClr val="dk1"/>
        </a:fontRef>
      </xdr:style>
      <xdr:txBody>
        <a:bodyPr wrap="square" lIns="108000" tIns="0" bIns="0" anchor="ctr"/>
        <a:lstStyle>
          <a:defPPr>
            <a:defRPr lang="ko-KR"/>
          </a:defPPr>
          <a:lvl1pPr algn="l" rtl="0" fontAlgn="base" latinLnBrk="1">
            <a:spcBef>
              <a:spcPct val="0"/>
            </a:spcBef>
            <a:spcAft>
              <a:spcPct val="0"/>
            </a:spcAft>
            <a:defRPr kumimoji="1" kern="1200">
              <a:solidFill>
                <a:schemeClr val="dk1"/>
              </a:solidFill>
              <a:latin typeface="+mn-lt"/>
              <a:ea typeface="+mn-ea"/>
              <a:cs typeface="+mn-cs"/>
            </a:defRPr>
          </a:lvl1pPr>
          <a:lvl2pPr marL="457200" algn="l" rtl="0" fontAlgn="base" latinLnBrk="1">
            <a:spcBef>
              <a:spcPct val="0"/>
            </a:spcBef>
            <a:spcAft>
              <a:spcPct val="0"/>
            </a:spcAft>
            <a:defRPr kumimoji="1" kern="1200">
              <a:solidFill>
                <a:schemeClr val="dk1"/>
              </a:solidFill>
              <a:latin typeface="+mn-lt"/>
              <a:ea typeface="+mn-ea"/>
              <a:cs typeface="+mn-cs"/>
            </a:defRPr>
          </a:lvl2pPr>
          <a:lvl3pPr marL="914400" algn="l" rtl="0" fontAlgn="base" latinLnBrk="1">
            <a:spcBef>
              <a:spcPct val="0"/>
            </a:spcBef>
            <a:spcAft>
              <a:spcPct val="0"/>
            </a:spcAft>
            <a:defRPr kumimoji="1" kern="1200">
              <a:solidFill>
                <a:schemeClr val="dk1"/>
              </a:solidFill>
              <a:latin typeface="+mn-lt"/>
              <a:ea typeface="+mn-ea"/>
              <a:cs typeface="+mn-cs"/>
            </a:defRPr>
          </a:lvl3pPr>
          <a:lvl4pPr marL="1371600" algn="l" rtl="0" fontAlgn="base" latinLnBrk="1">
            <a:spcBef>
              <a:spcPct val="0"/>
            </a:spcBef>
            <a:spcAft>
              <a:spcPct val="0"/>
            </a:spcAft>
            <a:defRPr kumimoji="1" kern="1200">
              <a:solidFill>
                <a:schemeClr val="dk1"/>
              </a:solidFill>
              <a:latin typeface="+mn-lt"/>
              <a:ea typeface="+mn-ea"/>
              <a:cs typeface="+mn-cs"/>
            </a:defRPr>
          </a:lvl4pPr>
          <a:lvl5pPr marL="1828800" algn="l" rtl="0" fontAlgn="base" latinLnBrk="1">
            <a:spcBef>
              <a:spcPct val="0"/>
            </a:spcBef>
            <a:spcAft>
              <a:spcPct val="0"/>
            </a:spcAft>
            <a:defRPr kumimoji="1" kern="1200">
              <a:solidFill>
                <a:schemeClr val="dk1"/>
              </a:solidFill>
              <a:latin typeface="+mn-lt"/>
              <a:ea typeface="+mn-ea"/>
              <a:cs typeface="+mn-cs"/>
            </a:defRPr>
          </a:lvl5pPr>
          <a:lvl6pPr marL="2286000" algn="l" defTabSz="914400" rtl="0" eaLnBrk="1" latinLnBrk="1" hangingPunct="1">
            <a:defRPr kumimoji="1" kern="1200">
              <a:solidFill>
                <a:schemeClr val="dk1"/>
              </a:solidFill>
              <a:latin typeface="+mn-lt"/>
              <a:ea typeface="+mn-ea"/>
              <a:cs typeface="+mn-cs"/>
            </a:defRPr>
          </a:lvl6pPr>
          <a:lvl7pPr marL="2743200" algn="l" defTabSz="914400" rtl="0" eaLnBrk="1" latinLnBrk="1" hangingPunct="1">
            <a:defRPr kumimoji="1" kern="1200">
              <a:solidFill>
                <a:schemeClr val="dk1"/>
              </a:solidFill>
              <a:latin typeface="+mn-lt"/>
              <a:ea typeface="+mn-ea"/>
              <a:cs typeface="+mn-cs"/>
            </a:defRPr>
          </a:lvl7pPr>
          <a:lvl8pPr marL="3200400" algn="l" defTabSz="914400" rtl="0" eaLnBrk="1" latinLnBrk="1" hangingPunct="1">
            <a:defRPr kumimoji="1" kern="1200">
              <a:solidFill>
                <a:schemeClr val="dk1"/>
              </a:solidFill>
              <a:latin typeface="+mn-lt"/>
              <a:ea typeface="+mn-ea"/>
              <a:cs typeface="+mn-cs"/>
            </a:defRPr>
          </a:lvl8pPr>
          <a:lvl9pPr marL="3657600" algn="l" defTabSz="914400" rtl="0" eaLnBrk="1" latinLnBrk="1" hangingPunct="1">
            <a:defRPr kumimoji="1" kern="1200">
              <a:solidFill>
                <a:schemeClr val="dk1"/>
              </a:solidFill>
              <a:latin typeface="+mn-lt"/>
              <a:ea typeface="+mn-ea"/>
              <a:cs typeface="+mn-cs"/>
            </a:defRPr>
          </a:lvl9pPr>
        </a:lstStyle>
        <a:p>
          <a:pPr>
            <a:lnSpc>
              <a:spcPts val="1100"/>
            </a:lnSpc>
            <a:defRPr/>
          </a:pPr>
          <a:r>
            <a:rPr lang="en-US" altLang="ko-KR" sz="1800" b="1">
              <a:solidFill>
                <a:srgbClr val="FF0000"/>
              </a:solidFill>
              <a:latin typeface="+mn-ea"/>
            </a:rPr>
            <a:t>&lt;BEP </a:t>
          </a:r>
          <a:r>
            <a:rPr lang="ko-KR" altLang="en-US" sz="1800" b="1">
              <a:solidFill>
                <a:srgbClr val="FF0000"/>
              </a:solidFill>
              <a:latin typeface="+mn-ea"/>
            </a:rPr>
            <a:t>분석의 개념</a:t>
          </a:r>
          <a:r>
            <a:rPr lang="en-US" altLang="ko-KR" sz="1800" b="1">
              <a:solidFill>
                <a:srgbClr val="FF0000"/>
              </a:solidFill>
              <a:latin typeface="+mn-ea"/>
            </a:rPr>
            <a:t>&gt;</a:t>
          </a:r>
        </a:p>
        <a:p>
          <a:pPr marL="355600" marR="0" lvl="0" indent="-228600" algn="l" defTabSz="914400" rtl="0" eaLnBrk="1" fontAlgn="base" latinLnBrk="0" hangingPunct="1">
            <a:lnSpc>
              <a:spcPct val="100000"/>
            </a:lnSpc>
            <a:spcBef>
              <a:spcPct val="50000"/>
            </a:spcBef>
            <a:spcAft>
              <a:spcPts val="600"/>
            </a:spcAft>
            <a:buClrTx/>
            <a:buSzTx/>
            <a:buFont typeface="+mj-ea"/>
            <a:buAutoNum type="circleNumDbPlain"/>
            <a:tabLst/>
            <a:defRPr/>
          </a:pP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BEP(</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손익분기점</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란 가격과 판매량에 따른 매출액과 그 매출액을 실현하기 위해서 지출된 총비용이 일치하는 지점을 의미하며</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BEP </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분석을 위해서는 매출액과 함께 총비용을 </a:t>
          </a:r>
          <a:b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b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매출액의 변동에 관계없이 일정하게 발생 하는 고정비 </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급여</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임차료 등</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와 매출액의 변동에 비례하여 발생하는 변동비</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재료비</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경비 등</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로 구분 하여 이익을 산출해야 함</a:t>
          </a:r>
          <a:endPar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endParaRPr>
        </a:p>
        <a:p>
          <a:pPr marL="622300" marR="0" lvl="0" indent="-177800" algn="l" defTabSz="914400" rtl="0" eaLnBrk="1" fontAlgn="base" latinLnBrk="0" hangingPunct="1">
            <a:lnSpc>
              <a:spcPts val="3100"/>
            </a:lnSpc>
            <a:spcBef>
              <a:spcPct val="50000"/>
            </a:spcBef>
            <a:spcAft>
              <a:spcPts val="0"/>
            </a:spcAft>
            <a:buClrTx/>
            <a:buSzTx/>
            <a:buFont typeface="Arial" panose="020B0604020202020204" pitchFamily="34" charset="0"/>
            <a:buChar char="•"/>
            <a:tabLst/>
            <a:defRPr/>
          </a:pP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매출액 </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(Total Revenue) = </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가격 </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(Price) * </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판매량 </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or </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생산량 </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(Quantity) = P * Q</a:t>
          </a:r>
        </a:p>
        <a:p>
          <a:pPr marL="622300" marR="0" lvl="0" indent="-177800" algn="l" defTabSz="914400" rtl="0" eaLnBrk="1" fontAlgn="base" latinLnBrk="0" hangingPunct="1">
            <a:lnSpc>
              <a:spcPts val="3100"/>
            </a:lnSpc>
            <a:spcBef>
              <a:spcPct val="50000"/>
            </a:spcBef>
            <a:spcAft>
              <a:spcPts val="0"/>
            </a:spcAft>
            <a:buClrTx/>
            <a:buSzTx/>
            <a:buFont typeface="Arial" panose="020B0604020202020204" pitchFamily="34" charset="0"/>
            <a:buChar char="•"/>
            <a:tabLst/>
            <a:defRPr/>
          </a:pP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비용 </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(Total Cost) = </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고정비 </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(Fixed Cost) + </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변동비 </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(Variable Cost) = </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고정비 </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단위당 변동비 </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(Variable Cost) * </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판매량 </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FC + V * Q</a:t>
          </a:r>
        </a:p>
        <a:p>
          <a:pPr marL="622300" marR="0" lvl="0" indent="-177800" algn="l" defTabSz="914400" rtl="0" eaLnBrk="1" fontAlgn="base" latinLnBrk="0" hangingPunct="1">
            <a:lnSpc>
              <a:spcPts val="3100"/>
            </a:lnSpc>
            <a:spcBef>
              <a:spcPct val="50000"/>
            </a:spcBef>
            <a:spcAft>
              <a:spcPts val="0"/>
            </a:spcAft>
            <a:buClrTx/>
            <a:buSzTx/>
            <a:buFont typeface="Arial" panose="020B0604020202020204" pitchFamily="34" charset="0"/>
            <a:buChar char="•"/>
            <a:tabLst/>
            <a:defRPr/>
          </a:pP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이익 </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(Profit) = </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매출액</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(Total Revenue) – </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총비용 </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(Total Cost) = TR – TC = </a:t>
          </a:r>
          <a:r>
            <a:rPr kumimoji="0" lang="fr-FR"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P * Q - (FC + V * Q)</a:t>
          </a:r>
        </a:p>
        <a:p>
          <a:pPr marL="622300" marR="0" lvl="0" indent="-177800" algn="l" defTabSz="914400" rtl="0" eaLnBrk="1" fontAlgn="base" latinLnBrk="0" hangingPunct="1">
            <a:lnSpc>
              <a:spcPts val="3100"/>
            </a:lnSpc>
            <a:spcBef>
              <a:spcPct val="50000"/>
            </a:spcBef>
            <a:spcAft>
              <a:spcPts val="0"/>
            </a:spcAft>
            <a:buClrTx/>
            <a:buSzTx/>
            <a:buFont typeface="Arial" panose="020B0604020202020204" pitchFamily="34" charset="0"/>
            <a:buChar char="•"/>
            <a:tabLst/>
            <a:defRPr/>
          </a:pP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손익 분기점 </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이익이 </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0</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이 되는 점 </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FC / (P-V)</a:t>
          </a:r>
        </a:p>
        <a:p>
          <a:pPr marL="622300" marR="0" lvl="0" indent="-177800" algn="l" defTabSz="914400" rtl="0" eaLnBrk="1" fontAlgn="base" latinLnBrk="0" hangingPunct="1">
            <a:lnSpc>
              <a:spcPts val="2400"/>
            </a:lnSpc>
            <a:spcBef>
              <a:spcPct val="50000"/>
            </a:spcBef>
            <a:spcAft>
              <a:spcPts val="0"/>
            </a:spcAft>
            <a:buClrTx/>
            <a:buSzTx/>
            <a:buFont typeface="Arial" panose="020B0604020202020204" pitchFamily="34" charset="0"/>
            <a:buChar char="•"/>
            <a:tabLst/>
            <a:defRPr/>
          </a:pPr>
          <a:endPar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endParaRPr>
        </a:p>
        <a:p>
          <a:pPr marL="0" marR="0" lvl="0" indent="0" defTabSz="914400" eaLnBrk="1" fontAlgn="auto" latinLnBrk="0" hangingPunct="1">
            <a:lnSpc>
              <a:spcPts val="1400"/>
            </a:lnSpc>
            <a:spcBef>
              <a:spcPts val="0"/>
            </a:spcBef>
            <a:spcAft>
              <a:spcPts val="0"/>
            </a:spcAft>
            <a:buClrTx/>
            <a:buSzTx/>
            <a:buFontTx/>
            <a:buNone/>
            <a:tabLst/>
            <a:defRPr/>
          </a:pPr>
          <a:r>
            <a:rPr kumimoji="0" lang="en-US" altLang="ko-KR" sz="1800" b="1" i="0" u="none" strike="noStrike" kern="0" cap="none" spc="0" normalizeH="0" baseline="0" noProof="0">
              <a:ln>
                <a:noFill/>
              </a:ln>
              <a:solidFill>
                <a:srgbClr val="FF0000"/>
              </a:solidFill>
              <a:effectLst/>
              <a:uLnTx/>
              <a:uFillTx/>
              <a:latin typeface="맑은 고딕" panose="020B0503020000020004" pitchFamily="50" charset="-127"/>
              <a:ea typeface="+mn-ea"/>
            </a:rPr>
            <a:t>&lt;</a:t>
          </a:r>
          <a:r>
            <a:rPr kumimoji="0" lang="ko-KR" altLang="en-US" sz="1800" b="1" i="0" u="none" strike="noStrike" kern="0" cap="none" spc="0" normalizeH="0" baseline="0" noProof="0">
              <a:ln>
                <a:noFill/>
              </a:ln>
              <a:solidFill>
                <a:srgbClr val="FF0000"/>
              </a:solidFill>
              <a:effectLst/>
              <a:uLnTx/>
              <a:uFillTx/>
              <a:latin typeface="맑은 고딕" panose="020B0503020000020004" pitchFamily="50" charset="-127"/>
              <a:ea typeface="+mn-ea"/>
            </a:rPr>
            <a:t>분석 방법</a:t>
          </a:r>
          <a:r>
            <a:rPr kumimoji="0" lang="en-US" altLang="ko-KR" sz="1800" b="1" i="0" u="none" strike="noStrike" kern="0" cap="none" spc="0" normalizeH="0" baseline="0" noProof="0">
              <a:ln>
                <a:noFill/>
              </a:ln>
              <a:solidFill>
                <a:srgbClr val="FF0000"/>
              </a:solidFill>
              <a:effectLst/>
              <a:uLnTx/>
              <a:uFillTx/>
              <a:latin typeface="맑은 고딕" panose="020B0503020000020004" pitchFamily="50" charset="-127"/>
              <a:ea typeface="+mn-ea"/>
            </a:rPr>
            <a:t>&gt;</a:t>
          </a:r>
        </a:p>
        <a:p>
          <a:pPr marL="180975" marR="0" lvl="0" indent="-180975" algn="l" defTabSz="914400" rtl="0" eaLnBrk="1" fontAlgn="base" latinLnBrk="0" hangingPunct="1">
            <a:lnSpc>
              <a:spcPts val="4100"/>
            </a:lnSpc>
            <a:spcBef>
              <a:spcPct val="50000"/>
            </a:spcBef>
            <a:spcAft>
              <a:spcPts val="600"/>
            </a:spcAft>
            <a:buClrTx/>
            <a:buSzTx/>
            <a:buFont typeface="Arial" panose="020B0604020202020204" pitchFamily="34" charset="0"/>
            <a:buChar char="–"/>
            <a:tabLst/>
            <a:defRPr/>
          </a:pP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제품과 서비스의 가격</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고정비</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변동비 항목을 활용하여 매출액</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비용</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이익을 계산한 후 </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BEP</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를 찾아냄</a:t>
          </a:r>
          <a:endPar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endParaRPr>
        </a:p>
        <a:p>
          <a:pPr marL="355600" marR="0" lvl="0" indent="-228600" algn="l" defTabSz="914400" rtl="0" eaLnBrk="1" fontAlgn="base" latinLnBrk="0" hangingPunct="1">
            <a:lnSpc>
              <a:spcPts val="4100"/>
            </a:lnSpc>
            <a:spcBef>
              <a:spcPct val="50000"/>
            </a:spcBef>
            <a:spcAft>
              <a:spcPts val="600"/>
            </a:spcAft>
            <a:buClrTx/>
            <a:buSzTx/>
            <a:buFont typeface="+mj-ea"/>
            <a:buAutoNum type="circleNumDbPlain"/>
            <a:tabLst/>
            <a:defRPr/>
          </a:pP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고정비</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변동비 항목 결정 </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고정비와 변동비 항목과 금액을 결저함</a:t>
          </a:r>
          <a:endPar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endParaRPr>
        </a:p>
        <a:p>
          <a:pPr marL="355600" marR="0" lvl="0" indent="-228600" algn="l" defTabSz="914400" rtl="0" eaLnBrk="1" fontAlgn="base" latinLnBrk="0" hangingPunct="1">
            <a:lnSpc>
              <a:spcPts val="4000"/>
            </a:lnSpc>
            <a:spcBef>
              <a:spcPct val="50000"/>
            </a:spcBef>
            <a:spcAft>
              <a:spcPts val="600"/>
            </a:spcAft>
            <a:buClrTx/>
            <a:buSzTx/>
            <a:buFont typeface="+mj-ea"/>
            <a:buAutoNum type="circleNumDbPlain"/>
            <a:tabLst/>
            <a:defRPr/>
          </a:pP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매출액 계산 </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제품의 가격 정보를 기반으로 판매량 변화에 따른 매출액의 변화를 분석함 </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(TR=P*Q) </a:t>
          </a:r>
        </a:p>
        <a:p>
          <a:pPr marL="355600" marR="0" lvl="0" indent="-228600" algn="l" defTabSz="914400" rtl="0" eaLnBrk="1" fontAlgn="base" latinLnBrk="0" hangingPunct="1">
            <a:lnSpc>
              <a:spcPts val="2900"/>
            </a:lnSpc>
            <a:spcBef>
              <a:spcPct val="50000"/>
            </a:spcBef>
            <a:spcAft>
              <a:spcPts val="600"/>
            </a:spcAft>
            <a:buClrTx/>
            <a:buSzTx/>
            <a:buFont typeface="+mj-ea"/>
            <a:buAutoNum type="circleNumDbPlain"/>
            <a:tabLst/>
            <a:defRPr/>
          </a:pP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비용 계산 </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고정비 항목과 변동비 구성항목을 구분한 후 고정비에 단위당 변동비와 판매량을 곱한 값을 더함 </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(TC=FC+V*Q)</a:t>
          </a:r>
        </a:p>
        <a:p>
          <a:pPr marL="355600" marR="0" lvl="0" indent="-228600" algn="l" defTabSz="914400" rtl="0" eaLnBrk="1" fontAlgn="base" latinLnBrk="0" hangingPunct="1">
            <a:lnSpc>
              <a:spcPts val="4100"/>
            </a:lnSpc>
            <a:spcBef>
              <a:spcPct val="50000"/>
            </a:spcBef>
            <a:spcAft>
              <a:spcPts val="600"/>
            </a:spcAft>
            <a:buClrTx/>
            <a:buSzTx/>
            <a:buFont typeface="+mj-ea"/>
            <a:buAutoNum type="circleNumDbPlain"/>
            <a:tabLst/>
            <a:defRPr/>
          </a:pP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이익 계산 </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매출액에서 비용을 뺀 금액을 계산하여 판매에 따른 이익을 구함</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(P=TR-TC)</a:t>
          </a:r>
        </a:p>
        <a:p>
          <a:pPr marL="355600" marR="0" lvl="0" indent="-228600" algn="l" defTabSz="914400" rtl="0" eaLnBrk="1" fontAlgn="base" latinLnBrk="0" hangingPunct="1">
            <a:lnSpc>
              <a:spcPts val="3000"/>
            </a:lnSpc>
            <a:spcBef>
              <a:spcPct val="50000"/>
            </a:spcBef>
            <a:spcAft>
              <a:spcPts val="600"/>
            </a:spcAft>
            <a:buClrTx/>
            <a:buSzTx/>
            <a:buFont typeface="+mj-ea"/>
            <a:buAutoNum type="circleNumDbPlain"/>
            <a:tabLst/>
            <a:defRPr/>
          </a:pP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BEP </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분석 </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이익이 </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0</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이 되는 지점을 찾아서 </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BEP</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를 찾아내고  </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BEP</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의 적정성을 진단함</a:t>
          </a:r>
          <a:endPar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endParaRPr>
        </a:p>
      </xdr:txBody>
    </xdr:sp>
    <xdr:clientData/>
  </xdr:twoCellAnchor>
  <xdr:twoCellAnchor>
    <xdr:from>
      <xdr:col>22</xdr:col>
      <xdr:colOff>268045</xdr:colOff>
      <xdr:row>20</xdr:row>
      <xdr:rowOff>14569</xdr:rowOff>
    </xdr:from>
    <xdr:to>
      <xdr:col>32</xdr:col>
      <xdr:colOff>27667</xdr:colOff>
      <xdr:row>45</xdr:row>
      <xdr:rowOff>138562</xdr:rowOff>
    </xdr:to>
    <xdr:sp macro="" textlink="">
      <xdr:nvSpPr>
        <xdr:cNvPr id="7" name="직사각형 6">
          <a:extLst>
            <a:ext uri="{FF2B5EF4-FFF2-40B4-BE49-F238E27FC236}">
              <a16:creationId xmlns:a16="http://schemas.microsoft.com/office/drawing/2014/main" id="{799623D3-6E0C-4925-A667-2FCD69DCCAA5}"/>
            </a:ext>
          </a:extLst>
        </xdr:cNvPr>
        <xdr:cNvSpPr/>
      </xdr:nvSpPr>
      <xdr:spPr>
        <a:xfrm>
          <a:off x="15439465" y="5510494"/>
          <a:ext cx="9818033" cy="5677052"/>
        </a:xfrm>
        <a:prstGeom prst="rect">
          <a:avLst/>
        </a:prstGeom>
        <a:solidFill>
          <a:sysClr val="window" lastClr="FFFFFF"/>
        </a:solidFill>
        <a:ln w="25400">
          <a:solidFill>
            <a:srgbClr val="FF0000"/>
          </a:solidFill>
          <a:prstDash val="solid"/>
        </a:ln>
        <a:effectLst/>
      </xdr:spPr>
      <xdr:style>
        <a:lnRef idx="2">
          <a:schemeClr val="accent6"/>
        </a:lnRef>
        <a:fillRef idx="1">
          <a:schemeClr val="lt1"/>
        </a:fillRef>
        <a:effectRef idx="0">
          <a:schemeClr val="accent6"/>
        </a:effectRef>
        <a:fontRef idx="minor">
          <a:schemeClr val="dk1"/>
        </a:fontRef>
      </xdr:style>
      <xdr:txBody>
        <a:bodyPr wrap="square" tIns="0" bIns="0" anchor="ctr"/>
        <a:lstStyle>
          <a:defPPr>
            <a:defRPr lang="ko-KR"/>
          </a:defPPr>
          <a:lvl1pPr algn="l" rtl="0" fontAlgn="base" latinLnBrk="1">
            <a:spcBef>
              <a:spcPct val="0"/>
            </a:spcBef>
            <a:spcAft>
              <a:spcPct val="0"/>
            </a:spcAft>
            <a:defRPr kumimoji="1" kern="1200">
              <a:solidFill>
                <a:schemeClr val="dk1"/>
              </a:solidFill>
              <a:latin typeface="+mn-lt"/>
              <a:ea typeface="+mn-ea"/>
              <a:cs typeface="+mn-cs"/>
            </a:defRPr>
          </a:lvl1pPr>
          <a:lvl2pPr marL="457200" algn="l" rtl="0" fontAlgn="base" latinLnBrk="1">
            <a:spcBef>
              <a:spcPct val="0"/>
            </a:spcBef>
            <a:spcAft>
              <a:spcPct val="0"/>
            </a:spcAft>
            <a:defRPr kumimoji="1" kern="1200">
              <a:solidFill>
                <a:schemeClr val="dk1"/>
              </a:solidFill>
              <a:latin typeface="+mn-lt"/>
              <a:ea typeface="+mn-ea"/>
              <a:cs typeface="+mn-cs"/>
            </a:defRPr>
          </a:lvl2pPr>
          <a:lvl3pPr marL="914400" algn="l" rtl="0" fontAlgn="base" latinLnBrk="1">
            <a:spcBef>
              <a:spcPct val="0"/>
            </a:spcBef>
            <a:spcAft>
              <a:spcPct val="0"/>
            </a:spcAft>
            <a:defRPr kumimoji="1" kern="1200">
              <a:solidFill>
                <a:schemeClr val="dk1"/>
              </a:solidFill>
              <a:latin typeface="+mn-lt"/>
              <a:ea typeface="+mn-ea"/>
              <a:cs typeface="+mn-cs"/>
            </a:defRPr>
          </a:lvl3pPr>
          <a:lvl4pPr marL="1371600" algn="l" rtl="0" fontAlgn="base" latinLnBrk="1">
            <a:spcBef>
              <a:spcPct val="0"/>
            </a:spcBef>
            <a:spcAft>
              <a:spcPct val="0"/>
            </a:spcAft>
            <a:defRPr kumimoji="1" kern="1200">
              <a:solidFill>
                <a:schemeClr val="dk1"/>
              </a:solidFill>
              <a:latin typeface="+mn-lt"/>
              <a:ea typeface="+mn-ea"/>
              <a:cs typeface="+mn-cs"/>
            </a:defRPr>
          </a:lvl4pPr>
          <a:lvl5pPr marL="1828800" algn="l" rtl="0" fontAlgn="base" latinLnBrk="1">
            <a:spcBef>
              <a:spcPct val="0"/>
            </a:spcBef>
            <a:spcAft>
              <a:spcPct val="0"/>
            </a:spcAft>
            <a:defRPr kumimoji="1" kern="1200">
              <a:solidFill>
                <a:schemeClr val="dk1"/>
              </a:solidFill>
              <a:latin typeface="+mn-lt"/>
              <a:ea typeface="+mn-ea"/>
              <a:cs typeface="+mn-cs"/>
            </a:defRPr>
          </a:lvl5pPr>
          <a:lvl6pPr marL="2286000" algn="l" defTabSz="914400" rtl="0" eaLnBrk="1" latinLnBrk="1" hangingPunct="1">
            <a:defRPr kumimoji="1" kern="1200">
              <a:solidFill>
                <a:schemeClr val="dk1"/>
              </a:solidFill>
              <a:latin typeface="+mn-lt"/>
              <a:ea typeface="+mn-ea"/>
              <a:cs typeface="+mn-cs"/>
            </a:defRPr>
          </a:lvl6pPr>
          <a:lvl7pPr marL="2743200" algn="l" defTabSz="914400" rtl="0" eaLnBrk="1" latinLnBrk="1" hangingPunct="1">
            <a:defRPr kumimoji="1" kern="1200">
              <a:solidFill>
                <a:schemeClr val="dk1"/>
              </a:solidFill>
              <a:latin typeface="+mn-lt"/>
              <a:ea typeface="+mn-ea"/>
              <a:cs typeface="+mn-cs"/>
            </a:defRPr>
          </a:lvl7pPr>
          <a:lvl8pPr marL="3200400" algn="l" defTabSz="914400" rtl="0" eaLnBrk="1" latinLnBrk="1" hangingPunct="1">
            <a:defRPr kumimoji="1" kern="1200">
              <a:solidFill>
                <a:schemeClr val="dk1"/>
              </a:solidFill>
              <a:latin typeface="+mn-lt"/>
              <a:ea typeface="+mn-ea"/>
              <a:cs typeface="+mn-cs"/>
            </a:defRPr>
          </a:lvl8pPr>
          <a:lvl9pPr marL="3657600" algn="l" defTabSz="914400" rtl="0" eaLnBrk="1" latinLnBrk="1" hangingPunct="1">
            <a:defRPr kumimoji="1" kern="1200">
              <a:solidFill>
                <a:schemeClr val="dk1"/>
              </a:solidFill>
              <a:latin typeface="+mn-lt"/>
              <a:ea typeface="+mn-ea"/>
              <a:cs typeface="+mn-cs"/>
            </a:defRPr>
          </a:lvl9pPr>
        </a:lstStyle>
        <a:p>
          <a:pPr>
            <a:lnSpc>
              <a:spcPts val="1800"/>
            </a:lnSpc>
            <a:defRPr/>
          </a:pPr>
          <a:r>
            <a:rPr lang="en-US" altLang="ko-KR" sz="1800" b="1">
              <a:solidFill>
                <a:srgbClr val="FF0000"/>
              </a:solidFill>
              <a:latin typeface="+mn-ea"/>
            </a:rPr>
            <a:t>&lt;NPV </a:t>
          </a:r>
          <a:r>
            <a:rPr lang="ko-KR" altLang="en-US" sz="1800" b="1">
              <a:solidFill>
                <a:srgbClr val="FF0000"/>
              </a:solidFill>
              <a:latin typeface="+mn-ea"/>
            </a:rPr>
            <a:t>분석의 개념</a:t>
          </a:r>
          <a:r>
            <a:rPr lang="en-US" altLang="ko-KR" sz="1800" b="1">
              <a:solidFill>
                <a:srgbClr val="FF0000"/>
              </a:solidFill>
              <a:latin typeface="+mn-ea"/>
            </a:rPr>
            <a:t>&gt;</a:t>
          </a:r>
        </a:p>
        <a:p>
          <a:pPr marL="355600" marR="0" lvl="0" indent="-228600" algn="l" defTabSz="914400" rtl="0" eaLnBrk="1" fontAlgn="base" latinLnBrk="0" hangingPunct="1">
            <a:lnSpc>
              <a:spcPct val="100000"/>
            </a:lnSpc>
            <a:spcBef>
              <a:spcPct val="50000"/>
            </a:spcBef>
            <a:spcAft>
              <a:spcPts val="600"/>
            </a:spcAft>
            <a:buClrTx/>
            <a:buSzTx/>
            <a:buFont typeface="+mj-ea"/>
            <a:buAutoNum type="circleNumDbPlain"/>
            <a:tabLst/>
            <a:defRPr/>
          </a:pP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NPV(</a:t>
          </a:r>
          <a:r>
            <a:rPr kumimoji="0" lang="ko-KR" altLang="en-US" sz="1200" b="0" i="0" u="none" strike="noStrike" kern="1200" cap="none" spc="0" normalizeH="0" baseline="0" noProof="0" dirty="0" err="1">
              <a:ln>
                <a:noFill/>
              </a:ln>
              <a:solidFill>
                <a:srgbClr val="1B1112"/>
              </a:solidFill>
              <a:effectLst/>
              <a:uLnTx/>
              <a:uFillTx/>
              <a:latin typeface="맑은 고딕" panose="020B0503020000020004" pitchFamily="50" charset="-127"/>
              <a:ea typeface="+mn-ea"/>
            </a:rPr>
            <a:t>순현재가치</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란 투자로부터 예상되는 미래의 </a:t>
          </a:r>
          <a:r>
            <a:rPr kumimoji="0" lang="ko-KR" altLang="en-US" sz="1200" b="0" i="0" u="none" strike="noStrike" kern="1200" cap="none" spc="0" normalizeH="0" baseline="0" noProof="0" dirty="0" err="1">
              <a:ln>
                <a:noFill/>
              </a:ln>
              <a:solidFill>
                <a:srgbClr val="1B1112"/>
              </a:solidFill>
              <a:effectLst/>
              <a:uLnTx/>
              <a:uFillTx/>
              <a:latin typeface="맑은 고딕" panose="020B0503020000020004" pitchFamily="50" charset="-127"/>
              <a:ea typeface="+mn-ea"/>
            </a:rPr>
            <a:t>현금유입액을</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현재가치로 평가한 금액에서 예상되는 </a:t>
          </a:r>
          <a:r>
            <a:rPr kumimoji="0" lang="ko-KR" altLang="en-US" sz="1200" b="0" i="0" u="none" strike="noStrike" kern="1200" cap="none" spc="0" normalizeH="0" baseline="0" noProof="0" dirty="0" err="1">
              <a:ln>
                <a:noFill/>
              </a:ln>
              <a:solidFill>
                <a:srgbClr val="1B1112"/>
              </a:solidFill>
              <a:effectLst/>
              <a:uLnTx/>
              <a:uFillTx/>
              <a:latin typeface="맑은 고딕" panose="020B0503020000020004" pitchFamily="50" charset="-127"/>
              <a:ea typeface="+mn-ea"/>
            </a:rPr>
            <a:t>현금유출액을</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현재가치로 평가한 금액을 뺀 값을 말하며 프로젝트의 경제성을 평가하는 대표적인 기법임</a:t>
          </a:r>
          <a:endPar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endParaRPr>
        </a:p>
        <a:p>
          <a:pPr marL="355600" marR="0" lvl="0" indent="-228600" algn="l" defTabSz="914400" rtl="0" eaLnBrk="1" fontAlgn="base" latinLnBrk="0" hangingPunct="1">
            <a:lnSpc>
              <a:spcPct val="100000"/>
            </a:lnSpc>
            <a:spcBef>
              <a:spcPct val="50000"/>
            </a:spcBef>
            <a:spcAft>
              <a:spcPts val="600"/>
            </a:spcAft>
            <a:buClrTx/>
            <a:buSzTx/>
            <a:buFont typeface="+mj-ea"/>
            <a:buAutoNum type="circleNumDbPlain"/>
            <a:tabLst/>
            <a:defRPr/>
          </a:pP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일반적으로 </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NPV &gt; 0 </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이면 프로젝트의 타당성이 있다고 결정하는데 구체적인 결정 기준은 아래와 같음</a:t>
          </a:r>
          <a:endPar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endParaRPr>
        </a:p>
        <a:p>
          <a:pPr marL="622300" marR="0" lvl="0" indent="-177800" algn="l" defTabSz="914400" rtl="0" eaLnBrk="1" fontAlgn="base" latinLnBrk="0" hangingPunct="1">
            <a:lnSpc>
              <a:spcPct val="100000"/>
            </a:lnSpc>
            <a:spcBef>
              <a:spcPct val="50000"/>
            </a:spcBef>
            <a:spcAft>
              <a:spcPts val="0"/>
            </a:spcAft>
            <a:buClrTx/>
            <a:buSzTx/>
            <a:buFont typeface="Arial" panose="020B0604020202020204" pitchFamily="34" charset="0"/>
            <a:buChar char="•"/>
            <a:tabLst/>
            <a:defRPr/>
          </a:pP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독립적 </a:t>
          </a:r>
          <a:r>
            <a:rPr kumimoji="0" lang="ko-KR" altLang="en-US" sz="1200" b="0" i="0" u="none" strike="noStrike" kern="1200" cap="none" spc="0" normalizeH="0" baseline="0" noProof="0" dirty="0" err="1">
              <a:ln>
                <a:noFill/>
              </a:ln>
              <a:solidFill>
                <a:srgbClr val="1B1112"/>
              </a:solidFill>
              <a:effectLst/>
              <a:uLnTx/>
              <a:uFillTx/>
              <a:latin typeface="맑은 고딕" panose="020B0503020000020004" pitchFamily="50" charset="-127"/>
              <a:ea typeface="+mn-ea"/>
            </a:rPr>
            <a:t>투자안의</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경우 </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NPV &gt; 0</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이면 채택</a:t>
          </a:r>
        </a:p>
        <a:p>
          <a:pPr marL="622300" marR="0" lvl="0" indent="-177800" algn="l" defTabSz="914400" rtl="0" eaLnBrk="1" fontAlgn="base" latinLnBrk="0" hangingPunct="1">
            <a:lnSpc>
              <a:spcPct val="100000"/>
            </a:lnSpc>
            <a:spcBef>
              <a:spcPct val="50000"/>
            </a:spcBef>
            <a:spcAft>
              <a:spcPts val="0"/>
            </a:spcAft>
            <a:buClrTx/>
            <a:buSzTx/>
            <a:buFont typeface="Arial" panose="020B0604020202020204" pitchFamily="34" charset="0"/>
            <a:buChar char="•"/>
            <a:tabLst/>
            <a:defRPr/>
          </a:pP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상호 배타적인 </a:t>
          </a:r>
          <a:r>
            <a:rPr kumimoji="0" lang="ko-KR" altLang="en-US" sz="1200" b="0" i="0" u="none" strike="noStrike" kern="1200" cap="none" spc="0" normalizeH="0" baseline="0" noProof="0" dirty="0" err="1">
              <a:ln>
                <a:noFill/>
              </a:ln>
              <a:solidFill>
                <a:srgbClr val="1B1112"/>
              </a:solidFill>
              <a:effectLst/>
              <a:uLnTx/>
              <a:uFillTx/>
              <a:latin typeface="맑은 고딕" panose="020B0503020000020004" pitchFamily="50" charset="-127"/>
              <a:ea typeface="+mn-ea"/>
            </a:rPr>
            <a:t>투자안의</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경우 </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NPV &gt; 0</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이면서 </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NPV</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가 가장 큰 </a:t>
          </a:r>
          <a:r>
            <a:rPr kumimoji="0" lang="ko-KR" altLang="en-US" sz="1200" b="0" i="0" u="none" strike="noStrike" kern="1200" cap="none" spc="0" normalizeH="0" baseline="0" noProof="0" dirty="0" err="1">
              <a:ln>
                <a:noFill/>
              </a:ln>
              <a:solidFill>
                <a:srgbClr val="1B1112"/>
              </a:solidFill>
              <a:effectLst/>
              <a:uLnTx/>
              <a:uFillTx/>
              <a:latin typeface="맑은 고딕" panose="020B0503020000020004" pitchFamily="50" charset="-127"/>
              <a:ea typeface="+mn-ea"/>
            </a:rPr>
            <a:t>투자안을</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채택 </a:t>
          </a:r>
        </a:p>
        <a:p>
          <a:pPr marL="622300" marR="0" lvl="0" indent="-177800" algn="l" defTabSz="914400" rtl="0" eaLnBrk="1" fontAlgn="base" latinLnBrk="0" hangingPunct="1">
            <a:lnSpc>
              <a:spcPct val="100000"/>
            </a:lnSpc>
            <a:spcBef>
              <a:spcPct val="50000"/>
            </a:spcBef>
            <a:spcAft>
              <a:spcPts val="0"/>
            </a:spcAft>
            <a:buClrTx/>
            <a:buSzTx/>
            <a:buFont typeface="Arial" panose="020B0604020202020204" pitchFamily="34" charset="0"/>
            <a:buChar char="•"/>
            <a:tabLst/>
            <a:defRPr/>
          </a:pPr>
          <a:r>
            <a:rPr kumimoji="0" lang="ko-KR" altLang="en-US" sz="1200" b="0" i="0" u="none" strike="noStrike" kern="1200" cap="none" spc="0" normalizeH="0" baseline="0" noProof="0" dirty="0" err="1">
              <a:ln>
                <a:noFill/>
              </a:ln>
              <a:solidFill>
                <a:srgbClr val="1B1112"/>
              </a:solidFill>
              <a:effectLst/>
              <a:uLnTx/>
              <a:uFillTx/>
              <a:latin typeface="맑은 고딕" panose="020B0503020000020004" pitchFamily="50" charset="-127"/>
              <a:ea typeface="+mn-ea"/>
            </a:rPr>
            <a:t>투자안에</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순위를 부여하는 경우 </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NPV</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가 큰 순서대로 우선순위에 두고 채택</a:t>
          </a:r>
        </a:p>
        <a:p>
          <a:pPr marL="622300" marR="0" lvl="0" indent="-177800" algn="l" defTabSz="914400" rtl="0" eaLnBrk="1" fontAlgn="base" latinLnBrk="0" hangingPunct="1">
            <a:lnSpc>
              <a:spcPct val="100000"/>
            </a:lnSpc>
            <a:spcBef>
              <a:spcPct val="50000"/>
            </a:spcBef>
            <a:spcAft>
              <a:spcPts val="0"/>
            </a:spcAft>
            <a:buClrTx/>
            <a:buSzTx/>
            <a:buFont typeface="Arial" panose="020B0604020202020204" pitchFamily="34" charset="0"/>
            <a:buChar char="•"/>
            <a:tabLst/>
            <a:defRPr/>
          </a:pPr>
          <a:endPar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endParaRPr>
        </a:p>
        <a:p>
          <a:pPr marL="0" marR="0" lvl="0" indent="0" defTabSz="914400" eaLnBrk="1" fontAlgn="auto" latinLnBrk="0" hangingPunct="1">
            <a:lnSpc>
              <a:spcPts val="1800"/>
            </a:lnSpc>
            <a:spcBef>
              <a:spcPts val="0"/>
            </a:spcBef>
            <a:spcAft>
              <a:spcPts val="0"/>
            </a:spcAft>
            <a:buClrTx/>
            <a:buSzTx/>
            <a:buFontTx/>
            <a:buNone/>
            <a:tabLst/>
            <a:defRPr/>
          </a:pPr>
          <a:r>
            <a:rPr kumimoji="0" lang="en-US" altLang="ko-KR" sz="1800" b="1" i="0" u="none" strike="noStrike" kern="0" cap="none" spc="0" normalizeH="0" baseline="0" noProof="0">
              <a:ln>
                <a:noFill/>
              </a:ln>
              <a:solidFill>
                <a:srgbClr val="FF0000"/>
              </a:solidFill>
              <a:effectLst/>
              <a:uLnTx/>
              <a:uFillTx/>
              <a:latin typeface="맑은 고딕" panose="020B0503020000020004" pitchFamily="50" charset="-127"/>
              <a:ea typeface="+mn-ea"/>
            </a:rPr>
            <a:t>&lt;</a:t>
          </a:r>
          <a:r>
            <a:rPr kumimoji="0" lang="ko-KR" altLang="en-US" sz="1800" b="1" i="0" u="none" strike="noStrike" kern="0" cap="none" spc="0" normalizeH="0" baseline="0" noProof="0">
              <a:ln>
                <a:noFill/>
              </a:ln>
              <a:solidFill>
                <a:srgbClr val="FF0000"/>
              </a:solidFill>
              <a:effectLst/>
              <a:uLnTx/>
              <a:uFillTx/>
              <a:latin typeface="맑은 고딕" panose="020B0503020000020004" pitchFamily="50" charset="-127"/>
              <a:ea typeface="+mn-ea"/>
            </a:rPr>
            <a:t>분석 방법</a:t>
          </a:r>
          <a:r>
            <a:rPr kumimoji="0" lang="en-US" altLang="ko-KR" sz="1800" b="1" i="0" u="none" strike="noStrike" kern="0" cap="none" spc="0" normalizeH="0" baseline="0" noProof="0">
              <a:ln>
                <a:noFill/>
              </a:ln>
              <a:solidFill>
                <a:srgbClr val="FF0000"/>
              </a:solidFill>
              <a:effectLst/>
              <a:uLnTx/>
              <a:uFillTx/>
              <a:latin typeface="맑은 고딕" panose="020B0503020000020004" pitchFamily="50" charset="-127"/>
              <a:ea typeface="+mn-ea"/>
            </a:rPr>
            <a:t>&gt;</a:t>
          </a:r>
        </a:p>
        <a:p>
          <a:pPr marL="180975" marR="0" lvl="0" indent="-180975" algn="l" defTabSz="914400" rtl="0" eaLnBrk="1" fontAlgn="base" latinLnBrk="0" hangingPunct="1">
            <a:lnSpc>
              <a:spcPct val="100000"/>
            </a:lnSpc>
            <a:spcBef>
              <a:spcPct val="50000"/>
            </a:spcBef>
            <a:spcAft>
              <a:spcPts val="600"/>
            </a:spcAft>
            <a:buClrTx/>
            <a:buSzTx/>
            <a:buFont typeface="Arial" panose="020B0604020202020204" pitchFamily="34" charset="0"/>
            <a:buChar char="–"/>
            <a:tabLst/>
            <a:defRPr/>
          </a:pP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프로젝트에 대한 다양한 투자 대안들의 자본비용과 현금흐름을 기반으로 </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NPV</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를</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계산한 후 최적 투자대안을 결정함</a:t>
          </a:r>
          <a:endPar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endParaRPr>
        </a:p>
        <a:p>
          <a:pPr marL="355600" marR="0" lvl="0" indent="-228600" algn="l" defTabSz="914400" rtl="0" eaLnBrk="1" fontAlgn="base" latinLnBrk="0" hangingPunct="1">
            <a:lnSpc>
              <a:spcPct val="100000"/>
            </a:lnSpc>
            <a:spcBef>
              <a:spcPct val="50000"/>
            </a:spcBef>
            <a:spcAft>
              <a:spcPts val="600"/>
            </a:spcAft>
            <a:buClrTx/>
            <a:buSzTx/>
            <a:buFont typeface="+mj-ea"/>
            <a:buAutoNum type="circleNumDbPlain"/>
            <a:tabLst/>
            <a:defRPr/>
          </a:pP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예상 현금흐름 추정 </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프로젝트의 다양한 투자대안들에 대해서 예상되는 </a:t>
          </a:r>
          <a:r>
            <a:rPr kumimoji="0" lang="ko-KR" altLang="en-US" sz="1200" b="0" i="0" u="none" strike="noStrike" kern="1200" cap="none" spc="0" normalizeH="0" baseline="0" noProof="0" dirty="0" err="1">
              <a:ln>
                <a:noFill/>
              </a:ln>
              <a:solidFill>
                <a:srgbClr val="1B1112"/>
              </a:solidFill>
              <a:effectLst/>
              <a:uLnTx/>
              <a:uFillTx/>
              <a:latin typeface="맑은 고딕" panose="020B0503020000020004" pitchFamily="50" charset="-127"/>
              <a:ea typeface="+mn-ea"/>
            </a:rPr>
            <a:t>현금유입액과</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a:t>
          </a:r>
          <a:r>
            <a:rPr kumimoji="0" lang="ko-KR" altLang="en-US" sz="1200" b="0" i="0" u="none" strike="noStrike" kern="1200" cap="none" spc="0" normalizeH="0" baseline="0" noProof="0" dirty="0" err="1">
              <a:ln>
                <a:noFill/>
              </a:ln>
              <a:solidFill>
                <a:srgbClr val="1B1112"/>
              </a:solidFill>
              <a:effectLst/>
              <a:uLnTx/>
              <a:uFillTx/>
              <a:latin typeface="맑은 고딕" panose="020B0503020000020004" pitchFamily="50" charset="-127"/>
              <a:ea typeface="+mn-ea"/>
            </a:rPr>
            <a:t>유출액으로</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예상 현금흐름을 추정함</a:t>
          </a:r>
          <a:endPar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endParaRPr>
        </a:p>
        <a:p>
          <a:pPr marL="355600" marR="0" lvl="0" indent="-228600" algn="l" defTabSz="914400" rtl="0" eaLnBrk="1" fontAlgn="base" latinLnBrk="0" hangingPunct="1">
            <a:lnSpc>
              <a:spcPct val="100000"/>
            </a:lnSpc>
            <a:spcBef>
              <a:spcPct val="50000"/>
            </a:spcBef>
            <a:spcAft>
              <a:spcPts val="600"/>
            </a:spcAft>
            <a:buClrTx/>
            <a:buSzTx/>
            <a:buFont typeface="+mj-ea"/>
            <a:buAutoNum type="circleNumDbPlain"/>
            <a:tabLst/>
            <a:defRPr/>
          </a:pPr>
          <a:r>
            <a:rPr kumimoji="0" lang="ko-KR" altLang="en-US" sz="1200" b="0" i="0" u="none" strike="noStrike" kern="1200" cap="none" spc="0" normalizeH="0" baseline="0" noProof="0" dirty="0" err="1">
              <a:ln>
                <a:noFill/>
              </a:ln>
              <a:solidFill>
                <a:srgbClr val="1B1112"/>
              </a:solidFill>
              <a:effectLst/>
              <a:uLnTx/>
              <a:uFillTx/>
              <a:latin typeface="맑은 고딕" panose="020B0503020000020004" pitchFamily="50" charset="-127"/>
              <a:ea typeface="+mn-ea"/>
            </a:rPr>
            <a:t>순현재가치</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계산 </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a:t>
          </a:r>
          <a:r>
            <a:rPr kumimoji="0" lang="ko-KR" altLang="en-US" sz="1200" b="0" i="0" u="none" strike="noStrike" kern="1200" cap="none" spc="0" normalizeH="0" baseline="0" noProof="0" dirty="0" err="1">
              <a:ln>
                <a:noFill/>
              </a:ln>
              <a:solidFill>
                <a:srgbClr val="1B1112"/>
              </a:solidFill>
              <a:effectLst/>
              <a:uLnTx/>
              <a:uFillTx/>
              <a:latin typeface="맑은 고딕" panose="020B0503020000020004" pitchFamily="50" charset="-127"/>
              <a:ea typeface="+mn-ea"/>
            </a:rPr>
            <a:t>투자안들의</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자본비용과 예상 현금흐름을 기반으로 </a:t>
          </a:r>
          <a:r>
            <a:rPr kumimoji="0" lang="ko-KR" altLang="en-US" sz="1200" b="0" i="0" u="none" strike="noStrike" kern="1200" cap="none" spc="0" normalizeH="0" baseline="0" noProof="0" dirty="0" err="1">
              <a:ln>
                <a:noFill/>
              </a:ln>
              <a:solidFill>
                <a:srgbClr val="1B1112"/>
              </a:solidFill>
              <a:effectLst/>
              <a:uLnTx/>
              <a:uFillTx/>
              <a:latin typeface="맑은 고딕" panose="020B0503020000020004" pitchFamily="50" charset="-127"/>
              <a:ea typeface="+mn-ea"/>
            </a:rPr>
            <a:t>순현재가치를</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계산함 </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(Excel </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재무함수</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_NPV</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활용</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a:t>
          </a:r>
        </a:p>
        <a:p>
          <a:pPr marL="355600" marR="0" lvl="0" indent="-228600" algn="l" defTabSz="914400" rtl="0" eaLnBrk="1" fontAlgn="base" latinLnBrk="0" hangingPunct="1">
            <a:lnSpc>
              <a:spcPct val="100000"/>
            </a:lnSpc>
            <a:spcBef>
              <a:spcPct val="50000"/>
            </a:spcBef>
            <a:spcAft>
              <a:spcPts val="600"/>
            </a:spcAft>
            <a:buClrTx/>
            <a:buSzTx/>
            <a:buFont typeface="+mj-ea"/>
            <a:buAutoNum type="circleNumDbPlain"/>
            <a:tabLst/>
            <a:defRPr/>
          </a:pP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투자의 타당성 결정 </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투자대안들에 대해서 계산된</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NPV</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를 비교 분석하여 최적 </a:t>
          </a:r>
          <a:r>
            <a:rPr kumimoji="0" lang="ko-KR" altLang="en-US" sz="1200" b="0" i="0" u="none" strike="noStrike" kern="1200" cap="none" spc="0" normalizeH="0" baseline="0" noProof="0" dirty="0" err="1">
              <a:ln>
                <a:noFill/>
              </a:ln>
              <a:solidFill>
                <a:srgbClr val="1B1112"/>
              </a:solidFill>
              <a:effectLst/>
              <a:uLnTx/>
              <a:uFillTx/>
              <a:latin typeface="맑은 고딕" panose="020B0503020000020004" pitchFamily="50" charset="-127"/>
              <a:ea typeface="+mn-ea"/>
            </a:rPr>
            <a:t>투자안을</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결정함 </a:t>
          </a:r>
          <a:endPar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endParaRPr>
        </a:p>
      </xdr:txBody>
    </xdr:sp>
    <xdr:clientData/>
  </xdr:twoCellAnchor>
  <xdr:twoCellAnchor>
    <xdr:from>
      <xdr:col>35</xdr:col>
      <xdr:colOff>0</xdr:colOff>
      <xdr:row>20</xdr:row>
      <xdr:rowOff>0</xdr:rowOff>
    </xdr:from>
    <xdr:to>
      <xdr:col>44</xdr:col>
      <xdr:colOff>64433</xdr:colOff>
      <xdr:row>45</xdr:row>
      <xdr:rowOff>77070</xdr:rowOff>
    </xdr:to>
    <xdr:sp macro="" textlink="">
      <xdr:nvSpPr>
        <xdr:cNvPr id="8" name="직사각형 7">
          <a:extLst>
            <a:ext uri="{FF2B5EF4-FFF2-40B4-BE49-F238E27FC236}">
              <a16:creationId xmlns:a16="http://schemas.microsoft.com/office/drawing/2014/main" id="{0D02480C-3D3D-4B82-A54C-D469EB9FA620}"/>
            </a:ext>
          </a:extLst>
        </xdr:cNvPr>
        <xdr:cNvSpPr/>
      </xdr:nvSpPr>
      <xdr:spPr>
        <a:xfrm>
          <a:off x="26117550" y="5476875"/>
          <a:ext cx="9808508" cy="5658715"/>
        </a:xfrm>
        <a:prstGeom prst="rect">
          <a:avLst/>
        </a:prstGeom>
        <a:solidFill>
          <a:sysClr val="window" lastClr="FFFFFF"/>
        </a:solidFill>
        <a:ln w="25400">
          <a:solidFill>
            <a:srgbClr val="FF0000"/>
          </a:solidFill>
          <a:prstDash val="solid"/>
        </a:ln>
        <a:effectLst/>
      </xdr:spPr>
      <xdr:style>
        <a:lnRef idx="2">
          <a:schemeClr val="accent6"/>
        </a:lnRef>
        <a:fillRef idx="1">
          <a:schemeClr val="lt1"/>
        </a:fillRef>
        <a:effectRef idx="0">
          <a:schemeClr val="accent6"/>
        </a:effectRef>
        <a:fontRef idx="minor">
          <a:schemeClr val="dk1"/>
        </a:fontRef>
      </xdr:style>
      <xdr:txBody>
        <a:bodyPr wrap="square" tIns="0" bIns="0" anchor="ctr"/>
        <a:lstStyle>
          <a:defPPr>
            <a:defRPr lang="ko-KR"/>
          </a:defPPr>
          <a:lvl1pPr algn="l" rtl="0" fontAlgn="base" latinLnBrk="1">
            <a:spcBef>
              <a:spcPct val="0"/>
            </a:spcBef>
            <a:spcAft>
              <a:spcPct val="0"/>
            </a:spcAft>
            <a:defRPr kumimoji="1" kern="1200">
              <a:solidFill>
                <a:schemeClr val="dk1"/>
              </a:solidFill>
              <a:latin typeface="+mn-lt"/>
              <a:ea typeface="+mn-ea"/>
              <a:cs typeface="+mn-cs"/>
            </a:defRPr>
          </a:lvl1pPr>
          <a:lvl2pPr marL="457200" algn="l" rtl="0" fontAlgn="base" latinLnBrk="1">
            <a:spcBef>
              <a:spcPct val="0"/>
            </a:spcBef>
            <a:spcAft>
              <a:spcPct val="0"/>
            </a:spcAft>
            <a:defRPr kumimoji="1" kern="1200">
              <a:solidFill>
                <a:schemeClr val="dk1"/>
              </a:solidFill>
              <a:latin typeface="+mn-lt"/>
              <a:ea typeface="+mn-ea"/>
              <a:cs typeface="+mn-cs"/>
            </a:defRPr>
          </a:lvl2pPr>
          <a:lvl3pPr marL="914400" algn="l" rtl="0" fontAlgn="base" latinLnBrk="1">
            <a:spcBef>
              <a:spcPct val="0"/>
            </a:spcBef>
            <a:spcAft>
              <a:spcPct val="0"/>
            </a:spcAft>
            <a:defRPr kumimoji="1" kern="1200">
              <a:solidFill>
                <a:schemeClr val="dk1"/>
              </a:solidFill>
              <a:latin typeface="+mn-lt"/>
              <a:ea typeface="+mn-ea"/>
              <a:cs typeface="+mn-cs"/>
            </a:defRPr>
          </a:lvl3pPr>
          <a:lvl4pPr marL="1371600" algn="l" rtl="0" fontAlgn="base" latinLnBrk="1">
            <a:spcBef>
              <a:spcPct val="0"/>
            </a:spcBef>
            <a:spcAft>
              <a:spcPct val="0"/>
            </a:spcAft>
            <a:defRPr kumimoji="1" kern="1200">
              <a:solidFill>
                <a:schemeClr val="dk1"/>
              </a:solidFill>
              <a:latin typeface="+mn-lt"/>
              <a:ea typeface="+mn-ea"/>
              <a:cs typeface="+mn-cs"/>
            </a:defRPr>
          </a:lvl4pPr>
          <a:lvl5pPr marL="1828800" algn="l" rtl="0" fontAlgn="base" latinLnBrk="1">
            <a:spcBef>
              <a:spcPct val="0"/>
            </a:spcBef>
            <a:spcAft>
              <a:spcPct val="0"/>
            </a:spcAft>
            <a:defRPr kumimoji="1" kern="1200">
              <a:solidFill>
                <a:schemeClr val="dk1"/>
              </a:solidFill>
              <a:latin typeface="+mn-lt"/>
              <a:ea typeface="+mn-ea"/>
              <a:cs typeface="+mn-cs"/>
            </a:defRPr>
          </a:lvl5pPr>
          <a:lvl6pPr marL="2286000" algn="l" defTabSz="914400" rtl="0" eaLnBrk="1" latinLnBrk="1" hangingPunct="1">
            <a:defRPr kumimoji="1" kern="1200">
              <a:solidFill>
                <a:schemeClr val="dk1"/>
              </a:solidFill>
              <a:latin typeface="+mn-lt"/>
              <a:ea typeface="+mn-ea"/>
              <a:cs typeface="+mn-cs"/>
            </a:defRPr>
          </a:lvl6pPr>
          <a:lvl7pPr marL="2743200" algn="l" defTabSz="914400" rtl="0" eaLnBrk="1" latinLnBrk="1" hangingPunct="1">
            <a:defRPr kumimoji="1" kern="1200">
              <a:solidFill>
                <a:schemeClr val="dk1"/>
              </a:solidFill>
              <a:latin typeface="+mn-lt"/>
              <a:ea typeface="+mn-ea"/>
              <a:cs typeface="+mn-cs"/>
            </a:defRPr>
          </a:lvl7pPr>
          <a:lvl8pPr marL="3200400" algn="l" defTabSz="914400" rtl="0" eaLnBrk="1" latinLnBrk="1" hangingPunct="1">
            <a:defRPr kumimoji="1" kern="1200">
              <a:solidFill>
                <a:schemeClr val="dk1"/>
              </a:solidFill>
              <a:latin typeface="+mn-lt"/>
              <a:ea typeface="+mn-ea"/>
              <a:cs typeface="+mn-cs"/>
            </a:defRPr>
          </a:lvl8pPr>
          <a:lvl9pPr marL="3657600" algn="l" defTabSz="914400" rtl="0" eaLnBrk="1" latinLnBrk="1" hangingPunct="1">
            <a:defRPr kumimoji="1" kern="1200">
              <a:solidFill>
                <a:schemeClr val="dk1"/>
              </a:solidFill>
              <a:latin typeface="+mn-lt"/>
              <a:ea typeface="+mn-ea"/>
              <a:cs typeface="+mn-cs"/>
            </a:defRPr>
          </a:lvl9pPr>
        </a:lstStyle>
        <a:p>
          <a:pPr>
            <a:lnSpc>
              <a:spcPts val="1800"/>
            </a:lnSpc>
            <a:defRPr/>
          </a:pPr>
          <a:r>
            <a:rPr lang="en-US" altLang="ko-KR" sz="1800" b="1">
              <a:solidFill>
                <a:srgbClr val="FF0000"/>
              </a:solidFill>
              <a:latin typeface="+mn-ea"/>
            </a:rPr>
            <a:t>&lt;IRR </a:t>
          </a:r>
          <a:r>
            <a:rPr lang="ko-KR" altLang="en-US" sz="1800" b="1">
              <a:solidFill>
                <a:srgbClr val="FF0000"/>
              </a:solidFill>
              <a:latin typeface="+mn-ea"/>
            </a:rPr>
            <a:t>분석의 개념</a:t>
          </a:r>
          <a:r>
            <a:rPr lang="en-US" altLang="ko-KR" sz="1800" b="1">
              <a:solidFill>
                <a:srgbClr val="FF0000"/>
              </a:solidFill>
              <a:latin typeface="+mn-ea"/>
            </a:rPr>
            <a:t>&gt;</a:t>
          </a:r>
        </a:p>
        <a:p>
          <a:pPr marL="355600" marR="0" lvl="0" indent="-228600" algn="l" defTabSz="914400" rtl="0" eaLnBrk="1" fontAlgn="base" latinLnBrk="0" hangingPunct="1">
            <a:lnSpc>
              <a:spcPct val="100000"/>
            </a:lnSpc>
            <a:spcBef>
              <a:spcPct val="50000"/>
            </a:spcBef>
            <a:spcAft>
              <a:spcPts val="600"/>
            </a:spcAft>
            <a:buClrTx/>
            <a:buSzTx/>
            <a:buFont typeface="+mj-ea"/>
            <a:buAutoNum type="circleNumDbPlain"/>
            <a:tabLst/>
            <a:defRPr/>
          </a:pP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IRR(</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내부수익률</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이란 </a:t>
          </a:r>
          <a:r>
            <a:rPr kumimoji="0" lang="ko-KR" altLang="en-US" sz="1200" b="0" i="0" u="none" strike="noStrike" kern="1200" cap="none" spc="0" normalizeH="0" baseline="0" noProof="0" dirty="0" err="1">
              <a:ln>
                <a:noFill/>
              </a:ln>
              <a:solidFill>
                <a:srgbClr val="1B1112"/>
              </a:solidFill>
              <a:effectLst/>
              <a:uLnTx/>
              <a:uFillTx/>
              <a:latin typeface="맑은 고딕" panose="020B0503020000020004" pitchFamily="50" charset="-127"/>
              <a:ea typeface="+mn-ea"/>
            </a:rPr>
            <a:t>투자안의</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예상되는 현금 흐름 </a:t>
          </a:r>
          <a:r>
            <a:rPr kumimoji="0" lang="ko-KR" altLang="en-US" sz="1200" b="0" i="0" u="none" strike="noStrike" kern="1200" cap="none" spc="0" normalizeH="0" baseline="0" noProof="0" dirty="0" err="1">
              <a:ln>
                <a:noFill/>
              </a:ln>
              <a:solidFill>
                <a:srgbClr val="1B1112"/>
              </a:solidFill>
              <a:effectLst/>
              <a:uLnTx/>
              <a:uFillTx/>
              <a:latin typeface="맑은 고딕" panose="020B0503020000020004" pitchFamily="50" charset="-127"/>
              <a:ea typeface="+mn-ea"/>
            </a:rPr>
            <a:t>유입액의</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현재가치와 현금흐름 </a:t>
          </a:r>
          <a:r>
            <a:rPr kumimoji="0" lang="ko-KR" altLang="en-US" sz="1200" b="0" i="0" u="none" strike="noStrike" kern="1200" cap="none" spc="0" normalizeH="0" baseline="0" noProof="0" dirty="0" err="1">
              <a:ln>
                <a:noFill/>
              </a:ln>
              <a:solidFill>
                <a:srgbClr val="1B1112"/>
              </a:solidFill>
              <a:effectLst/>
              <a:uLnTx/>
              <a:uFillTx/>
              <a:latin typeface="맑은 고딕" panose="020B0503020000020004" pitchFamily="50" charset="-127"/>
              <a:ea typeface="+mn-ea"/>
            </a:rPr>
            <a:t>유출액의</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현재가치를 동일하게 하는 할인율</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즉 </a:t>
          </a:r>
          <a:r>
            <a:rPr kumimoji="0" lang="ko-KR" altLang="en-US" sz="1200" b="0" i="0" u="none" strike="noStrike" kern="1200" cap="none" spc="0" normalizeH="0" baseline="0" noProof="0" dirty="0" err="1">
              <a:ln>
                <a:noFill/>
              </a:ln>
              <a:solidFill>
                <a:srgbClr val="1B1112"/>
              </a:solidFill>
              <a:effectLst/>
              <a:uLnTx/>
              <a:uFillTx/>
              <a:latin typeface="맑은 고딕" panose="020B0503020000020004" pitchFamily="50" charset="-127"/>
              <a:ea typeface="+mn-ea"/>
            </a:rPr>
            <a:t>투자안의</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NPV=0</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이 되는 할인율을 의미하며 </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NPV</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와 함께 프로젝트의 경제성을 평가하는 대표적인 기법임</a:t>
          </a:r>
          <a:endPar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endParaRPr>
        </a:p>
        <a:p>
          <a:pPr marL="355600" marR="0" lvl="0" indent="-228600" algn="l" defTabSz="914400" rtl="0" eaLnBrk="1" fontAlgn="base" latinLnBrk="0" hangingPunct="1">
            <a:lnSpc>
              <a:spcPct val="100000"/>
            </a:lnSpc>
            <a:spcBef>
              <a:spcPct val="50000"/>
            </a:spcBef>
            <a:spcAft>
              <a:spcPts val="600"/>
            </a:spcAft>
            <a:buClrTx/>
            <a:buSzTx/>
            <a:buFont typeface="+mj-ea"/>
            <a:buAutoNum type="circleNumDbPlain"/>
            <a:tabLst/>
            <a:defRPr/>
          </a:pP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일반적으로 </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IRR &gt; k (</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자본조달</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비용</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이자율</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요구수익률</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이면 프로젝트의 타당성이 있다고 결정하는데 구체적인 결정 기준은 아래와 같음</a:t>
          </a:r>
          <a:endPar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endParaRPr>
        </a:p>
        <a:p>
          <a:pPr marL="622300" marR="0" lvl="0" indent="-177800" algn="l" defTabSz="914400" rtl="0" eaLnBrk="1" fontAlgn="base" latinLnBrk="0" hangingPunct="1">
            <a:lnSpc>
              <a:spcPct val="100000"/>
            </a:lnSpc>
            <a:spcBef>
              <a:spcPct val="50000"/>
            </a:spcBef>
            <a:spcAft>
              <a:spcPts val="0"/>
            </a:spcAft>
            <a:buClrTx/>
            <a:buSzTx/>
            <a:buFont typeface="Arial" panose="020B0604020202020204" pitchFamily="34" charset="0"/>
            <a:buChar char="•"/>
            <a:tabLst/>
            <a:defRPr/>
          </a:pP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독립적 </a:t>
          </a:r>
          <a:r>
            <a:rPr kumimoji="0" lang="ko-KR" altLang="en-US" sz="1200" b="0" i="0" u="none" strike="noStrike" kern="1200" cap="none" spc="0" normalizeH="0" baseline="0" noProof="0" dirty="0" err="1">
              <a:ln>
                <a:noFill/>
              </a:ln>
              <a:solidFill>
                <a:srgbClr val="1B1112"/>
              </a:solidFill>
              <a:effectLst/>
              <a:uLnTx/>
              <a:uFillTx/>
              <a:latin typeface="맑은 고딕" panose="020B0503020000020004" pitchFamily="50" charset="-127"/>
              <a:ea typeface="+mn-ea"/>
            </a:rPr>
            <a:t>투자안의</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경우 </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IRR &gt; k</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이면 채택</a:t>
          </a:r>
        </a:p>
        <a:p>
          <a:pPr marL="622300" marR="0" lvl="0" indent="-177800" algn="l" defTabSz="914400" rtl="0" eaLnBrk="1" fontAlgn="base" latinLnBrk="0" hangingPunct="1">
            <a:lnSpc>
              <a:spcPct val="100000"/>
            </a:lnSpc>
            <a:spcBef>
              <a:spcPct val="50000"/>
            </a:spcBef>
            <a:spcAft>
              <a:spcPts val="0"/>
            </a:spcAft>
            <a:buClrTx/>
            <a:buSzTx/>
            <a:buFont typeface="Arial" panose="020B0604020202020204" pitchFamily="34" charset="0"/>
            <a:buChar char="•"/>
            <a:tabLst/>
            <a:defRPr/>
          </a:pP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상호 배타적인 </a:t>
          </a:r>
          <a:r>
            <a:rPr kumimoji="0" lang="ko-KR" altLang="en-US" sz="1200" b="0" i="0" u="none" strike="noStrike" kern="1200" cap="none" spc="0" normalizeH="0" baseline="0" noProof="0" dirty="0" err="1">
              <a:ln>
                <a:noFill/>
              </a:ln>
              <a:solidFill>
                <a:srgbClr val="1B1112"/>
              </a:solidFill>
              <a:effectLst/>
              <a:uLnTx/>
              <a:uFillTx/>
              <a:latin typeface="맑은 고딕" panose="020B0503020000020004" pitchFamily="50" charset="-127"/>
              <a:ea typeface="+mn-ea"/>
            </a:rPr>
            <a:t>투자안의</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경우 </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IRR &gt; k</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면서 </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IRR</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이 가장 큰 </a:t>
          </a:r>
          <a:r>
            <a:rPr kumimoji="0" lang="ko-KR" altLang="en-US" sz="1200" b="0" i="0" u="none" strike="noStrike" kern="1200" cap="none" spc="0" normalizeH="0" baseline="0" noProof="0" dirty="0" err="1">
              <a:ln>
                <a:noFill/>
              </a:ln>
              <a:solidFill>
                <a:srgbClr val="1B1112"/>
              </a:solidFill>
              <a:effectLst/>
              <a:uLnTx/>
              <a:uFillTx/>
              <a:latin typeface="맑은 고딕" panose="020B0503020000020004" pitchFamily="50" charset="-127"/>
              <a:ea typeface="+mn-ea"/>
            </a:rPr>
            <a:t>투자안을</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채택 </a:t>
          </a:r>
        </a:p>
        <a:p>
          <a:pPr marL="622300" marR="0" lvl="0" indent="-177800" algn="l" defTabSz="914400" rtl="0" eaLnBrk="1" fontAlgn="base" latinLnBrk="0" hangingPunct="1">
            <a:lnSpc>
              <a:spcPct val="100000"/>
            </a:lnSpc>
            <a:spcBef>
              <a:spcPct val="50000"/>
            </a:spcBef>
            <a:spcAft>
              <a:spcPts val="0"/>
            </a:spcAft>
            <a:buClrTx/>
            <a:buSzTx/>
            <a:buFont typeface="Arial" panose="020B0604020202020204" pitchFamily="34" charset="0"/>
            <a:buChar char="•"/>
            <a:tabLst/>
            <a:defRPr/>
          </a:pPr>
          <a:r>
            <a:rPr kumimoji="0" lang="ko-KR" altLang="en-US" sz="1200" b="0" i="0" u="none" strike="noStrike" kern="1200" cap="none" spc="0" normalizeH="0" baseline="0" noProof="0" dirty="0" err="1">
              <a:ln>
                <a:noFill/>
              </a:ln>
              <a:solidFill>
                <a:srgbClr val="1B1112"/>
              </a:solidFill>
              <a:effectLst/>
              <a:uLnTx/>
              <a:uFillTx/>
              <a:latin typeface="맑은 고딕" panose="020B0503020000020004" pitchFamily="50" charset="-127"/>
              <a:ea typeface="+mn-ea"/>
            </a:rPr>
            <a:t>투자안에</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순위를 부여하는 경우 </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IRR</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이 큰 순서대로 우선순위에 두고 채택</a:t>
          </a:r>
        </a:p>
        <a:p>
          <a:pPr marL="622300" marR="0" lvl="0" indent="-177800" algn="l" defTabSz="914400" rtl="0" eaLnBrk="1" fontAlgn="base" latinLnBrk="0" hangingPunct="1">
            <a:lnSpc>
              <a:spcPct val="100000"/>
            </a:lnSpc>
            <a:spcBef>
              <a:spcPct val="50000"/>
            </a:spcBef>
            <a:spcAft>
              <a:spcPts val="0"/>
            </a:spcAft>
            <a:buClrTx/>
            <a:buSzTx/>
            <a:buFont typeface="Arial" panose="020B0604020202020204" pitchFamily="34" charset="0"/>
            <a:buChar char="•"/>
            <a:tabLst/>
            <a:defRPr/>
          </a:pPr>
          <a:endPar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endParaRPr>
        </a:p>
        <a:p>
          <a:pPr marL="0" marR="0" lvl="0" indent="0" defTabSz="914400" eaLnBrk="1" fontAlgn="auto" latinLnBrk="0" hangingPunct="1">
            <a:lnSpc>
              <a:spcPts val="1800"/>
            </a:lnSpc>
            <a:spcBef>
              <a:spcPts val="0"/>
            </a:spcBef>
            <a:spcAft>
              <a:spcPts val="0"/>
            </a:spcAft>
            <a:buClrTx/>
            <a:buSzTx/>
            <a:buFontTx/>
            <a:buNone/>
            <a:tabLst/>
            <a:defRPr/>
          </a:pPr>
          <a:r>
            <a:rPr kumimoji="0" lang="en-US" altLang="ko-KR" sz="1800" b="1" i="0" u="none" strike="noStrike" kern="0" cap="none" spc="0" normalizeH="0" baseline="0" noProof="0">
              <a:ln>
                <a:noFill/>
              </a:ln>
              <a:solidFill>
                <a:srgbClr val="FF0000"/>
              </a:solidFill>
              <a:effectLst/>
              <a:uLnTx/>
              <a:uFillTx/>
              <a:latin typeface="맑은 고딕" panose="020B0503020000020004" pitchFamily="50" charset="-127"/>
              <a:ea typeface="+mn-ea"/>
            </a:rPr>
            <a:t>&lt;</a:t>
          </a:r>
          <a:r>
            <a:rPr kumimoji="0" lang="ko-KR" altLang="en-US" sz="1800" b="1" i="0" u="none" strike="noStrike" kern="0" cap="none" spc="0" normalizeH="0" baseline="0" noProof="0">
              <a:ln>
                <a:noFill/>
              </a:ln>
              <a:solidFill>
                <a:srgbClr val="FF0000"/>
              </a:solidFill>
              <a:effectLst/>
              <a:uLnTx/>
              <a:uFillTx/>
              <a:latin typeface="맑은 고딕" panose="020B0503020000020004" pitchFamily="50" charset="-127"/>
              <a:ea typeface="+mn-ea"/>
            </a:rPr>
            <a:t>분석 방법</a:t>
          </a:r>
          <a:r>
            <a:rPr kumimoji="0" lang="en-US" altLang="ko-KR" sz="1800" b="1" i="0" u="none" strike="noStrike" kern="0" cap="none" spc="0" normalizeH="0" baseline="0" noProof="0">
              <a:ln>
                <a:noFill/>
              </a:ln>
              <a:solidFill>
                <a:srgbClr val="FF0000"/>
              </a:solidFill>
              <a:effectLst/>
              <a:uLnTx/>
              <a:uFillTx/>
              <a:latin typeface="맑은 고딕" panose="020B0503020000020004" pitchFamily="50" charset="-127"/>
              <a:ea typeface="+mn-ea"/>
            </a:rPr>
            <a:t>&gt;</a:t>
          </a:r>
        </a:p>
        <a:p>
          <a:pPr marL="180975" marR="0" lvl="0" indent="-180975" algn="l" defTabSz="914400" rtl="0" eaLnBrk="1" fontAlgn="base" latinLnBrk="0" hangingPunct="1">
            <a:lnSpc>
              <a:spcPct val="100000"/>
            </a:lnSpc>
            <a:spcBef>
              <a:spcPct val="50000"/>
            </a:spcBef>
            <a:spcAft>
              <a:spcPts val="600"/>
            </a:spcAft>
            <a:buClrTx/>
            <a:buSzTx/>
            <a:buFont typeface="Arial" panose="020B0604020202020204" pitchFamily="34" charset="0"/>
            <a:buChar char="–"/>
            <a:tabLst/>
            <a:defRPr/>
          </a:pP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프로젝트에 대한 다양한 투자 대안들의 자본비용과 현금흐름을 기반으로 </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IRR</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을</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도출한 후 최적 투자대안을 결정함</a:t>
          </a:r>
          <a:endPar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endParaRPr>
        </a:p>
        <a:p>
          <a:pPr marL="355600" marR="0" lvl="0" indent="-228600" algn="l" defTabSz="914400" rtl="0" eaLnBrk="1" fontAlgn="base" latinLnBrk="0" hangingPunct="1">
            <a:lnSpc>
              <a:spcPct val="100000"/>
            </a:lnSpc>
            <a:spcBef>
              <a:spcPct val="50000"/>
            </a:spcBef>
            <a:spcAft>
              <a:spcPts val="600"/>
            </a:spcAft>
            <a:buClrTx/>
            <a:buSzTx/>
            <a:buFont typeface="+mj-ea"/>
            <a:buAutoNum type="circleNumDbPlain"/>
            <a:tabLst/>
            <a:defRPr/>
          </a:pP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예상 현금흐름 추정 </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프로젝트의 다양한 투자대안들에 대해서 예상되는 </a:t>
          </a:r>
          <a:r>
            <a:rPr kumimoji="0" lang="ko-KR" altLang="en-US" sz="1200" b="0" i="0" u="none" strike="noStrike" kern="1200" cap="none" spc="0" normalizeH="0" baseline="0" noProof="0" dirty="0" err="1">
              <a:ln>
                <a:noFill/>
              </a:ln>
              <a:solidFill>
                <a:srgbClr val="1B1112"/>
              </a:solidFill>
              <a:effectLst/>
              <a:uLnTx/>
              <a:uFillTx/>
              <a:latin typeface="맑은 고딕" panose="020B0503020000020004" pitchFamily="50" charset="-127"/>
              <a:ea typeface="+mn-ea"/>
            </a:rPr>
            <a:t>현금유입액과</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a:t>
          </a:r>
          <a:r>
            <a:rPr kumimoji="0" lang="ko-KR" altLang="en-US" sz="1200" b="0" i="0" u="none" strike="noStrike" kern="1200" cap="none" spc="0" normalizeH="0" baseline="0" noProof="0" dirty="0" err="1">
              <a:ln>
                <a:noFill/>
              </a:ln>
              <a:solidFill>
                <a:srgbClr val="1B1112"/>
              </a:solidFill>
              <a:effectLst/>
              <a:uLnTx/>
              <a:uFillTx/>
              <a:latin typeface="맑은 고딕" panose="020B0503020000020004" pitchFamily="50" charset="-127"/>
              <a:ea typeface="+mn-ea"/>
            </a:rPr>
            <a:t>유출액으로</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예상 현금흐름을 추정함</a:t>
          </a:r>
          <a:endPar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endParaRPr>
        </a:p>
        <a:p>
          <a:pPr marL="355600" marR="0" lvl="0" indent="-228600" algn="l" defTabSz="914400" rtl="0" eaLnBrk="1" fontAlgn="base" latinLnBrk="0" hangingPunct="1">
            <a:lnSpc>
              <a:spcPct val="100000"/>
            </a:lnSpc>
            <a:spcBef>
              <a:spcPct val="50000"/>
            </a:spcBef>
            <a:spcAft>
              <a:spcPts val="600"/>
            </a:spcAft>
            <a:buClrTx/>
            <a:buSzTx/>
            <a:buFont typeface="+mj-ea"/>
            <a:buAutoNum type="circleNumDbPlain"/>
            <a:tabLst/>
            <a:defRPr/>
          </a:pP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내부수익률 계산 </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a:t>
          </a:r>
          <a:r>
            <a:rPr kumimoji="0" lang="ko-KR" altLang="en-US" sz="1200" b="0" i="0" u="none" strike="noStrike" kern="1200" cap="none" spc="0" normalizeH="0" baseline="0" noProof="0" dirty="0" err="1">
              <a:ln>
                <a:noFill/>
              </a:ln>
              <a:solidFill>
                <a:srgbClr val="1B1112"/>
              </a:solidFill>
              <a:effectLst/>
              <a:uLnTx/>
              <a:uFillTx/>
              <a:latin typeface="맑은 고딕" panose="020B0503020000020004" pitchFamily="50" charset="-127"/>
              <a:ea typeface="+mn-ea"/>
            </a:rPr>
            <a:t>투자안들의</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자본비용과 예상 현금흐름을 기반으로 내부수익률을 계산함 </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(Excel </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재무함수</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_IRR</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활용</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a:t>
          </a:r>
        </a:p>
        <a:p>
          <a:pPr marL="355600" marR="0" lvl="0" indent="-228600" algn="l" defTabSz="914400" rtl="0" eaLnBrk="1" fontAlgn="base" latinLnBrk="0" hangingPunct="1">
            <a:lnSpc>
              <a:spcPct val="100000"/>
            </a:lnSpc>
            <a:spcBef>
              <a:spcPct val="50000"/>
            </a:spcBef>
            <a:spcAft>
              <a:spcPts val="600"/>
            </a:spcAft>
            <a:buClrTx/>
            <a:buSzTx/>
            <a:buFont typeface="+mj-ea"/>
            <a:buAutoNum type="circleNumDbPlain"/>
            <a:tabLst/>
            <a:defRPr/>
          </a:pP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투자의 타당성 결정 </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투자대안들에 대해서 계산된</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IRR</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을 비교 분석하여 최적 </a:t>
          </a:r>
          <a:r>
            <a:rPr kumimoji="0" lang="ko-KR" altLang="en-US" sz="1200" b="0" i="0" u="none" strike="noStrike" kern="1200" cap="none" spc="0" normalizeH="0" baseline="0" noProof="0" dirty="0" err="1">
              <a:ln>
                <a:noFill/>
              </a:ln>
              <a:solidFill>
                <a:srgbClr val="1B1112"/>
              </a:solidFill>
              <a:effectLst/>
              <a:uLnTx/>
              <a:uFillTx/>
              <a:latin typeface="맑은 고딕" panose="020B0503020000020004" pitchFamily="50" charset="-127"/>
              <a:ea typeface="+mn-ea"/>
            </a:rPr>
            <a:t>투자안을</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결정함 </a:t>
          </a:r>
          <a:endPar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endParaRPr>
        </a:p>
      </xdr:txBody>
    </xdr:sp>
    <xdr:clientData/>
  </xdr:twoCellAnchor>
  <xdr:twoCellAnchor>
    <xdr:from>
      <xdr:col>46</xdr:col>
      <xdr:colOff>298738</xdr:colOff>
      <xdr:row>20</xdr:row>
      <xdr:rowOff>0</xdr:rowOff>
    </xdr:from>
    <xdr:to>
      <xdr:col>65</xdr:col>
      <xdr:colOff>64513</xdr:colOff>
      <xdr:row>44</xdr:row>
      <xdr:rowOff>32559</xdr:rowOff>
    </xdr:to>
    <xdr:sp macro="" textlink="">
      <xdr:nvSpPr>
        <xdr:cNvPr id="9" name="직사각형 8">
          <a:extLst>
            <a:ext uri="{FF2B5EF4-FFF2-40B4-BE49-F238E27FC236}">
              <a16:creationId xmlns:a16="http://schemas.microsoft.com/office/drawing/2014/main" id="{05E42063-A045-408D-830D-6EF58EA630A1}"/>
            </a:ext>
          </a:extLst>
        </xdr:cNvPr>
        <xdr:cNvSpPr/>
      </xdr:nvSpPr>
      <xdr:spPr>
        <a:xfrm>
          <a:off x="12109738" y="5341620"/>
          <a:ext cx="12453075" cy="5549439"/>
        </a:xfrm>
        <a:prstGeom prst="rect">
          <a:avLst/>
        </a:prstGeom>
        <a:solidFill>
          <a:sysClr val="window" lastClr="FFFFFF"/>
        </a:solidFill>
        <a:ln w="25400">
          <a:solidFill>
            <a:srgbClr val="FF0000"/>
          </a:solidFill>
          <a:prstDash val="solid"/>
        </a:ln>
        <a:effectLst/>
      </xdr:spPr>
      <xdr:style>
        <a:lnRef idx="2">
          <a:schemeClr val="accent6"/>
        </a:lnRef>
        <a:fillRef idx="1">
          <a:schemeClr val="lt1"/>
        </a:fillRef>
        <a:effectRef idx="0">
          <a:schemeClr val="accent6"/>
        </a:effectRef>
        <a:fontRef idx="minor">
          <a:schemeClr val="dk1"/>
        </a:fontRef>
      </xdr:style>
      <xdr:txBody>
        <a:bodyPr wrap="square" tIns="0" bIns="0" anchor="ctr"/>
        <a:lstStyle>
          <a:defPPr>
            <a:defRPr lang="ko-KR"/>
          </a:defPPr>
          <a:lvl1pPr algn="l" rtl="0" fontAlgn="base" latinLnBrk="1">
            <a:spcBef>
              <a:spcPct val="0"/>
            </a:spcBef>
            <a:spcAft>
              <a:spcPct val="0"/>
            </a:spcAft>
            <a:defRPr kumimoji="1" kern="1200">
              <a:solidFill>
                <a:schemeClr val="dk1"/>
              </a:solidFill>
              <a:latin typeface="+mn-lt"/>
              <a:ea typeface="+mn-ea"/>
              <a:cs typeface="+mn-cs"/>
            </a:defRPr>
          </a:lvl1pPr>
          <a:lvl2pPr marL="457200" algn="l" rtl="0" fontAlgn="base" latinLnBrk="1">
            <a:spcBef>
              <a:spcPct val="0"/>
            </a:spcBef>
            <a:spcAft>
              <a:spcPct val="0"/>
            </a:spcAft>
            <a:defRPr kumimoji="1" kern="1200">
              <a:solidFill>
                <a:schemeClr val="dk1"/>
              </a:solidFill>
              <a:latin typeface="+mn-lt"/>
              <a:ea typeface="+mn-ea"/>
              <a:cs typeface="+mn-cs"/>
            </a:defRPr>
          </a:lvl2pPr>
          <a:lvl3pPr marL="914400" algn="l" rtl="0" fontAlgn="base" latinLnBrk="1">
            <a:spcBef>
              <a:spcPct val="0"/>
            </a:spcBef>
            <a:spcAft>
              <a:spcPct val="0"/>
            </a:spcAft>
            <a:defRPr kumimoji="1" kern="1200">
              <a:solidFill>
                <a:schemeClr val="dk1"/>
              </a:solidFill>
              <a:latin typeface="+mn-lt"/>
              <a:ea typeface="+mn-ea"/>
              <a:cs typeface="+mn-cs"/>
            </a:defRPr>
          </a:lvl3pPr>
          <a:lvl4pPr marL="1371600" algn="l" rtl="0" fontAlgn="base" latinLnBrk="1">
            <a:spcBef>
              <a:spcPct val="0"/>
            </a:spcBef>
            <a:spcAft>
              <a:spcPct val="0"/>
            </a:spcAft>
            <a:defRPr kumimoji="1" kern="1200">
              <a:solidFill>
                <a:schemeClr val="dk1"/>
              </a:solidFill>
              <a:latin typeface="+mn-lt"/>
              <a:ea typeface="+mn-ea"/>
              <a:cs typeface="+mn-cs"/>
            </a:defRPr>
          </a:lvl4pPr>
          <a:lvl5pPr marL="1828800" algn="l" rtl="0" fontAlgn="base" latinLnBrk="1">
            <a:spcBef>
              <a:spcPct val="0"/>
            </a:spcBef>
            <a:spcAft>
              <a:spcPct val="0"/>
            </a:spcAft>
            <a:defRPr kumimoji="1" kern="1200">
              <a:solidFill>
                <a:schemeClr val="dk1"/>
              </a:solidFill>
              <a:latin typeface="+mn-lt"/>
              <a:ea typeface="+mn-ea"/>
              <a:cs typeface="+mn-cs"/>
            </a:defRPr>
          </a:lvl5pPr>
          <a:lvl6pPr marL="2286000" algn="l" defTabSz="914400" rtl="0" eaLnBrk="1" latinLnBrk="1" hangingPunct="1">
            <a:defRPr kumimoji="1" kern="1200">
              <a:solidFill>
                <a:schemeClr val="dk1"/>
              </a:solidFill>
              <a:latin typeface="+mn-lt"/>
              <a:ea typeface="+mn-ea"/>
              <a:cs typeface="+mn-cs"/>
            </a:defRPr>
          </a:lvl6pPr>
          <a:lvl7pPr marL="2743200" algn="l" defTabSz="914400" rtl="0" eaLnBrk="1" latinLnBrk="1" hangingPunct="1">
            <a:defRPr kumimoji="1" kern="1200">
              <a:solidFill>
                <a:schemeClr val="dk1"/>
              </a:solidFill>
              <a:latin typeface="+mn-lt"/>
              <a:ea typeface="+mn-ea"/>
              <a:cs typeface="+mn-cs"/>
            </a:defRPr>
          </a:lvl7pPr>
          <a:lvl8pPr marL="3200400" algn="l" defTabSz="914400" rtl="0" eaLnBrk="1" latinLnBrk="1" hangingPunct="1">
            <a:defRPr kumimoji="1" kern="1200">
              <a:solidFill>
                <a:schemeClr val="dk1"/>
              </a:solidFill>
              <a:latin typeface="+mn-lt"/>
              <a:ea typeface="+mn-ea"/>
              <a:cs typeface="+mn-cs"/>
            </a:defRPr>
          </a:lvl8pPr>
          <a:lvl9pPr marL="3657600" algn="l" defTabSz="914400" rtl="0" eaLnBrk="1" latinLnBrk="1" hangingPunct="1">
            <a:defRPr kumimoji="1" kern="1200">
              <a:solidFill>
                <a:schemeClr val="dk1"/>
              </a:solidFill>
              <a:latin typeface="+mn-lt"/>
              <a:ea typeface="+mn-ea"/>
              <a:cs typeface="+mn-cs"/>
            </a:defRPr>
          </a:lvl9pPr>
        </a:lstStyle>
        <a:p>
          <a:pPr>
            <a:lnSpc>
              <a:spcPts val="1800"/>
            </a:lnSpc>
            <a:defRPr/>
          </a:pPr>
          <a:r>
            <a:rPr lang="en-US" altLang="ko-KR" sz="1800" b="1">
              <a:solidFill>
                <a:srgbClr val="FF0000"/>
              </a:solidFill>
              <a:latin typeface="+mn-ea"/>
            </a:rPr>
            <a:t>&lt;EVA </a:t>
          </a:r>
          <a:r>
            <a:rPr lang="ko-KR" altLang="en-US" sz="1800" b="1">
              <a:solidFill>
                <a:srgbClr val="FF0000"/>
              </a:solidFill>
              <a:latin typeface="+mn-ea"/>
            </a:rPr>
            <a:t>분석의 개념</a:t>
          </a:r>
          <a:r>
            <a:rPr lang="en-US" altLang="ko-KR" sz="1800" b="1">
              <a:solidFill>
                <a:srgbClr val="FF0000"/>
              </a:solidFill>
              <a:latin typeface="+mn-ea"/>
            </a:rPr>
            <a:t>&gt;</a:t>
          </a:r>
        </a:p>
        <a:p>
          <a:pPr marL="355600" marR="0" lvl="0" indent="-228600" algn="l" defTabSz="914400" rtl="0" eaLnBrk="1" fontAlgn="base" latinLnBrk="0" hangingPunct="1">
            <a:lnSpc>
              <a:spcPct val="100000"/>
            </a:lnSpc>
            <a:spcBef>
              <a:spcPct val="50000"/>
            </a:spcBef>
            <a:spcAft>
              <a:spcPts val="600"/>
            </a:spcAft>
            <a:buClrTx/>
            <a:buSzTx/>
            <a:buFont typeface="+mj-ea"/>
            <a:buAutoNum type="circleNumDbPlain"/>
            <a:tabLst/>
            <a:defRPr/>
          </a:pP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경제적 부가가치</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(EVA)</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란 매출액이나 경상이익 등 회계적 이익을 나타내는 지표와 달리 영업을 통해 창출해 낸 부가가치의 </a:t>
          </a:r>
          <a:r>
            <a:rPr kumimoji="0" lang="ko-KR" altLang="en-US" sz="1200" b="0" i="0" u="none" strike="noStrike" kern="1200" cap="none" spc="0" normalizeH="0" baseline="0" noProof="0" dirty="0" err="1">
              <a:ln>
                <a:noFill/>
              </a:ln>
              <a:solidFill>
                <a:srgbClr val="1B1112"/>
              </a:solidFill>
              <a:effectLst/>
              <a:uLnTx/>
              <a:uFillTx/>
              <a:latin typeface="맑은 고딕" panose="020B0503020000020004" pitchFamily="50" charset="-127"/>
              <a:ea typeface="+mn-ea"/>
            </a:rPr>
            <a:t>순증가분을</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따져보는 지표를 의미하며</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영업이익에서 법인세를 차감한 </a:t>
          </a:r>
          <a:r>
            <a:rPr kumimoji="0" lang="ko-KR" altLang="en-US" sz="1200" b="0" i="0" u="none" strike="noStrike" kern="1200" cap="none" spc="0" normalizeH="0" baseline="0" noProof="0" dirty="0" err="1">
              <a:ln>
                <a:noFill/>
              </a:ln>
              <a:solidFill>
                <a:srgbClr val="1B1112"/>
              </a:solidFill>
              <a:effectLst/>
              <a:uLnTx/>
              <a:uFillTx/>
              <a:latin typeface="맑은 고딕" panose="020B0503020000020004" pitchFamily="50" charset="-127"/>
              <a:ea typeface="+mn-ea"/>
            </a:rPr>
            <a:t>세후</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영업이익에서 타인자본비용과 자기자본비용을 합산한 총자본 비용을 차감해 구함</a:t>
          </a:r>
          <a:endPar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endParaRPr>
        </a:p>
        <a:p>
          <a:pPr marL="622300" marR="0" lvl="0" indent="-177800" algn="l" defTabSz="914400" rtl="0" eaLnBrk="1" fontAlgn="base" latinLnBrk="0" hangingPunct="1">
            <a:lnSpc>
              <a:spcPct val="100000"/>
            </a:lnSpc>
            <a:spcBef>
              <a:spcPts val="0"/>
            </a:spcBef>
            <a:spcAft>
              <a:spcPts val="600"/>
            </a:spcAft>
            <a:buClrTx/>
            <a:buSzTx/>
            <a:buFont typeface="Arial" panose="020B0604020202020204" pitchFamily="34" charset="0"/>
            <a:buChar char="•"/>
            <a:tabLst/>
            <a:defRPr/>
          </a:pPr>
          <a:r>
            <a:rPr kumimoji="0" lang="ko-KR" altLang="en-US" sz="1200" b="0" i="0" u="none" strike="noStrike" kern="1200" cap="none" spc="0" normalizeH="0" baseline="0" noProof="0" dirty="0" err="1">
              <a:ln>
                <a:noFill/>
              </a:ln>
              <a:solidFill>
                <a:srgbClr val="1B1112"/>
              </a:solidFill>
              <a:effectLst/>
              <a:uLnTx/>
              <a:uFillTx/>
              <a:latin typeface="맑은 고딕" panose="020B0503020000020004" pitchFamily="50" charset="-127"/>
              <a:ea typeface="+mn-ea"/>
            </a:rPr>
            <a:t>세후</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영업이익</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(Net Operating Profit After Tax) = </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영업이익 </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법인세</a:t>
          </a:r>
          <a:endPar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endParaRPr>
        </a:p>
        <a:p>
          <a:pPr marL="622300" marR="0" lvl="0" indent="-177800" algn="l" defTabSz="914400" rtl="0" eaLnBrk="1" fontAlgn="base" latinLnBrk="0" hangingPunct="1">
            <a:lnSpc>
              <a:spcPct val="100000"/>
            </a:lnSpc>
            <a:spcBef>
              <a:spcPts val="0"/>
            </a:spcBef>
            <a:spcAft>
              <a:spcPts val="600"/>
            </a:spcAft>
            <a:buClrTx/>
            <a:buSzTx/>
            <a:buFont typeface="Arial" panose="020B0604020202020204" pitchFamily="34" charset="0"/>
            <a:buChar char="•"/>
            <a:tabLst/>
            <a:defRPr/>
          </a:pP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자본비용</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(Cost of Capital) = </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타인자본</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비용 </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자기자본 비용</a:t>
          </a:r>
          <a:endPar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endParaRPr>
        </a:p>
        <a:p>
          <a:pPr marL="355600" marR="0" lvl="0" indent="-228600" algn="l" defTabSz="914400" rtl="0" eaLnBrk="1" fontAlgn="base" latinLnBrk="0" hangingPunct="1">
            <a:lnSpc>
              <a:spcPct val="100000"/>
            </a:lnSpc>
            <a:spcBef>
              <a:spcPct val="50000"/>
            </a:spcBef>
            <a:spcAft>
              <a:spcPts val="600"/>
            </a:spcAft>
            <a:buClrTx/>
            <a:buSzTx/>
            <a:buFont typeface="+mj-ea"/>
            <a:buAutoNum type="circleNumDbPlain" startAt="2"/>
            <a:tabLst/>
            <a:defRPr/>
          </a:pP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EVA</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가 마이너스라는 것은 기업이 투자하여 최소한 벌어들여야 할 요구수익에 미달 한다는 의미이며</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EVA</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가 플러스라는 것은 투하된 자본에 대한 비용을 초과하여 이익을 발생 시켰음을 의미하므로 </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EVA </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값이 크면 클수록 기업의 투자가치가 높다는 것을 나타냄</a:t>
          </a:r>
          <a:endPar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endParaRPr>
        </a:p>
        <a:p>
          <a:pPr marL="622300" marR="0" lvl="0" indent="-177800" algn="l" defTabSz="914400" rtl="0" eaLnBrk="1" fontAlgn="base" latinLnBrk="0" hangingPunct="1">
            <a:lnSpc>
              <a:spcPct val="100000"/>
            </a:lnSpc>
            <a:spcBef>
              <a:spcPct val="50000"/>
            </a:spcBef>
            <a:spcAft>
              <a:spcPts val="0"/>
            </a:spcAft>
            <a:buClrTx/>
            <a:buSzTx/>
            <a:buFont typeface="Arial" panose="020B0604020202020204" pitchFamily="34" charset="0"/>
            <a:buChar char="•"/>
            <a:tabLst/>
            <a:defRPr/>
          </a:pPr>
          <a:endPar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endParaRPr>
        </a:p>
        <a:p>
          <a:pPr marL="0" marR="0" lvl="0" indent="0" defTabSz="914400" eaLnBrk="1" fontAlgn="auto" latinLnBrk="0" hangingPunct="1">
            <a:lnSpc>
              <a:spcPts val="1800"/>
            </a:lnSpc>
            <a:spcBef>
              <a:spcPts val="0"/>
            </a:spcBef>
            <a:spcAft>
              <a:spcPts val="0"/>
            </a:spcAft>
            <a:buClrTx/>
            <a:buSzTx/>
            <a:buFontTx/>
            <a:buNone/>
            <a:tabLst/>
            <a:defRPr/>
          </a:pPr>
          <a:r>
            <a:rPr kumimoji="0" lang="en-US" altLang="ko-KR" sz="1800" b="1" i="0" u="none" strike="noStrike" kern="0" cap="none" spc="0" normalizeH="0" baseline="0" noProof="0">
              <a:ln>
                <a:noFill/>
              </a:ln>
              <a:solidFill>
                <a:srgbClr val="FF0000"/>
              </a:solidFill>
              <a:effectLst/>
              <a:uLnTx/>
              <a:uFillTx/>
              <a:latin typeface="맑은 고딕" panose="020B0503020000020004" pitchFamily="50" charset="-127"/>
              <a:ea typeface="+mn-ea"/>
            </a:rPr>
            <a:t>&lt;</a:t>
          </a:r>
          <a:r>
            <a:rPr kumimoji="0" lang="ko-KR" altLang="en-US" sz="1800" b="1" i="0" u="none" strike="noStrike" kern="0" cap="none" spc="0" normalizeH="0" baseline="0" noProof="0">
              <a:ln>
                <a:noFill/>
              </a:ln>
              <a:solidFill>
                <a:srgbClr val="FF0000"/>
              </a:solidFill>
              <a:effectLst/>
              <a:uLnTx/>
              <a:uFillTx/>
              <a:latin typeface="맑은 고딕" panose="020B0503020000020004" pitchFamily="50" charset="-127"/>
              <a:ea typeface="+mn-ea"/>
            </a:rPr>
            <a:t>분석 방법</a:t>
          </a:r>
          <a:r>
            <a:rPr kumimoji="0" lang="en-US" altLang="ko-KR" sz="1800" b="1" i="0" u="none" strike="noStrike" kern="0" cap="none" spc="0" normalizeH="0" baseline="0" noProof="0">
              <a:ln>
                <a:noFill/>
              </a:ln>
              <a:solidFill>
                <a:srgbClr val="FF0000"/>
              </a:solidFill>
              <a:effectLst/>
              <a:uLnTx/>
              <a:uFillTx/>
              <a:latin typeface="맑은 고딕" panose="020B0503020000020004" pitchFamily="50" charset="-127"/>
              <a:ea typeface="+mn-ea"/>
            </a:rPr>
            <a:t>&gt;</a:t>
          </a:r>
        </a:p>
        <a:p>
          <a:pPr marL="180975" marR="0" lvl="0" indent="-180975" algn="l" defTabSz="914400" rtl="0" eaLnBrk="1" fontAlgn="base" latinLnBrk="0" hangingPunct="1">
            <a:lnSpc>
              <a:spcPct val="100000"/>
            </a:lnSpc>
            <a:spcBef>
              <a:spcPct val="50000"/>
            </a:spcBef>
            <a:spcAft>
              <a:spcPts val="600"/>
            </a:spcAft>
            <a:buClrTx/>
            <a:buSzTx/>
            <a:buFont typeface="Arial" panose="020B0604020202020204" pitchFamily="34" charset="0"/>
            <a:buChar char="–"/>
            <a:tabLst/>
            <a:defRPr/>
          </a:pP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영업이익에서 법인세를 차감한 </a:t>
          </a:r>
          <a:r>
            <a:rPr kumimoji="0" lang="ko-KR" altLang="en-US" sz="1200" b="0" i="0" u="none" strike="noStrike" kern="1200" cap="none" spc="0" normalizeH="0" baseline="0" noProof="0" dirty="0" err="1">
              <a:ln>
                <a:noFill/>
              </a:ln>
              <a:solidFill>
                <a:srgbClr val="1B1112"/>
              </a:solidFill>
              <a:effectLst/>
              <a:uLnTx/>
              <a:uFillTx/>
              <a:latin typeface="맑은 고딕" panose="020B0503020000020004" pitchFamily="50" charset="-127"/>
              <a:ea typeface="+mn-ea"/>
            </a:rPr>
            <a:t>세후</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영업이익에서 타인자본비용과 자기자본비용을 합산한 총자본 비용 을 차감해 </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EVA</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를 계산함</a:t>
          </a:r>
          <a:endPar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endParaRPr>
        </a:p>
        <a:p>
          <a:pPr marL="355600" marR="0" lvl="0" indent="-228600" algn="l" defTabSz="914400" rtl="0" eaLnBrk="1" fontAlgn="base" latinLnBrk="0" hangingPunct="1">
            <a:lnSpc>
              <a:spcPct val="100000"/>
            </a:lnSpc>
            <a:spcBef>
              <a:spcPct val="50000"/>
            </a:spcBef>
            <a:spcAft>
              <a:spcPts val="600"/>
            </a:spcAft>
            <a:buClrTx/>
            <a:buSzTx/>
            <a:buFont typeface="+mj-ea"/>
            <a:buAutoNum type="circleNumDbPlain"/>
            <a:tabLst/>
            <a:defRPr/>
          </a:pPr>
          <a:r>
            <a:rPr kumimoji="0" lang="ko-KR" altLang="en-US" sz="1200" b="0" i="0" u="none" strike="noStrike" kern="1200" cap="none" spc="0" normalizeH="0" baseline="0" noProof="0" dirty="0" err="1">
              <a:ln>
                <a:noFill/>
              </a:ln>
              <a:solidFill>
                <a:srgbClr val="1B1112"/>
              </a:solidFill>
              <a:effectLst/>
              <a:uLnTx/>
              <a:uFillTx/>
              <a:latin typeface="맑은 고딕" panose="020B0503020000020004" pitchFamily="50" charset="-127"/>
              <a:ea typeface="+mn-ea"/>
            </a:rPr>
            <a:t>세후</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영업이익 계산 </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영업이익</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매출</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비용</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에서 법인세</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영업이익</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법인세 비율</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를 차감함</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a:t>
          </a:r>
        </a:p>
        <a:p>
          <a:pPr marL="355600" marR="0" lvl="0" indent="-228600" algn="l" defTabSz="914400" rtl="0" eaLnBrk="1" fontAlgn="base" latinLnBrk="0" hangingPunct="1">
            <a:lnSpc>
              <a:spcPct val="100000"/>
            </a:lnSpc>
            <a:spcBef>
              <a:spcPct val="50000"/>
            </a:spcBef>
            <a:spcAft>
              <a:spcPts val="600"/>
            </a:spcAft>
            <a:buClrTx/>
            <a:buSzTx/>
            <a:buFont typeface="+mj-ea"/>
            <a:buAutoNum type="circleNumDbPlain"/>
            <a:tabLst/>
            <a:defRPr/>
          </a:pP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자본비용 계산 </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타인자본 비용과 자기자본 비용을 더하여 자본 비용을 계산함</a:t>
          </a:r>
          <a:endPar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endParaRPr>
        </a:p>
        <a:p>
          <a:pPr marL="355600" marR="0" lvl="0" indent="-228600" algn="l" defTabSz="914400" rtl="0" eaLnBrk="1" fontAlgn="base" latinLnBrk="0" hangingPunct="1">
            <a:lnSpc>
              <a:spcPct val="100000"/>
            </a:lnSpc>
            <a:spcBef>
              <a:spcPct val="50000"/>
            </a:spcBef>
            <a:spcAft>
              <a:spcPts val="600"/>
            </a:spcAft>
            <a:buClrTx/>
            <a:buSzTx/>
            <a:buFont typeface="+mj-ea"/>
            <a:buAutoNum type="circleNumDbPlain"/>
            <a:tabLst/>
            <a:defRPr/>
          </a:pP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EVA </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계산 </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a:t>
          </a:r>
          <a:r>
            <a:rPr kumimoji="0" lang="ko-KR" altLang="en-US" sz="1200" b="0" i="0" u="none" strike="noStrike" kern="1200" cap="none" spc="0" normalizeH="0" baseline="0" noProof="0" dirty="0" err="1">
              <a:ln>
                <a:noFill/>
              </a:ln>
              <a:solidFill>
                <a:srgbClr val="1B1112"/>
              </a:solidFill>
              <a:effectLst/>
              <a:uLnTx/>
              <a:uFillTx/>
              <a:latin typeface="맑은 고딕" panose="020B0503020000020004" pitchFamily="50" charset="-127"/>
              <a:ea typeface="+mn-ea"/>
            </a:rPr>
            <a:t>세후</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영업이익에서 자본비용을 차감하여 </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EVA</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를 구함 </a:t>
          </a:r>
          <a:endPar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endParaRPr>
        </a:p>
      </xdr:txBody>
    </xdr:sp>
    <xdr:clientData/>
  </xdr:twoCellAnchor>
  <xdr:twoCellAnchor>
    <xdr:from>
      <xdr:col>73</xdr:col>
      <xdr:colOff>114300</xdr:colOff>
      <xdr:row>4</xdr:row>
      <xdr:rowOff>161925</xdr:rowOff>
    </xdr:from>
    <xdr:to>
      <xdr:col>79</xdr:col>
      <xdr:colOff>590550</xdr:colOff>
      <xdr:row>19</xdr:row>
      <xdr:rowOff>123825</xdr:rowOff>
    </xdr:to>
    <xdr:graphicFrame macro="">
      <xdr:nvGraphicFramePr>
        <xdr:cNvPr id="10" name="차트 1">
          <a:extLst>
            <a:ext uri="{FF2B5EF4-FFF2-40B4-BE49-F238E27FC236}">
              <a16:creationId xmlns:a16="http://schemas.microsoft.com/office/drawing/2014/main" id="{1459D28C-5621-4FFB-BFED-610598D1DB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67</xdr:col>
      <xdr:colOff>434438</xdr:colOff>
      <xdr:row>21</xdr:row>
      <xdr:rowOff>100825</xdr:rowOff>
    </xdr:from>
    <xdr:to>
      <xdr:col>80</xdr:col>
      <xdr:colOff>79167</xdr:colOff>
      <xdr:row>51</xdr:row>
      <xdr:rowOff>163590</xdr:rowOff>
    </xdr:to>
    <xdr:sp macro="" textlink="">
      <xdr:nvSpPr>
        <xdr:cNvPr id="11" name="직사각형 10">
          <a:extLst>
            <a:ext uri="{FF2B5EF4-FFF2-40B4-BE49-F238E27FC236}">
              <a16:creationId xmlns:a16="http://schemas.microsoft.com/office/drawing/2014/main" id="{9373AF87-49CA-4679-9F4F-9C474DF301F6}"/>
            </a:ext>
          </a:extLst>
        </xdr:cNvPr>
        <xdr:cNvSpPr/>
      </xdr:nvSpPr>
      <xdr:spPr>
        <a:xfrm>
          <a:off x="52541383" y="5739625"/>
          <a:ext cx="12571020" cy="7170147"/>
        </a:xfrm>
        <a:prstGeom prst="rect">
          <a:avLst/>
        </a:prstGeom>
        <a:solidFill>
          <a:sysClr val="window" lastClr="FFFFFF"/>
        </a:solidFill>
        <a:ln w="25400">
          <a:solidFill>
            <a:srgbClr val="FF0000"/>
          </a:solidFill>
          <a:prstDash val="solid"/>
        </a:ln>
        <a:effectLst/>
      </xdr:spPr>
      <xdr:style>
        <a:lnRef idx="2">
          <a:schemeClr val="accent6"/>
        </a:lnRef>
        <a:fillRef idx="1">
          <a:schemeClr val="lt1"/>
        </a:fillRef>
        <a:effectRef idx="0">
          <a:schemeClr val="accent6"/>
        </a:effectRef>
        <a:fontRef idx="minor">
          <a:schemeClr val="dk1"/>
        </a:fontRef>
      </xdr:style>
      <xdr:txBody>
        <a:bodyPr wrap="square" tIns="0" bIns="0" anchor="ctr"/>
        <a:lstStyle>
          <a:defPPr>
            <a:defRPr lang="ko-KR"/>
          </a:defPPr>
          <a:lvl1pPr algn="l" rtl="0" fontAlgn="base" latinLnBrk="1">
            <a:spcBef>
              <a:spcPct val="0"/>
            </a:spcBef>
            <a:spcAft>
              <a:spcPct val="0"/>
            </a:spcAft>
            <a:defRPr kumimoji="1" kern="1200">
              <a:solidFill>
                <a:schemeClr val="dk1"/>
              </a:solidFill>
              <a:latin typeface="+mn-lt"/>
              <a:ea typeface="+mn-ea"/>
              <a:cs typeface="+mn-cs"/>
            </a:defRPr>
          </a:lvl1pPr>
          <a:lvl2pPr marL="457200" algn="l" rtl="0" fontAlgn="base" latinLnBrk="1">
            <a:spcBef>
              <a:spcPct val="0"/>
            </a:spcBef>
            <a:spcAft>
              <a:spcPct val="0"/>
            </a:spcAft>
            <a:defRPr kumimoji="1" kern="1200">
              <a:solidFill>
                <a:schemeClr val="dk1"/>
              </a:solidFill>
              <a:latin typeface="+mn-lt"/>
              <a:ea typeface="+mn-ea"/>
              <a:cs typeface="+mn-cs"/>
            </a:defRPr>
          </a:lvl2pPr>
          <a:lvl3pPr marL="914400" algn="l" rtl="0" fontAlgn="base" latinLnBrk="1">
            <a:spcBef>
              <a:spcPct val="0"/>
            </a:spcBef>
            <a:spcAft>
              <a:spcPct val="0"/>
            </a:spcAft>
            <a:defRPr kumimoji="1" kern="1200">
              <a:solidFill>
                <a:schemeClr val="dk1"/>
              </a:solidFill>
              <a:latin typeface="+mn-lt"/>
              <a:ea typeface="+mn-ea"/>
              <a:cs typeface="+mn-cs"/>
            </a:defRPr>
          </a:lvl3pPr>
          <a:lvl4pPr marL="1371600" algn="l" rtl="0" fontAlgn="base" latinLnBrk="1">
            <a:spcBef>
              <a:spcPct val="0"/>
            </a:spcBef>
            <a:spcAft>
              <a:spcPct val="0"/>
            </a:spcAft>
            <a:defRPr kumimoji="1" kern="1200">
              <a:solidFill>
                <a:schemeClr val="dk1"/>
              </a:solidFill>
              <a:latin typeface="+mn-lt"/>
              <a:ea typeface="+mn-ea"/>
              <a:cs typeface="+mn-cs"/>
            </a:defRPr>
          </a:lvl4pPr>
          <a:lvl5pPr marL="1828800" algn="l" rtl="0" fontAlgn="base" latinLnBrk="1">
            <a:spcBef>
              <a:spcPct val="0"/>
            </a:spcBef>
            <a:spcAft>
              <a:spcPct val="0"/>
            </a:spcAft>
            <a:defRPr kumimoji="1" kern="1200">
              <a:solidFill>
                <a:schemeClr val="dk1"/>
              </a:solidFill>
              <a:latin typeface="+mn-lt"/>
              <a:ea typeface="+mn-ea"/>
              <a:cs typeface="+mn-cs"/>
            </a:defRPr>
          </a:lvl5pPr>
          <a:lvl6pPr marL="2286000" algn="l" defTabSz="914400" rtl="0" eaLnBrk="1" latinLnBrk="1" hangingPunct="1">
            <a:defRPr kumimoji="1" kern="1200">
              <a:solidFill>
                <a:schemeClr val="dk1"/>
              </a:solidFill>
              <a:latin typeface="+mn-lt"/>
              <a:ea typeface="+mn-ea"/>
              <a:cs typeface="+mn-cs"/>
            </a:defRPr>
          </a:lvl6pPr>
          <a:lvl7pPr marL="2743200" algn="l" defTabSz="914400" rtl="0" eaLnBrk="1" latinLnBrk="1" hangingPunct="1">
            <a:defRPr kumimoji="1" kern="1200">
              <a:solidFill>
                <a:schemeClr val="dk1"/>
              </a:solidFill>
              <a:latin typeface="+mn-lt"/>
              <a:ea typeface="+mn-ea"/>
              <a:cs typeface="+mn-cs"/>
            </a:defRPr>
          </a:lvl7pPr>
          <a:lvl8pPr marL="3200400" algn="l" defTabSz="914400" rtl="0" eaLnBrk="1" latinLnBrk="1" hangingPunct="1">
            <a:defRPr kumimoji="1" kern="1200">
              <a:solidFill>
                <a:schemeClr val="dk1"/>
              </a:solidFill>
              <a:latin typeface="+mn-lt"/>
              <a:ea typeface="+mn-ea"/>
              <a:cs typeface="+mn-cs"/>
            </a:defRPr>
          </a:lvl8pPr>
          <a:lvl9pPr marL="3657600" algn="l" defTabSz="914400" rtl="0" eaLnBrk="1" latinLnBrk="1" hangingPunct="1">
            <a:defRPr kumimoji="1" kern="1200">
              <a:solidFill>
                <a:schemeClr val="dk1"/>
              </a:solidFill>
              <a:latin typeface="+mn-lt"/>
              <a:ea typeface="+mn-ea"/>
              <a:cs typeface="+mn-cs"/>
            </a:defRPr>
          </a:lvl9pPr>
        </a:lstStyle>
        <a:p>
          <a:pPr>
            <a:lnSpc>
              <a:spcPts val="1700"/>
            </a:lnSpc>
            <a:defRPr/>
          </a:pPr>
          <a:r>
            <a:rPr lang="en-US" altLang="ko-KR" sz="1800" b="1">
              <a:solidFill>
                <a:srgbClr val="FF0000"/>
              </a:solidFill>
              <a:latin typeface="+mn-ea"/>
            </a:rPr>
            <a:t>&lt;</a:t>
          </a:r>
          <a:r>
            <a:rPr lang="ko-KR" altLang="en-US" sz="1800" b="1">
              <a:solidFill>
                <a:srgbClr val="FF0000"/>
              </a:solidFill>
              <a:latin typeface="+mn-ea"/>
            </a:rPr>
            <a:t>생산성 분석의 개념</a:t>
          </a:r>
          <a:r>
            <a:rPr lang="en-US" altLang="ko-KR" sz="1800" b="1">
              <a:solidFill>
                <a:srgbClr val="FF0000"/>
              </a:solidFill>
              <a:latin typeface="+mn-ea"/>
            </a:rPr>
            <a:t>&gt;</a:t>
          </a:r>
        </a:p>
        <a:p>
          <a:pPr marL="355600" marR="0" lvl="0" indent="-228600" algn="l" defTabSz="914400" rtl="0" eaLnBrk="1" fontAlgn="base" latinLnBrk="0" hangingPunct="1">
            <a:lnSpc>
              <a:spcPct val="100000"/>
            </a:lnSpc>
            <a:spcBef>
              <a:spcPct val="50000"/>
            </a:spcBef>
            <a:spcAft>
              <a:spcPts val="600"/>
            </a:spcAft>
            <a:buClrTx/>
            <a:buSzTx/>
            <a:buFont typeface="+mj-ea"/>
            <a:buAutoNum type="circleNumDbPlain"/>
            <a:tabLst/>
            <a:defRPr/>
          </a:pP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생산성</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(Productivity)</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이란 투입에 대한 산출의 비율로서</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생산요소를 얼마나 효율적으로 이용하였는가를 나타내는 개념으로 투입되는 생산요소</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(Input)</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에 따라 단일요소생산성</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하나의 투입 요소에 대한 산출량</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과 </a:t>
          </a:r>
          <a:r>
            <a:rPr kumimoji="0" lang="ko-KR" altLang="en-US" sz="1200" b="0" i="0" u="none" strike="noStrike" kern="1200" cap="none" spc="0" normalizeH="0" baseline="0" noProof="0" dirty="0" err="1">
              <a:ln>
                <a:noFill/>
              </a:ln>
              <a:solidFill>
                <a:srgbClr val="1B1112"/>
              </a:solidFill>
              <a:effectLst/>
              <a:uLnTx/>
              <a:uFillTx/>
              <a:latin typeface="맑은 고딕" panose="020B0503020000020004" pitchFamily="50" charset="-127"/>
              <a:ea typeface="+mn-ea"/>
            </a:rPr>
            <a:t>총요소생산성</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두 개 이상의 투입요소에 대한 산출량</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으로 구분할 수 있음</a:t>
          </a:r>
        </a:p>
        <a:p>
          <a:pPr marL="355600" marR="0" lvl="0" indent="-228600" algn="l" defTabSz="914400" rtl="0" eaLnBrk="1" fontAlgn="base" latinLnBrk="0" hangingPunct="1">
            <a:lnSpc>
              <a:spcPts val="3600"/>
            </a:lnSpc>
            <a:spcBef>
              <a:spcPct val="50000"/>
            </a:spcBef>
            <a:spcAft>
              <a:spcPts val="600"/>
            </a:spcAft>
            <a:buClrTx/>
            <a:buSzTx/>
            <a:buFont typeface="+mj-ea"/>
            <a:buAutoNum type="circleNumDbPlain"/>
            <a:tabLst/>
            <a:defRPr/>
          </a:pP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산출되는 형태</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(Output)</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에 따라서는 </a:t>
          </a:r>
          <a:r>
            <a:rPr kumimoji="0" lang="ko-KR" altLang="en-US" sz="1200" b="0" i="0" u="none" strike="noStrike" kern="1200" cap="none" spc="0" normalizeH="0" baseline="0" noProof="0" dirty="0" err="1">
              <a:ln>
                <a:noFill/>
              </a:ln>
              <a:solidFill>
                <a:srgbClr val="1B1112"/>
              </a:solidFill>
              <a:effectLst/>
              <a:uLnTx/>
              <a:uFillTx/>
              <a:latin typeface="맑은 고딕" panose="020B0503020000020004" pitchFamily="50" charset="-127"/>
              <a:ea typeface="+mn-ea"/>
            </a:rPr>
            <a:t>총산출</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측정방법과 부가가치 측정방법으로 나누어지고 있는데</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현재</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부가가치 기준 생산성이 가장 많이 활용됨</a:t>
          </a:r>
        </a:p>
        <a:p>
          <a:pPr marL="622300" marR="0" lvl="0" indent="-177800" algn="l" defTabSz="914400" rtl="0" eaLnBrk="1" fontAlgn="base" latinLnBrk="0" hangingPunct="1">
            <a:lnSpc>
              <a:spcPts val="3000"/>
            </a:lnSpc>
            <a:spcBef>
              <a:spcPct val="50000"/>
            </a:spcBef>
            <a:spcAft>
              <a:spcPts val="0"/>
            </a:spcAft>
            <a:buClrTx/>
            <a:buSzTx/>
            <a:buFont typeface="Arial" panose="020B0604020202020204" pitchFamily="34" charset="0"/>
            <a:buChar char="•"/>
            <a:tabLst/>
            <a:defRPr/>
          </a:pP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부가가치 비율</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일정기간 동안 창출한 부가가치와 매출액과의 비율</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부가가치 </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매출액</a:t>
          </a:r>
          <a:endPar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endParaRPr>
        </a:p>
        <a:p>
          <a:pPr marL="622300" marR="0" lvl="0" indent="-177800" algn="l" defTabSz="914400" rtl="0" eaLnBrk="1" fontAlgn="base" latinLnBrk="0" hangingPunct="1">
            <a:lnSpc>
              <a:spcPts val="3000"/>
            </a:lnSpc>
            <a:spcBef>
              <a:spcPct val="50000"/>
            </a:spcBef>
            <a:spcAft>
              <a:spcPts val="0"/>
            </a:spcAft>
            <a:buClrTx/>
            <a:buSzTx/>
            <a:buFont typeface="Arial" panose="020B0604020202020204" pitchFamily="34" charset="0"/>
            <a:buChar char="•"/>
            <a:tabLst/>
            <a:defRPr/>
          </a:pP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노동생산성</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노동투입량 </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1</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단위</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시간</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인원 등</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가 창출한 부가가치</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 </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부가가치 </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노동투입량</a:t>
          </a:r>
          <a:endPar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endParaRPr>
        </a:p>
        <a:p>
          <a:pPr marL="622300" marR="0" lvl="0" indent="-177800" algn="l" defTabSz="914400" rtl="0" eaLnBrk="1" fontAlgn="base" latinLnBrk="0" hangingPunct="1">
            <a:lnSpc>
              <a:spcPts val="3000"/>
            </a:lnSpc>
            <a:spcBef>
              <a:spcPct val="50000"/>
            </a:spcBef>
            <a:spcAft>
              <a:spcPts val="0"/>
            </a:spcAft>
            <a:buClrTx/>
            <a:buSzTx/>
            <a:buFont typeface="Arial" panose="020B0604020202020204" pitchFamily="34" charset="0"/>
            <a:buChar char="•"/>
            <a:tabLst/>
            <a:defRPr/>
          </a:pP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노동분배율</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부가가치 중 인건비가 차지하는 비율</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 </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인건비 </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부가가치</a:t>
          </a:r>
          <a:endPar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endParaRPr>
        </a:p>
        <a:p>
          <a:pPr marL="622300" marR="0" lvl="0" indent="-177800" algn="l" defTabSz="914400" rtl="0" eaLnBrk="1" fontAlgn="base" latinLnBrk="0" hangingPunct="1">
            <a:lnSpc>
              <a:spcPts val="3000"/>
            </a:lnSpc>
            <a:spcBef>
              <a:spcPct val="50000"/>
            </a:spcBef>
            <a:spcAft>
              <a:spcPts val="0"/>
            </a:spcAft>
            <a:buClrTx/>
            <a:buSzTx/>
            <a:buFont typeface="Arial" panose="020B0604020202020204" pitchFamily="34" charset="0"/>
            <a:buChar char="•"/>
            <a:tabLst/>
            <a:defRPr/>
          </a:pP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자본생산성 </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투자된 총 자본에 대한 부가가치 창출 비율</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 </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부가가치 </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총자본</a:t>
          </a:r>
          <a:endPar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endParaRPr>
        </a:p>
        <a:p>
          <a:pPr marL="622300" marR="0" lvl="0" indent="-177800" algn="l" defTabSz="914400" rtl="0" eaLnBrk="1" fontAlgn="base" latinLnBrk="0" hangingPunct="1">
            <a:lnSpc>
              <a:spcPts val="3000"/>
            </a:lnSpc>
            <a:spcBef>
              <a:spcPct val="50000"/>
            </a:spcBef>
            <a:spcAft>
              <a:spcPts val="0"/>
            </a:spcAft>
            <a:buClrTx/>
            <a:buSzTx/>
            <a:buFont typeface="Arial" panose="020B0604020202020204" pitchFamily="34" charset="0"/>
            <a:buChar char="•"/>
            <a:tabLst/>
            <a:defRPr/>
          </a:pPr>
          <a:endPar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endParaRPr>
        </a:p>
        <a:p>
          <a:pPr marL="0" marR="0" lvl="0" indent="0" defTabSz="914400" eaLnBrk="1" fontAlgn="auto" latinLnBrk="0" hangingPunct="1">
            <a:lnSpc>
              <a:spcPts val="1700"/>
            </a:lnSpc>
            <a:spcBef>
              <a:spcPts val="0"/>
            </a:spcBef>
            <a:spcAft>
              <a:spcPts val="0"/>
            </a:spcAft>
            <a:buClrTx/>
            <a:buSzTx/>
            <a:buFontTx/>
            <a:buNone/>
            <a:tabLst/>
            <a:defRPr/>
          </a:pPr>
          <a:r>
            <a:rPr kumimoji="0" lang="en-US" altLang="ko-KR" sz="1800" b="1" i="0" u="none" strike="noStrike" kern="0" cap="none" spc="0" normalizeH="0" baseline="0" noProof="0">
              <a:ln>
                <a:noFill/>
              </a:ln>
              <a:solidFill>
                <a:srgbClr val="FF0000"/>
              </a:solidFill>
              <a:effectLst/>
              <a:uLnTx/>
              <a:uFillTx/>
              <a:latin typeface="맑은 고딕" panose="020B0503020000020004" pitchFamily="50" charset="-127"/>
              <a:ea typeface="+mn-ea"/>
            </a:rPr>
            <a:t>&lt;</a:t>
          </a:r>
          <a:r>
            <a:rPr kumimoji="0" lang="ko-KR" altLang="en-US" sz="1800" b="1" i="0" u="none" strike="noStrike" kern="0" cap="none" spc="0" normalizeH="0" baseline="0" noProof="0">
              <a:ln>
                <a:noFill/>
              </a:ln>
              <a:solidFill>
                <a:srgbClr val="FF0000"/>
              </a:solidFill>
              <a:effectLst/>
              <a:uLnTx/>
              <a:uFillTx/>
              <a:latin typeface="맑은 고딕" panose="020B0503020000020004" pitchFamily="50" charset="-127"/>
              <a:ea typeface="+mn-ea"/>
            </a:rPr>
            <a:t>분석 방법</a:t>
          </a:r>
          <a:r>
            <a:rPr kumimoji="0" lang="en-US" altLang="ko-KR" sz="1800" b="1" i="0" u="none" strike="noStrike" kern="0" cap="none" spc="0" normalizeH="0" baseline="0" noProof="0">
              <a:ln>
                <a:noFill/>
              </a:ln>
              <a:solidFill>
                <a:srgbClr val="FF0000"/>
              </a:solidFill>
              <a:effectLst/>
              <a:uLnTx/>
              <a:uFillTx/>
              <a:latin typeface="맑은 고딕" panose="020B0503020000020004" pitchFamily="50" charset="-127"/>
              <a:ea typeface="+mn-ea"/>
            </a:rPr>
            <a:t>&gt;</a:t>
          </a:r>
        </a:p>
        <a:p>
          <a:pPr marL="180975" marR="0" lvl="0" indent="-180975" algn="l" defTabSz="914400" rtl="0" eaLnBrk="1" fontAlgn="base" latinLnBrk="0" hangingPunct="1">
            <a:lnSpc>
              <a:spcPts val="3600"/>
            </a:lnSpc>
            <a:spcBef>
              <a:spcPct val="50000"/>
            </a:spcBef>
            <a:spcAft>
              <a:spcPts val="600"/>
            </a:spcAft>
            <a:buClrTx/>
            <a:buSzTx/>
            <a:buFont typeface="Arial" panose="020B0604020202020204" pitchFamily="34" charset="0"/>
            <a:buChar char="–"/>
            <a:tabLst/>
            <a:defRPr/>
          </a:pP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일정 기간 동안 기업 경영활동을 통해 창출된 부가가치를 계산한 후 매출액</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노동 투입시간</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인건비</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총자본 등의 지표를 활용하여 생산성을 계산함</a:t>
          </a:r>
          <a:endPar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endParaRPr>
        </a:p>
        <a:p>
          <a:pPr marL="355600" marR="0" lvl="0" indent="-228600" algn="l" defTabSz="914400" rtl="0" eaLnBrk="1" fontAlgn="base" latinLnBrk="0" hangingPunct="1">
            <a:lnSpc>
              <a:spcPts val="3000"/>
            </a:lnSpc>
            <a:spcBef>
              <a:spcPct val="50000"/>
            </a:spcBef>
            <a:spcAft>
              <a:spcPts val="0"/>
            </a:spcAft>
            <a:buClrTx/>
            <a:buSzTx/>
            <a:buFont typeface="+mj-ea"/>
            <a:buAutoNum type="circleNumDbPlain"/>
            <a:tabLst/>
            <a:defRPr/>
          </a:pP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부가가치 </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경상이익</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인건비</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임차료</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순 금융비용</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조세공과</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감가상각비</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손익계산서 활용</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a:t>
          </a:r>
        </a:p>
        <a:p>
          <a:pPr marL="355600" marR="0" lvl="0" indent="-228600" algn="l" defTabSz="914400" rtl="0" eaLnBrk="1" fontAlgn="base" latinLnBrk="0" hangingPunct="1">
            <a:lnSpc>
              <a:spcPts val="3000"/>
            </a:lnSpc>
            <a:spcBef>
              <a:spcPct val="50000"/>
            </a:spcBef>
            <a:spcAft>
              <a:spcPts val="0"/>
            </a:spcAft>
            <a:buClrTx/>
            <a:buSzTx/>
            <a:buFont typeface="+mj-ea"/>
            <a:buAutoNum type="circleNumDbPlain"/>
            <a:tabLst/>
            <a:defRPr/>
          </a:pP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부가가치 비율 </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부가가치 </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매출액</a:t>
          </a:r>
          <a:endPar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endParaRPr>
        </a:p>
        <a:p>
          <a:pPr marL="355600" marR="0" lvl="0" indent="-228600" algn="l" defTabSz="914400" rtl="0" eaLnBrk="1" fontAlgn="base" latinLnBrk="0" hangingPunct="1">
            <a:lnSpc>
              <a:spcPts val="3000"/>
            </a:lnSpc>
            <a:spcBef>
              <a:spcPct val="50000"/>
            </a:spcBef>
            <a:spcAft>
              <a:spcPts val="0"/>
            </a:spcAft>
            <a:buClrTx/>
            <a:buSzTx/>
            <a:buFont typeface="+mj-ea"/>
            <a:buAutoNum type="circleNumDbPlain"/>
            <a:tabLst/>
            <a:defRPr/>
          </a:pP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노동생산성 </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부가가치 </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노동 투입량</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시간</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인원 등</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a:t>
          </a:r>
        </a:p>
        <a:p>
          <a:pPr marL="355600" marR="0" lvl="0" indent="-228600" algn="l" defTabSz="914400" rtl="0" eaLnBrk="1" fontAlgn="base" latinLnBrk="0" hangingPunct="1">
            <a:lnSpc>
              <a:spcPts val="2900"/>
            </a:lnSpc>
            <a:spcBef>
              <a:spcPct val="50000"/>
            </a:spcBef>
            <a:spcAft>
              <a:spcPts val="0"/>
            </a:spcAft>
            <a:buClrTx/>
            <a:buSzTx/>
            <a:buFont typeface="+mj-ea"/>
            <a:buAutoNum type="circleNumDbPlain"/>
            <a:tabLst/>
            <a:defRPr/>
          </a:pP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노동분배율 </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인건비 </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부가가치 </a:t>
          </a:r>
          <a:endPar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endParaRPr>
        </a:p>
        <a:p>
          <a:pPr marL="355600" marR="0" lvl="0" indent="-228600" algn="l" defTabSz="914400" rtl="0" eaLnBrk="1" fontAlgn="base" latinLnBrk="0" hangingPunct="1">
            <a:lnSpc>
              <a:spcPts val="2900"/>
            </a:lnSpc>
            <a:spcBef>
              <a:spcPct val="50000"/>
            </a:spcBef>
            <a:spcAft>
              <a:spcPts val="0"/>
            </a:spcAft>
            <a:buClrTx/>
            <a:buSzTx/>
            <a:buFont typeface="+mj-ea"/>
            <a:buAutoNum type="circleNumDbPlain"/>
            <a:tabLst/>
            <a:defRPr/>
          </a:pP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자본생산성 </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부가가치 </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총자본</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a:t>
          </a:r>
          <a:r>
            <a:rPr kumimoji="0" lang="ko-KR" altLang="en-US" sz="1200" b="0" i="0" u="none" strike="noStrike" kern="1200" cap="none" spc="0" normalizeH="0" baseline="0" noProof="0" dirty="0" err="1">
              <a:ln>
                <a:noFill/>
              </a:ln>
              <a:solidFill>
                <a:srgbClr val="1B1112"/>
              </a:solidFill>
              <a:effectLst/>
              <a:uLnTx/>
              <a:uFillTx/>
              <a:latin typeface="맑은 고딕" panose="020B0503020000020004" pitchFamily="50" charset="-127"/>
              <a:ea typeface="+mn-ea"/>
            </a:rPr>
            <a:t>재무상태표</a:t>
          </a:r>
          <a:r>
            <a:rPr kumimoji="0" lang="ko-KR" altLang="en-US"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 활용</a:t>
          </a:r>
          <a:r>
            <a:rPr kumimoji="0" lang="en-US" altLang="ko-KR" sz="1200" b="0" i="0" u="none" strike="noStrike" kern="1200" cap="none" spc="0" normalizeH="0" baseline="0" noProof="0" dirty="0">
              <a:ln>
                <a:noFill/>
              </a:ln>
              <a:solidFill>
                <a:srgbClr val="1B1112"/>
              </a:solidFill>
              <a:effectLst/>
              <a:uLnTx/>
              <a:uFillTx/>
              <a:latin typeface="맑은 고딕" panose="020B0503020000020004" pitchFamily="50" charset="-127"/>
              <a:ea typeface="+mn-ea"/>
            </a:rPr>
            <a: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8</xdr:col>
      <xdr:colOff>123825</xdr:colOff>
      <xdr:row>23</xdr:row>
      <xdr:rowOff>85725</xdr:rowOff>
    </xdr:from>
    <xdr:to>
      <xdr:col>11</xdr:col>
      <xdr:colOff>0</xdr:colOff>
      <xdr:row>35</xdr:row>
      <xdr:rowOff>9525</xdr:rowOff>
    </xdr:to>
    <xdr:graphicFrame macro="">
      <xdr:nvGraphicFramePr>
        <xdr:cNvPr id="15952313" name="차트 3">
          <a:extLst>
            <a:ext uri="{FF2B5EF4-FFF2-40B4-BE49-F238E27FC236}">
              <a16:creationId xmlns:a16="http://schemas.microsoft.com/office/drawing/2014/main" id="{088F4260-5933-470B-A554-2DD6DAA9D4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171450</xdr:colOff>
      <xdr:row>6</xdr:row>
      <xdr:rowOff>9525</xdr:rowOff>
    </xdr:from>
    <xdr:to>
      <xdr:col>11</xdr:col>
      <xdr:colOff>0</xdr:colOff>
      <xdr:row>18</xdr:row>
      <xdr:rowOff>38100</xdr:rowOff>
    </xdr:to>
    <xdr:graphicFrame macro="">
      <xdr:nvGraphicFramePr>
        <xdr:cNvPr id="15952314" name="차트 10">
          <a:extLst>
            <a:ext uri="{FF2B5EF4-FFF2-40B4-BE49-F238E27FC236}">
              <a16:creationId xmlns:a16="http://schemas.microsoft.com/office/drawing/2014/main" id="{6CA309C6-E24D-450D-87D9-18DE4B71F4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0</xdr:colOff>
      <xdr:row>21</xdr:row>
      <xdr:rowOff>133350</xdr:rowOff>
    </xdr:from>
    <xdr:to>
      <xdr:col>23</xdr:col>
      <xdr:colOff>0</xdr:colOff>
      <xdr:row>32</xdr:row>
      <xdr:rowOff>219075</xdr:rowOff>
    </xdr:to>
    <xdr:grpSp>
      <xdr:nvGrpSpPr>
        <xdr:cNvPr id="15952315" name="그룹 3">
          <a:extLst>
            <a:ext uri="{FF2B5EF4-FFF2-40B4-BE49-F238E27FC236}">
              <a16:creationId xmlns:a16="http://schemas.microsoft.com/office/drawing/2014/main" id="{E12FB175-7486-42F6-8CA7-E63682E5C2D0}"/>
            </a:ext>
          </a:extLst>
        </xdr:cNvPr>
        <xdr:cNvGrpSpPr>
          <a:grpSpLocks/>
        </xdr:cNvGrpSpPr>
      </xdr:nvGrpSpPr>
      <xdr:grpSpPr bwMode="auto">
        <a:xfrm>
          <a:off x="16697325" y="6360583"/>
          <a:ext cx="16011525" cy="3706284"/>
          <a:chOff x="176891" y="6411684"/>
          <a:chExt cx="16314965" cy="4106637"/>
        </a:xfrm>
      </xdr:grpSpPr>
      <xdr:graphicFrame macro="">
        <xdr:nvGraphicFramePr>
          <xdr:cNvPr id="15952316" name="차트 1">
            <a:extLst>
              <a:ext uri="{FF2B5EF4-FFF2-40B4-BE49-F238E27FC236}">
                <a16:creationId xmlns:a16="http://schemas.microsoft.com/office/drawing/2014/main" id="{7FBBA632-4986-4D9F-AFC2-1E401397FC65}"/>
              </a:ext>
            </a:extLst>
          </xdr:cNvPr>
          <xdr:cNvGraphicFramePr>
            <a:graphicFrameLocks/>
          </xdr:cNvGraphicFramePr>
        </xdr:nvGraphicFramePr>
        <xdr:xfrm>
          <a:off x="176891" y="6411684"/>
          <a:ext cx="5402037" cy="4097695"/>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5952317" name="차트 2">
            <a:extLst>
              <a:ext uri="{FF2B5EF4-FFF2-40B4-BE49-F238E27FC236}">
                <a16:creationId xmlns:a16="http://schemas.microsoft.com/office/drawing/2014/main" id="{956E2F12-FA4D-44D1-A48B-825B3C42F32E}"/>
              </a:ext>
            </a:extLst>
          </xdr:cNvPr>
          <xdr:cNvGraphicFramePr>
            <a:graphicFrameLocks/>
          </xdr:cNvGraphicFramePr>
        </xdr:nvGraphicFramePr>
        <xdr:xfrm>
          <a:off x="5619750" y="6425292"/>
          <a:ext cx="5429250" cy="4079422"/>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5952318" name="차트 6">
            <a:extLst>
              <a:ext uri="{FF2B5EF4-FFF2-40B4-BE49-F238E27FC236}">
                <a16:creationId xmlns:a16="http://schemas.microsoft.com/office/drawing/2014/main" id="{D516BD9D-1477-41D0-AFD3-CC9CF4580DED}"/>
              </a:ext>
            </a:extLst>
          </xdr:cNvPr>
          <xdr:cNvGraphicFramePr>
            <a:graphicFrameLocks/>
          </xdr:cNvGraphicFramePr>
        </xdr:nvGraphicFramePr>
        <xdr:xfrm>
          <a:off x="11089822" y="6422571"/>
          <a:ext cx="5402034" cy="409575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S33"/>
  <sheetViews>
    <sheetView topLeftCell="A5" workbookViewId="0">
      <selection activeCell="G14" sqref="G14"/>
    </sheetView>
  </sheetViews>
  <sheetFormatPr defaultColWidth="0.71875" defaultRowHeight="14"/>
  <cols>
    <col min="1" max="1" width="0.71875" style="338" customWidth="1"/>
    <col min="2" max="2" width="2.71875" style="338" customWidth="1"/>
    <col min="3" max="3" width="2.109375" style="338" customWidth="1"/>
    <col min="4" max="4" width="2.609375" style="338" customWidth="1"/>
    <col min="5" max="5" width="2.5" style="338" customWidth="1"/>
    <col min="6" max="6" width="9.88671875" style="338" bestFit="1" customWidth="1"/>
    <col min="7" max="7" width="9" style="338" customWidth="1"/>
    <col min="8" max="8" width="17.5" style="338" customWidth="1"/>
    <col min="9" max="9" width="2.5" style="338" customWidth="1"/>
    <col min="10" max="10" width="5.88671875" style="338" customWidth="1"/>
    <col min="11" max="11" width="2.5" style="338" customWidth="1"/>
    <col min="12" max="12" width="4.5" style="338" customWidth="1"/>
    <col min="13" max="13" width="3.71875" style="338" customWidth="1"/>
    <col min="14" max="14" width="15.5" style="338" customWidth="1"/>
    <col min="15" max="18" width="2.71875" style="338" customWidth="1"/>
    <col min="19" max="19" width="3.5" style="338" customWidth="1"/>
    <col min="20" max="249" width="9" style="338" customWidth="1"/>
    <col min="250" max="16384" width="0.71875" style="338"/>
  </cols>
  <sheetData>
    <row r="1" spans="1:19" ht="5.25" customHeight="1" thickBot="1"/>
    <row r="2" spans="1:19" ht="9.75" customHeight="1">
      <c r="A2" s="339"/>
      <c r="B2" s="340"/>
      <c r="C2" s="341"/>
      <c r="D2" s="341"/>
      <c r="E2" s="341"/>
      <c r="F2" s="341"/>
      <c r="G2" s="341"/>
      <c r="H2" s="342"/>
      <c r="I2" s="342"/>
      <c r="J2" s="342"/>
      <c r="K2" s="342"/>
      <c r="L2" s="342"/>
      <c r="M2" s="342"/>
      <c r="N2" s="342"/>
      <c r="O2" s="342"/>
      <c r="P2" s="342"/>
      <c r="Q2" s="342"/>
      <c r="R2" s="342"/>
      <c r="S2" s="343"/>
    </row>
    <row r="3" spans="1:19" ht="7.5" customHeight="1">
      <c r="A3" s="339"/>
      <c r="B3" s="1252" t="s">
        <v>451</v>
      </c>
      <c r="C3" s="1253"/>
      <c r="D3" s="1253"/>
      <c r="E3" s="1253"/>
      <c r="F3" s="1253"/>
      <c r="G3" s="1253"/>
      <c r="H3" s="1253"/>
      <c r="I3" s="1253"/>
      <c r="J3" s="1253"/>
      <c r="K3" s="1253"/>
      <c r="L3" s="1253"/>
      <c r="M3" s="1253"/>
      <c r="N3" s="1253"/>
      <c r="O3" s="1253"/>
      <c r="P3" s="1253"/>
      <c r="Q3" s="1253"/>
      <c r="R3" s="1253"/>
      <c r="S3" s="1254"/>
    </row>
    <row r="4" spans="1:19" ht="18" customHeight="1">
      <c r="A4" s="339"/>
      <c r="B4" s="1252"/>
      <c r="C4" s="1253"/>
      <c r="D4" s="1253"/>
      <c r="E4" s="1253"/>
      <c r="F4" s="1253"/>
      <c r="G4" s="1253"/>
      <c r="H4" s="1253"/>
      <c r="I4" s="1253"/>
      <c r="J4" s="1253"/>
      <c r="K4" s="1253"/>
      <c r="L4" s="1253"/>
      <c r="M4" s="1253"/>
      <c r="N4" s="1253"/>
      <c r="O4" s="1253"/>
      <c r="P4" s="1253"/>
      <c r="Q4" s="1253"/>
      <c r="R4" s="1253"/>
      <c r="S4" s="1254"/>
    </row>
    <row r="5" spans="1:19" ht="15.75" customHeight="1" thickBot="1">
      <c r="A5" s="339"/>
      <c r="B5" s="339"/>
      <c r="S5" s="344"/>
    </row>
    <row r="6" spans="1:19" ht="21.75" customHeight="1" thickTop="1" thickBot="1">
      <c r="A6" s="339"/>
      <c r="B6" s="339"/>
      <c r="C6" s="345"/>
      <c r="D6" s="1255" t="s">
        <v>452</v>
      </c>
      <c r="E6" s="1255"/>
      <c r="F6" s="1255"/>
      <c r="G6" s="1255"/>
      <c r="H6" s="1255"/>
      <c r="I6" s="346"/>
      <c r="J6" s="347"/>
      <c r="K6" s="1255" t="s">
        <v>453</v>
      </c>
      <c r="L6" s="1255"/>
      <c r="M6" s="1255"/>
      <c r="N6" s="1255"/>
      <c r="O6" s="1255"/>
      <c r="P6" s="1255"/>
      <c r="Q6" s="1255"/>
      <c r="R6" s="1255"/>
      <c r="S6" s="344"/>
    </row>
    <row r="7" spans="1:19" ht="14.35" thickTop="1">
      <c r="A7" s="339"/>
      <c r="B7" s="339"/>
      <c r="S7" s="344"/>
    </row>
    <row r="8" spans="1:19" ht="12.75" customHeight="1">
      <c r="A8" s="339"/>
      <c r="B8" s="339"/>
      <c r="D8" s="1250" t="s">
        <v>981</v>
      </c>
      <c r="E8" s="1250"/>
      <c r="F8" s="1250"/>
      <c r="H8" s="348"/>
      <c r="I8" s="348"/>
      <c r="J8" s="348"/>
      <c r="L8" s="349" t="s">
        <v>454</v>
      </c>
      <c r="M8" s="348"/>
      <c r="N8" s="348"/>
      <c r="S8" s="350"/>
    </row>
    <row r="9" spans="1:19" ht="12.75" customHeight="1">
      <c r="A9" s="339"/>
      <c r="B9" s="339"/>
      <c r="H9" s="348"/>
      <c r="I9" s="348"/>
      <c r="J9" s="348"/>
      <c r="L9" s="348"/>
      <c r="M9" s="354" t="s">
        <v>477</v>
      </c>
      <c r="O9" s="351"/>
      <c r="P9" s="351"/>
      <c r="Q9" s="351"/>
      <c r="R9" s="351"/>
      <c r="S9" s="352"/>
    </row>
    <row r="10" spans="1:19" ht="12.75" customHeight="1">
      <c r="A10" s="339"/>
      <c r="B10" s="339"/>
      <c r="D10" s="1250" t="s">
        <v>982</v>
      </c>
      <c r="E10" s="1250"/>
      <c r="F10" s="1250"/>
      <c r="G10" s="1250"/>
      <c r="H10" s="348"/>
      <c r="I10" s="348"/>
      <c r="J10" s="348"/>
      <c r="L10" s="348"/>
      <c r="M10" s="354" t="s">
        <v>475</v>
      </c>
      <c r="O10" s="351"/>
      <c r="P10" s="351"/>
      <c r="Q10" s="351"/>
      <c r="R10" s="351"/>
      <c r="S10" s="352"/>
    </row>
    <row r="11" spans="1:19" ht="12.75" customHeight="1">
      <c r="A11" s="339"/>
      <c r="B11" s="339"/>
      <c r="D11" s="348"/>
      <c r="E11" s="354" t="s">
        <v>455</v>
      </c>
      <c r="F11" s="354"/>
      <c r="G11" s="354"/>
      <c r="H11" s="348"/>
      <c r="I11" s="348"/>
      <c r="J11" s="348"/>
      <c r="L11" s="348"/>
      <c r="M11" s="354" t="s">
        <v>476</v>
      </c>
      <c r="O11" s="353"/>
      <c r="P11" s="351"/>
      <c r="Q11" s="351"/>
      <c r="R11" s="351"/>
      <c r="S11" s="352"/>
    </row>
    <row r="12" spans="1:19" ht="12.75" customHeight="1">
      <c r="A12" s="339"/>
      <c r="B12" s="339"/>
      <c r="D12" s="348"/>
      <c r="E12" s="354" t="s">
        <v>456</v>
      </c>
      <c r="F12" s="354"/>
      <c r="G12" s="354"/>
      <c r="H12" s="1256"/>
      <c r="I12" s="1256"/>
      <c r="J12" s="348"/>
      <c r="M12" s="354" t="s">
        <v>467</v>
      </c>
      <c r="O12" s="348"/>
      <c r="P12" s="348"/>
      <c r="Q12" s="348"/>
      <c r="R12" s="348"/>
      <c r="S12" s="352"/>
    </row>
    <row r="13" spans="1:19" ht="12.75" customHeight="1">
      <c r="A13" s="339"/>
      <c r="B13" s="339"/>
      <c r="D13" s="348"/>
      <c r="E13" s="354" t="s">
        <v>457</v>
      </c>
      <c r="F13" s="354"/>
      <c r="G13" s="354"/>
      <c r="I13" s="348"/>
      <c r="J13" s="348"/>
      <c r="L13" s="349"/>
      <c r="M13" s="348"/>
      <c r="N13" s="348"/>
      <c r="O13" s="348"/>
      <c r="P13" s="348"/>
      <c r="Q13" s="348"/>
      <c r="R13" s="348"/>
      <c r="S13" s="352"/>
    </row>
    <row r="14" spans="1:19" ht="12.75" customHeight="1">
      <c r="A14" s="339"/>
      <c r="B14" s="339"/>
      <c r="D14" s="348"/>
      <c r="E14" s="348"/>
      <c r="F14" s="348"/>
      <c r="G14" s="348"/>
      <c r="H14" s="348"/>
      <c r="I14" s="348"/>
      <c r="J14" s="348"/>
      <c r="L14" s="348"/>
      <c r="M14" s="1251"/>
      <c r="N14" s="1251"/>
      <c r="O14" s="351"/>
      <c r="P14" s="351"/>
      <c r="Q14" s="351"/>
      <c r="R14" s="351"/>
      <c r="S14" s="344"/>
    </row>
    <row r="15" spans="1:19" ht="12.75" customHeight="1">
      <c r="A15" s="339"/>
      <c r="B15" s="339"/>
      <c r="D15" s="1250" t="s">
        <v>458</v>
      </c>
      <c r="E15" s="1250"/>
      <c r="F15" s="1250"/>
      <c r="G15" s="349"/>
      <c r="H15" s="348"/>
      <c r="I15" s="348"/>
      <c r="J15" s="348"/>
      <c r="L15" s="349" t="s">
        <v>459</v>
      </c>
      <c r="M15" s="354"/>
      <c r="N15" s="354"/>
      <c r="O15" s="351"/>
      <c r="P15" s="351"/>
      <c r="Q15" s="351"/>
      <c r="R15" s="351"/>
      <c r="S15" s="344"/>
    </row>
    <row r="16" spans="1:19" ht="12.75" customHeight="1">
      <c r="A16" s="339"/>
      <c r="B16" s="339"/>
      <c r="D16" s="348"/>
      <c r="E16" s="354" t="s">
        <v>900</v>
      </c>
      <c r="F16" s="354"/>
      <c r="G16"/>
      <c r="H16" s="351"/>
      <c r="I16" s="351"/>
      <c r="J16" s="351"/>
      <c r="M16" s="1251" t="s">
        <v>474</v>
      </c>
      <c r="N16" s="1251"/>
      <c r="O16" s="351"/>
      <c r="P16" s="351"/>
      <c r="Q16" s="351"/>
      <c r="R16" s="351"/>
      <c r="S16" s="344"/>
    </row>
    <row r="17" spans="1:19" ht="12.75" customHeight="1">
      <c r="A17" s="339"/>
      <c r="B17" s="339"/>
      <c r="D17" s="349"/>
      <c r="E17" s="354" t="s">
        <v>901</v>
      </c>
      <c r="F17" s="354"/>
      <c r="G17"/>
      <c r="H17" s="351"/>
      <c r="I17" s="351"/>
      <c r="J17" s="351"/>
      <c r="L17" s="349"/>
      <c r="M17" s="1251" t="s">
        <v>468</v>
      </c>
      <c r="N17" s="1251"/>
      <c r="O17" s="348"/>
      <c r="P17" s="348"/>
      <c r="Q17" s="348"/>
      <c r="R17" s="348"/>
      <c r="S17" s="344"/>
    </row>
    <row r="18" spans="1:19" ht="12.75" customHeight="1">
      <c r="A18" s="339"/>
      <c r="B18" s="339"/>
      <c r="D18" s="348"/>
      <c r="E18" s="354" t="s">
        <v>902</v>
      </c>
      <c r="F18" s="354"/>
      <c r="G18"/>
      <c r="H18"/>
      <c r="I18" s="351"/>
      <c r="J18" s="351"/>
      <c r="L18" s="348"/>
      <c r="M18" s="1251" t="s">
        <v>469</v>
      </c>
      <c r="N18" s="1251"/>
      <c r="O18" s="348"/>
      <c r="P18" s="348"/>
      <c r="Q18" s="348"/>
      <c r="R18" s="348"/>
      <c r="S18" s="344"/>
    </row>
    <row r="19" spans="1:19" ht="12.75" customHeight="1">
      <c r="A19" s="339"/>
      <c r="B19" s="339"/>
      <c r="D19" s="348"/>
      <c r="E19" s="354" t="s">
        <v>903</v>
      </c>
      <c r="F19" s="354"/>
      <c r="G19"/>
      <c r="H19"/>
      <c r="I19" s="351"/>
      <c r="J19" s="351"/>
      <c r="L19" s="348"/>
      <c r="M19" s="1251"/>
      <c r="N19" s="1251"/>
      <c r="O19" s="353"/>
      <c r="P19" s="353"/>
      <c r="Q19" s="351"/>
      <c r="R19" s="351"/>
      <c r="S19" s="344"/>
    </row>
    <row r="20" spans="1:19" ht="12.75" customHeight="1">
      <c r="A20" s="339"/>
      <c r="B20" s="339"/>
      <c r="D20" s="351"/>
      <c r="E20" s="354" t="s">
        <v>460</v>
      </c>
      <c r="F20" s="354"/>
      <c r="G20"/>
      <c r="H20"/>
      <c r="I20" s="351"/>
      <c r="J20" s="351"/>
      <c r="M20" s="348"/>
      <c r="N20" s="348"/>
      <c r="O20" s="355"/>
      <c r="P20" s="353"/>
      <c r="Q20" s="353"/>
      <c r="R20" s="353"/>
      <c r="S20" s="344"/>
    </row>
    <row r="21" spans="1:19" ht="12.75" customHeight="1">
      <c r="A21" s="339"/>
      <c r="B21" s="339"/>
      <c r="D21" s="348"/>
      <c r="E21" s="354" t="s">
        <v>904</v>
      </c>
      <c r="F21" s="354"/>
      <c r="G21"/>
      <c r="H21"/>
      <c r="I21" s="351"/>
      <c r="J21" s="351"/>
      <c r="L21" s="349" t="s">
        <v>461</v>
      </c>
      <c r="M21" s="348"/>
      <c r="N21" s="348"/>
      <c r="O21" s="348"/>
      <c r="P21" s="355"/>
      <c r="Q21" s="355"/>
      <c r="R21" s="355"/>
      <c r="S21" s="344"/>
    </row>
    <row r="22" spans="1:19" ht="12.75" customHeight="1">
      <c r="A22" s="339"/>
      <c r="B22" s="339"/>
      <c r="D22" s="348"/>
      <c r="E22" s="354" t="s">
        <v>462</v>
      </c>
      <c r="F22" s="354"/>
      <c r="G22"/>
      <c r="H22"/>
      <c r="I22" s="351"/>
      <c r="J22" s="351"/>
      <c r="L22" s="348"/>
      <c r="M22" s="1251" t="s">
        <v>473</v>
      </c>
      <c r="N22" s="1251"/>
      <c r="O22" s="348"/>
      <c r="P22" s="348"/>
      <c r="Q22" s="348"/>
      <c r="R22" s="348"/>
      <c r="S22" s="344"/>
    </row>
    <row r="23" spans="1:19" ht="12.75" customHeight="1">
      <c r="A23" s="339"/>
      <c r="B23" s="339"/>
      <c r="D23" s="348"/>
      <c r="E23" s="354" t="s">
        <v>463</v>
      </c>
      <c r="F23" s="354"/>
      <c r="G23"/>
      <c r="H23"/>
      <c r="I23" s="351"/>
      <c r="J23" s="351"/>
      <c r="L23" s="348"/>
      <c r="M23" s="1251" t="s">
        <v>470</v>
      </c>
      <c r="N23" s="1251"/>
      <c r="O23" s="351"/>
      <c r="P23" s="348"/>
      <c r="Q23" s="348"/>
      <c r="R23" s="348"/>
      <c r="S23" s="344"/>
    </row>
    <row r="24" spans="1:19" ht="12.75" customHeight="1">
      <c r="A24" s="339"/>
      <c r="B24" s="339"/>
      <c r="D24" s="348"/>
      <c r="E24" s="354" t="s">
        <v>892</v>
      </c>
      <c r="F24" s="354"/>
      <c r="G24"/>
      <c r="H24"/>
      <c r="I24" s="351"/>
      <c r="J24" s="351"/>
      <c r="L24" s="348"/>
      <c r="M24" s="354" t="s">
        <v>471</v>
      </c>
      <c r="N24" s="354"/>
      <c r="O24" s="353"/>
      <c r="P24" s="351"/>
      <c r="Q24" s="351"/>
      <c r="R24" s="351"/>
      <c r="S24" s="344"/>
    </row>
    <row r="25" spans="1:19" ht="12.75" customHeight="1">
      <c r="A25" s="339"/>
      <c r="B25" s="339"/>
      <c r="D25" s="348"/>
      <c r="E25" s="354" t="s">
        <v>893</v>
      </c>
      <c r="F25" s="354"/>
      <c r="G25"/>
      <c r="H25"/>
      <c r="I25" s="351"/>
      <c r="J25" s="351"/>
      <c r="L25" s="348"/>
      <c r="M25" s="354" t="s">
        <v>472</v>
      </c>
      <c r="N25" s="354"/>
      <c r="O25" s="351"/>
      <c r="P25" s="353"/>
      <c r="Q25" s="353"/>
      <c r="R25" s="353"/>
      <c r="S25" s="344"/>
    </row>
    <row r="26" spans="1:19" ht="12.75" customHeight="1">
      <c r="A26" s="339"/>
      <c r="B26" s="339"/>
      <c r="D26" s="348"/>
      <c r="E26" s="354" t="s">
        <v>905</v>
      </c>
      <c r="F26" s="354"/>
      <c r="G26"/>
      <c r="H26"/>
      <c r="I26" s="351"/>
      <c r="J26" s="351"/>
      <c r="L26" s="348"/>
      <c r="M26" s="1251"/>
      <c r="N26" s="1251"/>
      <c r="O26" s="348"/>
      <c r="P26" s="351"/>
      <c r="Q26" s="351"/>
      <c r="R26" s="351"/>
      <c r="S26" s="344"/>
    </row>
    <row r="27" spans="1:19" ht="12.75" customHeight="1">
      <c r="A27" s="339"/>
      <c r="B27" s="339"/>
      <c r="D27" s="348"/>
      <c r="E27" s="354" t="s">
        <v>906</v>
      </c>
      <c r="F27" s="354"/>
      <c r="G27"/>
      <c r="H27"/>
      <c r="I27"/>
      <c r="J27" s="351"/>
      <c r="L27" s="349" t="s">
        <v>464</v>
      </c>
      <c r="M27" s="349"/>
      <c r="N27" s="349"/>
      <c r="P27" s="348"/>
      <c r="Q27" s="348"/>
      <c r="R27" s="348"/>
      <c r="S27" s="344"/>
    </row>
    <row r="28" spans="1:19" ht="12.75" customHeight="1">
      <c r="A28" s="339"/>
      <c r="B28" s="339"/>
      <c r="D28" s="348"/>
      <c r="E28" s="354" t="s">
        <v>907</v>
      </c>
      <c r="F28" s="354"/>
      <c r="G28"/>
      <c r="H28"/>
      <c r="I28" s="351"/>
      <c r="J28" s="351"/>
      <c r="M28" s="1251" t="s">
        <v>465</v>
      </c>
      <c r="N28" s="1251"/>
      <c r="P28" s="348"/>
      <c r="Q28" s="348"/>
      <c r="R28" s="348"/>
      <c r="S28" s="344"/>
    </row>
    <row r="29" spans="1:19" ht="12.75" customHeight="1">
      <c r="A29" s="339"/>
      <c r="B29" s="339"/>
      <c r="D29" s="348"/>
      <c r="E29" s="354" t="s">
        <v>891</v>
      </c>
      <c r="F29" s="354"/>
      <c r="G29"/>
      <c r="H29"/>
      <c r="I29"/>
      <c r="J29"/>
      <c r="M29" s="1251" t="s">
        <v>466</v>
      </c>
      <c r="N29" s="1251"/>
      <c r="P29" s="351"/>
      <c r="Q29" s="351"/>
      <c r="R29" s="351"/>
      <c r="S29" s="344"/>
    </row>
    <row r="30" spans="1:19" ht="12.75" customHeight="1">
      <c r="A30" s="339"/>
      <c r="B30" s="339"/>
      <c r="D30" s="348"/>
      <c r="E30" s="354" t="s">
        <v>908</v>
      </c>
      <c r="F30" s="354"/>
      <c r="G30"/>
      <c r="H30"/>
      <c r="I30"/>
      <c r="J30"/>
      <c r="M30" s="348"/>
      <c r="N30" s="348"/>
      <c r="O30" s="353"/>
      <c r="P30" s="353"/>
      <c r="Q30" s="353"/>
      <c r="R30" s="353"/>
      <c r="S30" s="344"/>
    </row>
    <row r="31" spans="1:19" ht="12.75" customHeight="1">
      <c r="A31" s="339"/>
      <c r="B31" s="339"/>
      <c r="D31" s="348"/>
      <c r="E31" s="354" t="s">
        <v>894</v>
      </c>
      <c r="F31" s="354"/>
      <c r="G31"/>
      <c r="H31"/>
      <c r="I31"/>
      <c r="J31"/>
      <c r="O31" s="351"/>
      <c r="P31" s="351"/>
      <c r="Q31" s="351"/>
      <c r="R31" s="351"/>
      <c r="S31" s="344"/>
    </row>
    <row r="32" spans="1:19" ht="16.5" customHeight="1" thickBot="1">
      <c r="A32" s="339"/>
      <c r="B32" s="356"/>
      <c r="C32" s="357"/>
      <c r="D32" s="357"/>
      <c r="E32" s="357"/>
      <c r="F32" s="358"/>
      <c r="G32" s="358"/>
      <c r="H32" s="357"/>
      <c r="I32" s="357"/>
      <c r="J32" s="357"/>
      <c r="K32" s="357"/>
      <c r="L32" s="357"/>
      <c r="M32" s="357"/>
      <c r="N32" s="357"/>
      <c r="O32" s="357"/>
      <c r="P32" s="357"/>
      <c r="Q32" s="357"/>
      <c r="R32" s="357"/>
      <c r="S32" s="359"/>
    </row>
    <row r="33" ht="12" customHeight="1"/>
  </sheetData>
  <mergeCells count="17">
    <mergeCell ref="B3:S4"/>
    <mergeCell ref="D6:H6"/>
    <mergeCell ref="K6:R6"/>
    <mergeCell ref="D10:G10"/>
    <mergeCell ref="H12:I12"/>
    <mergeCell ref="D8:F8"/>
    <mergeCell ref="M26:N26"/>
    <mergeCell ref="M28:N28"/>
    <mergeCell ref="M29:N29"/>
    <mergeCell ref="M22:N22"/>
    <mergeCell ref="M14:N14"/>
    <mergeCell ref="M23:N23"/>
    <mergeCell ref="D15:F15"/>
    <mergeCell ref="M17:N17"/>
    <mergeCell ref="M16:N16"/>
    <mergeCell ref="M18:N18"/>
    <mergeCell ref="M19:N19"/>
  </mergeCells>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B1:CA98"/>
  <sheetViews>
    <sheetView topLeftCell="C17" zoomScale="80" zoomScaleNormal="80" workbookViewId="0">
      <pane xSplit="2" topLeftCell="E1" activePane="topRight" state="frozen"/>
      <selection activeCell="C1" sqref="C1"/>
      <selection pane="topRight" activeCell="E18" sqref="E18"/>
    </sheetView>
  </sheetViews>
  <sheetFormatPr defaultRowHeight="16.7"/>
  <cols>
    <col min="1" max="1" width="1.88671875" customWidth="1"/>
    <col min="3" max="3" width="18.609375" bestFit="1" customWidth="1"/>
    <col min="4" max="4" width="22.5" customWidth="1"/>
    <col min="5" max="37" width="15.109375" customWidth="1"/>
    <col min="38" max="38" width="16.5" bestFit="1" customWidth="1"/>
    <col min="39" max="39" width="12.27734375" customWidth="1"/>
    <col min="40" max="40" width="12.38671875" bestFit="1" customWidth="1"/>
    <col min="41" max="41" width="15.71875" customWidth="1"/>
    <col min="42" max="52" width="13" customWidth="1"/>
    <col min="53" max="53" width="15.71875" customWidth="1"/>
    <col min="54" max="64" width="13" customWidth="1"/>
  </cols>
  <sheetData>
    <row r="1" spans="2:79" ht="17" thickBot="1"/>
    <row r="2" spans="2:79" ht="17.7" thickBot="1">
      <c r="B2" s="762" t="s">
        <v>676</v>
      </c>
      <c r="C2" s="762"/>
      <c r="D2" s="762"/>
      <c r="E2" s="763" t="s">
        <v>1205</v>
      </c>
      <c r="F2" s="763"/>
      <c r="G2" s="763"/>
      <c r="H2" s="763"/>
      <c r="I2" s="763"/>
      <c r="J2" s="763"/>
      <c r="K2" s="693"/>
      <c r="L2" s="693"/>
      <c r="M2" s="693"/>
      <c r="N2" s="693"/>
      <c r="O2" s="693"/>
      <c r="P2" s="693"/>
      <c r="Q2" s="693"/>
      <c r="R2" s="693"/>
      <c r="S2" s="693"/>
      <c r="T2" s="693"/>
      <c r="U2" s="693"/>
      <c r="V2" s="693"/>
      <c r="W2" s="693"/>
      <c r="X2" s="693"/>
      <c r="Y2" s="693"/>
      <c r="Z2" s="693"/>
      <c r="AA2" s="693"/>
      <c r="AB2" s="693"/>
      <c r="AC2" s="693"/>
      <c r="AD2" s="693"/>
      <c r="AE2" s="693"/>
      <c r="AF2" s="693"/>
      <c r="AG2" s="693"/>
      <c r="AH2" s="693"/>
      <c r="AI2" s="693"/>
      <c r="AJ2" s="693"/>
      <c r="AK2" s="693"/>
      <c r="AL2" s="693"/>
      <c r="AM2" s="693"/>
      <c r="AN2" s="693"/>
      <c r="AO2" s="693"/>
      <c r="AP2" s="693"/>
      <c r="AQ2" s="693"/>
      <c r="AR2" s="693"/>
      <c r="AS2" s="693"/>
      <c r="AT2" s="693"/>
      <c r="AU2" s="693"/>
      <c r="AV2" s="693"/>
      <c r="AW2" s="693"/>
      <c r="AX2" s="693"/>
      <c r="AY2" s="693"/>
      <c r="AZ2" s="693"/>
      <c r="BA2" s="693"/>
      <c r="BB2" s="693"/>
      <c r="BC2" s="693"/>
      <c r="BD2" s="693"/>
      <c r="BE2" s="693"/>
      <c r="BF2" s="693"/>
      <c r="BG2" s="693"/>
      <c r="BH2" s="693"/>
      <c r="BI2" s="693"/>
      <c r="BJ2" s="693"/>
      <c r="BK2" s="693"/>
      <c r="BL2" s="693"/>
      <c r="BM2" s="1"/>
      <c r="BN2" s="1"/>
      <c r="BO2" s="1"/>
      <c r="BP2" s="1"/>
      <c r="BQ2" s="1"/>
      <c r="BR2" s="1"/>
      <c r="BS2" s="1"/>
      <c r="BT2" s="1"/>
      <c r="BU2" s="1"/>
      <c r="BV2" s="1"/>
      <c r="BW2" s="1"/>
      <c r="BX2" s="1"/>
      <c r="BY2" s="1"/>
      <c r="BZ2" s="1"/>
      <c r="CA2" s="1"/>
    </row>
    <row r="3" spans="2:79" ht="6.75" customHeight="1" thickBot="1">
      <c r="B3" s="579"/>
    </row>
    <row r="4" spans="2:79" ht="16.5" customHeight="1">
      <c r="B4" s="1278" t="s">
        <v>793</v>
      </c>
      <c r="C4" s="1278"/>
      <c r="D4" s="1278" t="s">
        <v>794</v>
      </c>
      <c r="E4" s="1257" t="s">
        <v>795</v>
      </c>
      <c r="F4" s="1258"/>
      <c r="G4" s="1264"/>
      <c r="H4" s="1257" t="s">
        <v>796</v>
      </c>
      <c r="I4" s="1258"/>
      <c r="J4" s="1264"/>
      <c r="K4" s="1257" t="s">
        <v>797</v>
      </c>
      <c r="L4" s="1258"/>
      <c r="M4" s="1264"/>
      <c r="N4" s="1257" t="s">
        <v>798</v>
      </c>
      <c r="O4" s="1258"/>
      <c r="P4" s="1268"/>
      <c r="Q4" s="1270" t="s">
        <v>799</v>
      </c>
      <c r="R4" s="1258"/>
      <c r="S4" s="1264"/>
      <c r="T4" s="1257" t="s">
        <v>800</v>
      </c>
      <c r="U4" s="1258"/>
      <c r="V4" s="1264"/>
      <c r="W4" s="1257" t="s">
        <v>801</v>
      </c>
      <c r="X4" s="1258"/>
      <c r="Y4" s="1264"/>
      <c r="Z4" s="1257" t="s">
        <v>802</v>
      </c>
      <c r="AA4" s="1258"/>
      <c r="AB4" s="1268"/>
      <c r="AC4" s="1270" t="s">
        <v>803</v>
      </c>
      <c r="AD4" s="1258"/>
      <c r="AE4" s="1264"/>
      <c r="AF4" s="1257" t="s">
        <v>804</v>
      </c>
      <c r="AG4" s="1258"/>
      <c r="AH4" s="1264"/>
      <c r="AI4" s="1257" t="s">
        <v>805</v>
      </c>
      <c r="AJ4" s="1258"/>
      <c r="AK4" s="1259"/>
      <c r="AL4" s="1260" t="s">
        <v>806</v>
      </c>
      <c r="AM4" s="1261"/>
      <c r="AN4" s="1262"/>
      <c r="AO4" s="1260" t="s">
        <v>915</v>
      </c>
      <c r="AP4" s="1261"/>
      <c r="AQ4" s="1262"/>
      <c r="AR4" s="1260" t="s">
        <v>917</v>
      </c>
      <c r="AS4" s="1261"/>
      <c r="AT4" s="1262"/>
      <c r="AU4" s="1260" t="s">
        <v>919</v>
      </c>
      <c r="AV4" s="1261"/>
      <c r="AW4" s="1262"/>
      <c r="AX4" s="1260" t="s">
        <v>921</v>
      </c>
      <c r="AY4" s="1261"/>
      <c r="AZ4" s="1262"/>
      <c r="BA4" s="1260" t="s">
        <v>983</v>
      </c>
      <c r="BB4" s="1261"/>
      <c r="BC4" s="1262"/>
      <c r="BD4" s="1260" t="s">
        <v>984</v>
      </c>
      <c r="BE4" s="1261"/>
      <c r="BF4" s="1262"/>
      <c r="BG4" s="1260" t="s">
        <v>985</v>
      </c>
      <c r="BH4" s="1261"/>
      <c r="BI4" s="1262"/>
      <c r="BJ4" s="1260" t="s">
        <v>986</v>
      </c>
      <c r="BK4" s="1261"/>
      <c r="BL4" s="1262"/>
    </row>
    <row r="5" spans="2:79">
      <c r="B5" s="1278"/>
      <c r="C5" s="1278"/>
      <c r="D5" s="1278"/>
      <c r="E5" s="677" t="s">
        <v>701</v>
      </c>
      <c r="F5" s="677" t="s">
        <v>1163</v>
      </c>
      <c r="G5" s="677" t="s">
        <v>1206</v>
      </c>
      <c r="H5" s="677" t="s">
        <v>701</v>
      </c>
      <c r="I5" s="677" t="s">
        <v>1163</v>
      </c>
      <c r="J5" s="677" t="s">
        <v>1206</v>
      </c>
      <c r="K5" s="677" t="s">
        <v>701</v>
      </c>
      <c r="L5" s="677" t="s">
        <v>1163</v>
      </c>
      <c r="M5" s="677" t="s">
        <v>1206</v>
      </c>
      <c r="N5" s="677" t="s">
        <v>701</v>
      </c>
      <c r="O5" s="677" t="s">
        <v>1163</v>
      </c>
      <c r="P5" s="678" t="s">
        <v>1206</v>
      </c>
      <c r="Q5" s="679" t="s">
        <v>701</v>
      </c>
      <c r="R5" s="677" t="s">
        <v>1163</v>
      </c>
      <c r="S5" s="677" t="s">
        <v>1206</v>
      </c>
      <c r="T5" s="677" t="s">
        <v>701</v>
      </c>
      <c r="U5" s="677" t="s">
        <v>1163</v>
      </c>
      <c r="V5" s="677" t="s">
        <v>1206</v>
      </c>
      <c r="W5" s="677" t="s">
        <v>701</v>
      </c>
      <c r="X5" s="677" t="s">
        <v>1163</v>
      </c>
      <c r="Y5" s="677" t="s">
        <v>1206</v>
      </c>
      <c r="Z5" s="677" t="s">
        <v>701</v>
      </c>
      <c r="AA5" s="677" t="s">
        <v>1163</v>
      </c>
      <c r="AB5" s="680" t="s">
        <v>1206</v>
      </c>
      <c r="AC5" s="681" t="s">
        <v>701</v>
      </c>
      <c r="AD5" s="677" t="s">
        <v>1163</v>
      </c>
      <c r="AE5" s="677" t="s">
        <v>1206</v>
      </c>
      <c r="AF5" s="677" t="s">
        <v>701</v>
      </c>
      <c r="AG5" s="677" t="s">
        <v>1163</v>
      </c>
      <c r="AH5" s="677" t="s">
        <v>1206</v>
      </c>
      <c r="AI5" s="677" t="s">
        <v>701</v>
      </c>
      <c r="AJ5" s="677" t="s">
        <v>1163</v>
      </c>
      <c r="AK5" s="678" t="s">
        <v>1206</v>
      </c>
      <c r="AL5" s="657" t="s">
        <v>701</v>
      </c>
      <c r="AM5" s="677" t="s">
        <v>1163</v>
      </c>
      <c r="AN5" s="658" t="s">
        <v>1206</v>
      </c>
      <c r="AO5" s="657" t="s">
        <v>701</v>
      </c>
      <c r="AP5" s="677" t="s">
        <v>1163</v>
      </c>
      <c r="AQ5" s="658" t="s">
        <v>1206</v>
      </c>
      <c r="AR5" s="657" t="s">
        <v>701</v>
      </c>
      <c r="AS5" s="677" t="s">
        <v>1163</v>
      </c>
      <c r="AT5" s="658" t="s">
        <v>1206</v>
      </c>
      <c r="AU5" s="657" t="s">
        <v>701</v>
      </c>
      <c r="AV5" s="677" t="s">
        <v>1163</v>
      </c>
      <c r="AW5" s="658" t="s">
        <v>1206</v>
      </c>
      <c r="AX5" s="657" t="s">
        <v>701</v>
      </c>
      <c r="AY5" s="677" t="s">
        <v>1163</v>
      </c>
      <c r="AZ5" s="658" t="s">
        <v>1206</v>
      </c>
      <c r="BA5" s="657" t="s">
        <v>701</v>
      </c>
      <c r="BB5" s="677" t="s">
        <v>1163</v>
      </c>
      <c r="BC5" s="658" t="s">
        <v>1206</v>
      </c>
      <c r="BD5" s="657" t="s">
        <v>701</v>
      </c>
      <c r="BE5" s="677" t="s">
        <v>1163</v>
      </c>
      <c r="BF5" s="658" t="s">
        <v>1206</v>
      </c>
      <c r="BG5" s="657" t="s">
        <v>701</v>
      </c>
      <c r="BH5" s="677" t="s">
        <v>1163</v>
      </c>
      <c r="BI5" s="658" t="s">
        <v>1206</v>
      </c>
      <c r="BJ5" s="657" t="s">
        <v>701</v>
      </c>
      <c r="BK5" s="677" t="s">
        <v>1163</v>
      </c>
      <c r="BL5" s="658" t="s">
        <v>1206</v>
      </c>
    </row>
    <row r="6" spans="2:79" s="641" customFormat="1">
      <c r="B6" s="1283" t="s">
        <v>727</v>
      </c>
      <c r="C6" s="1283"/>
      <c r="D6" s="647" t="s">
        <v>807</v>
      </c>
      <c r="E6" s="662">
        <v>88.672675507503769</v>
      </c>
      <c r="F6" s="662">
        <v>89.344150690720568</v>
      </c>
      <c r="G6" s="662">
        <v>82.612313860287912</v>
      </c>
      <c r="H6" s="921">
        <v>89.155316469878997</v>
      </c>
      <c r="I6" s="921">
        <v>93.833407702695908</v>
      </c>
      <c r="J6" s="921">
        <v>82.572931673092597</v>
      </c>
      <c r="K6" s="662">
        <v>88.91026610108355</v>
      </c>
      <c r="L6" s="662">
        <v>96.447938367848167</v>
      </c>
      <c r="M6" s="662">
        <v>82.760083779583923</v>
      </c>
      <c r="N6" s="921">
        <v>89.525241002106654</v>
      </c>
      <c r="O6" s="921">
        <v>98.434206978534107</v>
      </c>
      <c r="P6" s="926">
        <v>81.361394316122954</v>
      </c>
      <c r="Q6" s="669">
        <v>91.198832284330294</v>
      </c>
      <c r="R6" s="662">
        <v>100.57402294509015</v>
      </c>
      <c r="S6" s="662">
        <v>82.219089547104346</v>
      </c>
      <c r="T6" s="921">
        <v>96.499413399858895</v>
      </c>
      <c r="U6" s="921">
        <v>103.54890773053327</v>
      </c>
      <c r="V6" s="921">
        <v>86.109986910755495</v>
      </c>
      <c r="W6" s="662">
        <v>99.917648709510956</v>
      </c>
      <c r="X6" s="662">
        <v>105.19742686420128</v>
      </c>
      <c r="Y6" s="662">
        <v>88.185343773765098</v>
      </c>
      <c r="Z6" s="921">
        <v>102.05692573895008</v>
      </c>
      <c r="AA6" s="921">
        <v>104.18727732147035</v>
      </c>
      <c r="AB6" s="938">
        <v>88.67893851478506</v>
      </c>
      <c r="AC6" s="668">
        <v>103.70162838249377</v>
      </c>
      <c r="AD6" s="663">
        <v>103.86804741004315</v>
      </c>
      <c r="AE6" s="663">
        <v>92.097320115192204</v>
      </c>
      <c r="AF6" s="950">
        <v>105.04171651859393</v>
      </c>
      <c r="AG6" s="950">
        <v>104.15265817142053</v>
      </c>
      <c r="AH6" s="950">
        <v>96.48398014058796</v>
      </c>
      <c r="AI6" s="664">
        <v>103.454328261732</v>
      </c>
      <c r="AJ6" s="664">
        <v>102.21242240817328</v>
      </c>
      <c r="AK6" s="665">
        <v>99.220696732016776</v>
      </c>
      <c r="AL6" s="951">
        <v>100</v>
      </c>
      <c r="AM6" s="950">
        <v>100</v>
      </c>
      <c r="AN6" s="952">
        <v>100</v>
      </c>
      <c r="AO6" s="666"/>
      <c r="AP6" s="664"/>
      <c r="AQ6" s="667"/>
      <c r="AR6" s="666"/>
      <c r="AS6" s="664"/>
      <c r="AT6" s="667"/>
      <c r="AU6" s="666"/>
      <c r="AV6" s="664"/>
      <c r="AW6" s="667"/>
      <c r="AX6" s="666"/>
      <c r="AY6" s="664"/>
      <c r="AZ6" s="667"/>
      <c r="BA6" s="666"/>
      <c r="BB6" s="664"/>
      <c r="BC6" s="667"/>
      <c r="BD6" s="666"/>
      <c r="BE6" s="664"/>
      <c r="BF6" s="667"/>
      <c r="BG6" s="666"/>
      <c r="BH6" s="664"/>
      <c r="BI6" s="667"/>
      <c r="BJ6" s="666"/>
      <c r="BK6" s="664"/>
      <c r="BL6" s="667"/>
    </row>
    <row r="7" spans="2:79">
      <c r="B7" s="1283"/>
      <c r="C7" s="1283"/>
      <c r="D7" s="647" t="s">
        <v>808</v>
      </c>
      <c r="E7" s="662">
        <v>91.3</v>
      </c>
      <c r="F7" s="662">
        <v>92.9</v>
      </c>
      <c r="G7" s="662">
        <v>90.5</v>
      </c>
      <c r="H7" s="921">
        <v>92.1</v>
      </c>
      <c r="I7" s="921">
        <v>93.4</v>
      </c>
      <c r="J7" s="921">
        <v>91.2</v>
      </c>
      <c r="K7" s="662">
        <v>92.9</v>
      </c>
      <c r="L7" s="662">
        <v>94.2</v>
      </c>
      <c r="M7" s="662">
        <v>92.1</v>
      </c>
      <c r="N7" s="921">
        <v>94.1</v>
      </c>
      <c r="O7" s="921">
        <v>95</v>
      </c>
      <c r="P7" s="926">
        <v>93</v>
      </c>
      <c r="Q7" s="669">
        <v>94.9</v>
      </c>
      <c r="R7" s="662">
        <v>95.6</v>
      </c>
      <c r="S7" s="662">
        <v>94</v>
      </c>
      <c r="T7" s="921">
        <v>95.7</v>
      </c>
      <c r="U7" s="921">
        <v>96.2</v>
      </c>
      <c r="V7" s="921">
        <v>94.9</v>
      </c>
      <c r="W7" s="662">
        <v>96.4</v>
      </c>
      <c r="X7" s="662">
        <v>97</v>
      </c>
      <c r="Y7" s="662">
        <v>95.7</v>
      </c>
      <c r="Z7" s="921">
        <v>97</v>
      </c>
      <c r="AA7" s="921">
        <v>97.5</v>
      </c>
      <c r="AB7" s="938">
        <v>96.5</v>
      </c>
      <c r="AC7" s="668">
        <v>97.7</v>
      </c>
      <c r="AD7" s="663">
        <v>98.1</v>
      </c>
      <c r="AE7" s="663">
        <v>97.3</v>
      </c>
      <c r="AF7" s="950">
        <v>98.5</v>
      </c>
      <c r="AG7" s="950">
        <v>98.8</v>
      </c>
      <c r="AH7" s="950">
        <v>98.1</v>
      </c>
      <c r="AI7" s="664">
        <v>99.2</v>
      </c>
      <c r="AJ7" s="664">
        <v>99.4</v>
      </c>
      <c r="AK7" s="665">
        <v>99</v>
      </c>
      <c r="AL7" s="951">
        <v>100</v>
      </c>
      <c r="AM7" s="950">
        <v>100</v>
      </c>
      <c r="AN7" s="952">
        <v>100</v>
      </c>
      <c r="AO7" s="666"/>
      <c r="AP7" s="664"/>
      <c r="AQ7" s="667"/>
      <c r="AR7" s="666"/>
      <c r="AS7" s="664"/>
      <c r="AT7" s="667"/>
      <c r="AU7" s="666"/>
      <c r="AV7" s="664"/>
      <c r="AW7" s="667"/>
      <c r="AX7" s="666"/>
      <c r="AY7" s="664"/>
      <c r="AZ7" s="667"/>
      <c r="BA7" s="666"/>
      <c r="BB7" s="664"/>
      <c r="BC7" s="667"/>
      <c r="BD7" s="666"/>
      <c r="BE7" s="664"/>
      <c r="BF7" s="667"/>
      <c r="BG7" s="666"/>
      <c r="BH7" s="664"/>
      <c r="BI7" s="667"/>
      <c r="BJ7" s="666"/>
      <c r="BK7" s="664"/>
      <c r="BL7" s="667"/>
    </row>
    <row r="8" spans="2:79" s="641" customFormat="1">
      <c r="B8" s="1283"/>
      <c r="C8" s="1283"/>
      <c r="D8" s="647" t="s">
        <v>809</v>
      </c>
      <c r="E8" s="662">
        <v>1</v>
      </c>
      <c r="F8" s="662">
        <v>1050</v>
      </c>
      <c r="G8" s="662">
        <v>199</v>
      </c>
      <c r="H8" s="921">
        <v>1</v>
      </c>
      <c r="I8" s="921">
        <v>1060</v>
      </c>
      <c r="J8" s="921">
        <v>197</v>
      </c>
      <c r="K8" s="662">
        <v>1</v>
      </c>
      <c r="L8" s="662">
        <v>1072</v>
      </c>
      <c r="M8" s="662">
        <v>195</v>
      </c>
      <c r="N8" s="921">
        <v>1</v>
      </c>
      <c r="O8" s="921">
        <v>1080</v>
      </c>
      <c r="P8" s="926">
        <v>193</v>
      </c>
      <c r="Q8" s="669">
        <v>1</v>
      </c>
      <c r="R8" s="662">
        <v>1082</v>
      </c>
      <c r="S8" s="662">
        <v>189</v>
      </c>
      <c r="T8" s="921">
        <v>1</v>
      </c>
      <c r="U8" s="921">
        <v>1083</v>
      </c>
      <c r="V8" s="921">
        <v>188</v>
      </c>
      <c r="W8" s="662">
        <v>1</v>
      </c>
      <c r="X8" s="662">
        <v>1090</v>
      </c>
      <c r="Y8" s="662">
        <v>187</v>
      </c>
      <c r="Z8" s="921">
        <v>1</v>
      </c>
      <c r="AA8" s="921">
        <v>1098</v>
      </c>
      <c r="AB8" s="938">
        <v>185</v>
      </c>
      <c r="AC8" s="668">
        <v>1</v>
      </c>
      <c r="AD8" s="663">
        <v>1104</v>
      </c>
      <c r="AE8" s="663">
        <v>179</v>
      </c>
      <c r="AF8" s="950">
        <v>1</v>
      </c>
      <c r="AG8" s="950">
        <v>1106</v>
      </c>
      <c r="AH8" s="950">
        <v>176</v>
      </c>
      <c r="AI8" s="664">
        <v>1</v>
      </c>
      <c r="AJ8" s="664">
        <v>1102</v>
      </c>
      <c r="AK8" s="665">
        <v>175.3</v>
      </c>
      <c r="AL8" s="951">
        <v>1</v>
      </c>
      <c r="AM8" s="950">
        <v>1100</v>
      </c>
      <c r="AN8" s="952">
        <v>175</v>
      </c>
      <c r="AO8" s="666"/>
      <c r="AP8" s="664"/>
      <c r="AQ8" s="667"/>
      <c r="AR8" s="666"/>
      <c r="AS8" s="664"/>
      <c r="AT8" s="667"/>
      <c r="AU8" s="666"/>
      <c r="AV8" s="664"/>
      <c r="AW8" s="667"/>
      <c r="AX8" s="666"/>
      <c r="AY8" s="664"/>
      <c r="AZ8" s="667"/>
      <c r="BA8" s="666"/>
      <c r="BB8" s="664"/>
      <c r="BC8" s="667"/>
      <c r="BD8" s="666"/>
      <c r="BE8" s="664"/>
      <c r="BF8" s="667"/>
      <c r="BG8" s="666"/>
      <c r="BH8" s="664"/>
      <c r="BI8" s="667"/>
      <c r="BJ8" s="666"/>
      <c r="BK8" s="664"/>
      <c r="BL8" s="667"/>
    </row>
    <row r="9" spans="2:79">
      <c r="B9" s="1283"/>
      <c r="C9" s="1283"/>
      <c r="D9" s="647" t="s">
        <v>728</v>
      </c>
      <c r="E9" s="662">
        <v>92.478925649179985</v>
      </c>
      <c r="F9" s="662">
        <v>97.676667722812539</v>
      </c>
      <c r="G9" s="662">
        <v>80.45083379037527</v>
      </c>
      <c r="H9" s="921">
        <v>92.52567250478657</v>
      </c>
      <c r="I9" s="921">
        <v>97.426054395570503</v>
      </c>
      <c r="J9" s="921">
        <v>80.605572130481846</v>
      </c>
      <c r="K9" s="662">
        <v>92.466217668923278</v>
      </c>
      <c r="L9" s="662">
        <v>98.972391597416319</v>
      </c>
      <c r="M9" s="662">
        <v>78.558334823965055</v>
      </c>
      <c r="N9" s="921">
        <v>95.956959046232797</v>
      </c>
      <c r="O9" s="921">
        <v>101.16437525289818</v>
      </c>
      <c r="P9" s="926">
        <v>77.180368094354719</v>
      </c>
      <c r="Q9" s="669">
        <v>98.446734977278211</v>
      </c>
      <c r="R9" s="662">
        <v>105.57031947141699</v>
      </c>
      <c r="S9" s="662">
        <v>81.510447031522574</v>
      </c>
      <c r="T9" s="921">
        <v>102.27761023678732</v>
      </c>
      <c r="U9" s="921">
        <v>106.7353929971719</v>
      </c>
      <c r="V9" s="921">
        <v>83.21504174990001</v>
      </c>
      <c r="W9" s="662">
        <v>106.16652827571937</v>
      </c>
      <c r="X9" s="662">
        <v>107.93546154989799</v>
      </c>
      <c r="Y9" s="662">
        <v>85.311869822130575</v>
      </c>
      <c r="Z9" s="921">
        <v>106.83230928270773</v>
      </c>
      <c r="AA9" s="921">
        <v>106.76769434954888</v>
      </c>
      <c r="AB9" s="938">
        <v>88.608965592726022</v>
      </c>
      <c r="AC9" s="668">
        <v>109.42322929321608</v>
      </c>
      <c r="AD9" s="663">
        <v>106.9436066140736</v>
      </c>
      <c r="AE9" s="663">
        <v>90.373079703476506</v>
      </c>
      <c r="AF9" s="950">
        <v>107.67600185945483</v>
      </c>
      <c r="AG9" s="950">
        <v>104.81533187972352</v>
      </c>
      <c r="AH9" s="950">
        <v>94.640838848889445</v>
      </c>
      <c r="AI9" s="664">
        <v>103.90370686997288</v>
      </c>
      <c r="AJ9" s="664">
        <v>103.81628479626445</v>
      </c>
      <c r="AK9" s="665">
        <v>96.21940233146843</v>
      </c>
      <c r="AL9" s="951">
        <v>100</v>
      </c>
      <c r="AM9" s="950">
        <v>100</v>
      </c>
      <c r="AN9" s="952">
        <v>100</v>
      </c>
      <c r="AO9" s="666"/>
      <c r="AP9" s="664"/>
      <c r="AQ9" s="667"/>
      <c r="AR9" s="666"/>
      <c r="AS9" s="664"/>
      <c r="AT9" s="667"/>
      <c r="AU9" s="666"/>
      <c r="AV9" s="664"/>
      <c r="AW9" s="667"/>
      <c r="AX9" s="666"/>
      <c r="AY9" s="664"/>
      <c r="AZ9" s="667"/>
      <c r="BA9" s="666"/>
      <c r="BB9" s="664"/>
      <c r="BC9" s="667"/>
      <c r="BD9" s="666"/>
      <c r="BE9" s="664"/>
      <c r="BF9" s="667"/>
      <c r="BG9" s="666"/>
      <c r="BH9" s="664"/>
      <c r="BI9" s="667"/>
      <c r="BJ9" s="666"/>
      <c r="BK9" s="664"/>
      <c r="BL9" s="667"/>
    </row>
    <row r="10" spans="2:79" ht="17" thickBot="1">
      <c r="B10" s="1283"/>
      <c r="C10" s="1283"/>
      <c r="D10" s="647" t="s">
        <v>729</v>
      </c>
      <c r="E10" s="662">
        <v>5.845248734945649</v>
      </c>
      <c r="F10" s="662">
        <v>4.2332801913383129</v>
      </c>
      <c r="G10" s="662">
        <v>6.2629668986806477</v>
      </c>
      <c r="H10" s="921">
        <v>5.9867723377695956</v>
      </c>
      <c r="I10" s="921">
        <v>4.3285754425791625</v>
      </c>
      <c r="J10" s="921">
        <v>6.6274119183412807</v>
      </c>
      <c r="K10" s="662">
        <v>6.5688036336811759</v>
      </c>
      <c r="L10" s="662">
        <v>4.5450850699999616</v>
      </c>
      <c r="M10" s="662">
        <v>6.9181135299065613</v>
      </c>
      <c r="N10" s="921">
        <v>5.918968662889899</v>
      </c>
      <c r="O10" s="921">
        <v>4.0861359696608313</v>
      </c>
      <c r="P10" s="926">
        <v>7.1236407122091983</v>
      </c>
      <c r="Q10" s="669">
        <v>5.7685740289535392</v>
      </c>
      <c r="R10" s="662">
        <v>4.0470215391075319</v>
      </c>
      <c r="S10" s="662">
        <v>6.6560981065404441</v>
      </c>
      <c r="T10" s="921">
        <v>5.8490077021263023</v>
      </c>
      <c r="U10" s="921">
        <v>4.2041990749421903</v>
      </c>
      <c r="V10" s="921">
        <v>6.4201678335758192</v>
      </c>
      <c r="W10" s="662">
        <v>5.5047003694078516</v>
      </c>
      <c r="X10" s="662">
        <v>4.0947785072901404</v>
      </c>
      <c r="Y10" s="662">
        <v>6.5739570481800493</v>
      </c>
      <c r="Z10" s="921">
        <v>5.7958432763427723</v>
      </c>
      <c r="AA10" s="921">
        <v>4.0753835964718164</v>
      </c>
      <c r="AB10" s="938">
        <v>6.437833676325126</v>
      </c>
      <c r="AC10" s="668">
        <v>5.9589882913180681</v>
      </c>
      <c r="AD10" s="663">
        <v>4.097964449796585</v>
      </c>
      <c r="AE10" s="663">
        <v>6.5701986891278388</v>
      </c>
      <c r="AF10" s="950">
        <v>5.469800553597512</v>
      </c>
      <c r="AG10" s="950">
        <v>4.0645249522208049</v>
      </c>
      <c r="AH10" s="950">
        <v>6.7519894245663448</v>
      </c>
      <c r="AI10" s="664">
        <v>5.7786354919529783</v>
      </c>
      <c r="AJ10" s="664">
        <v>4.3052192604012012</v>
      </c>
      <c r="AK10" s="665">
        <v>7.1188021659463416</v>
      </c>
      <c r="AL10" s="953">
        <v>6.8963642591155905</v>
      </c>
      <c r="AM10" s="954">
        <v>4.4640199002804799</v>
      </c>
      <c r="AN10" s="955">
        <v>7.0867352590167867</v>
      </c>
      <c r="AO10" s="694"/>
      <c r="AP10" s="711"/>
      <c r="AQ10" s="718"/>
      <c r="AR10" s="694"/>
      <c r="AS10" s="711"/>
      <c r="AT10" s="718"/>
      <c r="AU10" s="694"/>
      <c r="AV10" s="711"/>
      <c r="AW10" s="718"/>
      <c r="AX10" s="694"/>
      <c r="AY10" s="711"/>
      <c r="AZ10" s="718"/>
      <c r="BA10" s="694"/>
      <c r="BB10" s="711"/>
      <c r="BC10" s="718"/>
      <c r="BD10" s="694"/>
      <c r="BE10" s="711"/>
      <c r="BF10" s="718"/>
      <c r="BG10" s="694"/>
      <c r="BH10" s="711"/>
      <c r="BI10" s="718"/>
      <c r="BJ10" s="694"/>
      <c r="BK10" s="711"/>
      <c r="BL10" s="718"/>
    </row>
    <row r="11" spans="2:79" ht="17" thickBot="1"/>
    <row r="12" spans="2:79" ht="18.75" customHeight="1" thickBot="1">
      <c r="B12" s="1284" t="s">
        <v>889</v>
      </c>
      <c r="C12" s="1284"/>
      <c r="D12" s="1284"/>
      <c r="E12" s="1263" t="s">
        <v>677</v>
      </c>
      <c r="F12" s="1263"/>
      <c r="G12" s="1263"/>
      <c r="H12" s="1263"/>
      <c r="I12" s="1263"/>
      <c r="J12" s="1263"/>
      <c r="K12" s="577"/>
      <c r="L12" s="577"/>
      <c r="M12" s="577"/>
      <c r="N12" s="577"/>
      <c r="O12" s="577"/>
      <c r="P12" s="577"/>
      <c r="Q12" s="577"/>
      <c r="R12" s="577"/>
      <c r="S12" s="577"/>
      <c r="T12" s="577"/>
      <c r="U12" s="577"/>
      <c r="V12" s="577"/>
      <c r="W12" s="577"/>
      <c r="X12" s="577"/>
      <c r="Y12" s="577"/>
      <c r="Z12" s="577"/>
      <c r="AA12" s="577"/>
      <c r="AB12" s="577"/>
      <c r="AC12" s="577"/>
      <c r="AD12" s="577"/>
      <c r="AE12" s="577"/>
      <c r="AF12" s="577"/>
      <c r="AG12" s="577"/>
      <c r="AH12" s="577"/>
      <c r="AI12" s="577"/>
      <c r="AJ12" s="577"/>
    </row>
    <row r="13" spans="2:79" ht="6.75" customHeight="1" thickBot="1">
      <c r="B13" s="578"/>
    </row>
    <row r="14" spans="2:79" ht="16.5" customHeight="1">
      <c r="B14" s="1269" t="s">
        <v>686</v>
      </c>
      <c r="C14" s="1269" t="s">
        <v>687</v>
      </c>
      <c r="D14" s="1269" t="s">
        <v>688</v>
      </c>
      <c r="E14" s="1257" t="s">
        <v>689</v>
      </c>
      <c r="F14" s="1258"/>
      <c r="G14" s="1264"/>
      <c r="H14" s="1257" t="s">
        <v>690</v>
      </c>
      <c r="I14" s="1258"/>
      <c r="J14" s="1264"/>
      <c r="K14" s="1257" t="s">
        <v>691</v>
      </c>
      <c r="L14" s="1258"/>
      <c r="M14" s="1264"/>
      <c r="N14" s="1257" t="s">
        <v>692</v>
      </c>
      <c r="O14" s="1258"/>
      <c r="P14" s="1268"/>
      <c r="Q14" s="1270" t="s">
        <v>693</v>
      </c>
      <c r="R14" s="1258"/>
      <c r="S14" s="1264"/>
      <c r="T14" s="1257" t="s">
        <v>694</v>
      </c>
      <c r="U14" s="1258"/>
      <c r="V14" s="1264"/>
      <c r="W14" s="1257" t="s">
        <v>695</v>
      </c>
      <c r="X14" s="1258"/>
      <c r="Y14" s="1264"/>
      <c r="Z14" s="1257" t="s">
        <v>696</v>
      </c>
      <c r="AA14" s="1258"/>
      <c r="AB14" s="1268"/>
      <c r="AC14" s="1270" t="s">
        <v>697</v>
      </c>
      <c r="AD14" s="1258"/>
      <c r="AE14" s="1264"/>
      <c r="AF14" s="1257" t="s">
        <v>698</v>
      </c>
      <c r="AG14" s="1258"/>
      <c r="AH14" s="1264"/>
      <c r="AI14" s="1257" t="s">
        <v>699</v>
      </c>
      <c r="AJ14" s="1258"/>
      <c r="AK14" s="1259"/>
      <c r="AL14" s="1260" t="s">
        <v>700</v>
      </c>
      <c r="AM14" s="1261"/>
      <c r="AN14" s="1262"/>
      <c r="AO14" s="1260" t="s">
        <v>1152</v>
      </c>
      <c r="AP14" s="1261"/>
      <c r="AQ14" s="1262"/>
      <c r="AR14" s="1260" t="s">
        <v>917</v>
      </c>
      <c r="AS14" s="1261"/>
      <c r="AT14" s="1262"/>
      <c r="AU14" s="1260" t="s">
        <v>920</v>
      </c>
      <c r="AV14" s="1261"/>
      <c r="AW14" s="1262"/>
      <c r="AX14" s="1260" t="s">
        <v>921</v>
      </c>
      <c r="AY14" s="1261"/>
      <c r="AZ14" s="1262"/>
      <c r="BA14" s="1260" t="s">
        <v>983</v>
      </c>
      <c r="BB14" s="1261"/>
      <c r="BC14" s="1262"/>
      <c r="BD14" s="1260" t="s">
        <v>984</v>
      </c>
      <c r="BE14" s="1261"/>
      <c r="BF14" s="1262"/>
      <c r="BG14" s="1260" t="s">
        <v>985</v>
      </c>
      <c r="BH14" s="1261"/>
      <c r="BI14" s="1262"/>
      <c r="BJ14" s="1260" t="s">
        <v>986</v>
      </c>
      <c r="BK14" s="1261"/>
      <c r="BL14" s="1262"/>
    </row>
    <row r="15" spans="2:79">
      <c r="B15" s="1269"/>
      <c r="C15" s="1269"/>
      <c r="D15" s="1269"/>
      <c r="E15" s="677" t="s">
        <v>701</v>
      </c>
      <c r="F15" s="677" t="s">
        <v>1163</v>
      </c>
      <c r="G15" s="677" t="s">
        <v>1206</v>
      </c>
      <c r="H15" s="677" t="s">
        <v>701</v>
      </c>
      <c r="I15" s="677" t="s">
        <v>1163</v>
      </c>
      <c r="J15" s="677" t="s">
        <v>1206</v>
      </c>
      <c r="K15" s="677" t="s">
        <v>701</v>
      </c>
      <c r="L15" s="677" t="s">
        <v>1163</v>
      </c>
      <c r="M15" s="677" t="s">
        <v>1206</v>
      </c>
      <c r="N15" s="677" t="s">
        <v>701</v>
      </c>
      <c r="O15" s="677" t="s">
        <v>1163</v>
      </c>
      <c r="P15" s="678" t="s">
        <v>1206</v>
      </c>
      <c r="Q15" s="679" t="s">
        <v>701</v>
      </c>
      <c r="R15" s="677" t="s">
        <v>1163</v>
      </c>
      <c r="S15" s="677" t="s">
        <v>1206</v>
      </c>
      <c r="T15" s="677" t="s">
        <v>701</v>
      </c>
      <c r="U15" s="677" t="s">
        <v>1163</v>
      </c>
      <c r="V15" s="677" t="s">
        <v>1206</v>
      </c>
      <c r="W15" s="677" t="s">
        <v>701</v>
      </c>
      <c r="X15" s="677" t="s">
        <v>1163</v>
      </c>
      <c r="Y15" s="677" t="s">
        <v>1206</v>
      </c>
      <c r="Z15" s="677" t="s">
        <v>701</v>
      </c>
      <c r="AA15" s="677" t="s">
        <v>1163</v>
      </c>
      <c r="AB15" s="680" t="s">
        <v>1206</v>
      </c>
      <c r="AC15" s="681" t="s">
        <v>701</v>
      </c>
      <c r="AD15" s="677" t="s">
        <v>1163</v>
      </c>
      <c r="AE15" s="677" t="s">
        <v>1206</v>
      </c>
      <c r="AF15" s="677" t="s">
        <v>701</v>
      </c>
      <c r="AG15" s="677" t="s">
        <v>1163</v>
      </c>
      <c r="AH15" s="677" t="s">
        <v>1206</v>
      </c>
      <c r="AI15" s="677" t="s">
        <v>701</v>
      </c>
      <c r="AJ15" s="677" t="s">
        <v>1163</v>
      </c>
      <c r="AK15" s="678" t="s">
        <v>1206</v>
      </c>
      <c r="AL15" s="657" t="s">
        <v>701</v>
      </c>
      <c r="AM15" s="677" t="s">
        <v>1163</v>
      </c>
      <c r="AN15" s="658" t="s">
        <v>1206</v>
      </c>
      <c r="AO15" s="657" t="s">
        <v>701</v>
      </c>
      <c r="AP15" s="677" t="s">
        <v>1163</v>
      </c>
      <c r="AQ15" s="658" t="s">
        <v>1206</v>
      </c>
      <c r="AR15" s="657" t="s">
        <v>701</v>
      </c>
      <c r="AS15" s="677" t="s">
        <v>1163</v>
      </c>
      <c r="AT15" s="658" t="s">
        <v>1206</v>
      </c>
      <c r="AU15" s="657" t="s">
        <v>701</v>
      </c>
      <c r="AV15" s="677" t="s">
        <v>1163</v>
      </c>
      <c r="AW15" s="658" t="s">
        <v>1206</v>
      </c>
      <c r="AX15" s="657" t="s">
        <v>701</v>
      </c>
      <c r="AY15" s="677" t="s">
        <v>1163</v>
      </c>
      <c r="AZ15" s="658" t="s">
        <v>1206</v>
      </c>
      <c r="BA15" s="657" t="s">
        <v>701</v>
      </c>
      <c r="BB15" s="677" t="s">
        <v>1163</v>
      </c>
      <c r="BC15" s="658" t="s">
        <v>1206</v>
      </c>
      <c r="BD15" s="657" t="s">
        <v>701</v>
      </c>
      <c r="BE15" s="677" t="s">
        <v>1163</v>
      </c>
      <c r="BF15" s="658" t="s">
        <v>1206</v>
      </c>
      <c r="BG15" s="657" t="s">
        <v>701</v>
      </c>
      <c r="BH15" s="677" t="s">
        <v>1163</v>
      </c>
      <c r="BI15" s="658" t="s">
        <v>1206</v>
      </c>
      <c r="BJ15" s="657" t="s">
        <v>701</v>
      </c>
      <c r="BK15" s="677" t="s">
        <v>1163</v>
      </c>
      <c r="BL15" s="658" t="s">
        <v>1206</v>
      </c>
    </row>
    <row r="16" spans="2:79">
      <c r="B16" s="1298" t="s">
        <v>896</v>
      </c>
      <c r="C16" s="1300" t="s">
        <v>816</v>
      </c>
      <c r="D16" s="647" t="s">
        <v>1068</v>
      </c>
      <c r="E16" s="652">
        <v>0</v>
      </c>
      <c r="F16" s="712"/>
      <c r="G16" s="712"/>
      <c r="H16" s="910">
        <v>0</v>
      </c>
      <c r="I16" s="911"/>
      <c r="J16" s="911"/>
      <c r="K16" s="652">
        <v>0</v>
      </c>
      <c r="L16" s="712"/>
      <c r="M16" s="712"/>
      <c r="N16" s="910">
        <v>100000000</v>
      </c>
      <c r="O16" s="911"/>
      <c r="P16" s="927"/>
      <c r="Q16" s="684">
        <v>150000000</v>
      </c>
      <c r="R16" s="712"/>
      <c r="S16" s="712"/>
      <c r="T16" s="910">
        <v>250000000</v>
      </c>
      <c r="U16" s="911"/>
      <c r="V16" s="911"/>
      <c r="W16" s="652">
        <v>280000000</v>
      </c>
      <c r="X16" s="712"/>
      <c r="Y16" s="712"/>
      <c r="Z16" s="910">
        <v>350000000</v>
      </c>
      <c r="AA16" s="911"/>
      <c r="AB16" s="939"/>
      <c r="AC16" s="661">
        <v>420000000</v>
      </c>
      <c r="AD16" s="712"/>
      <c r="AE16" s="712"/>
      <c r="AF16" s="910">
        <v>460000000</v>
      </c>
      <c r="AG16" s="911"/>
      <c r="AH16" s="911"/>
      <c r="AI16" s="652">
        <v>480000000</v>
      </c>
      <c r="AJ16" s="712"/>
      <c r="AK16" s="728"/>
      <c r="AL16" s="956">
        <v>500000000</v>
      </c>
      <c r="AM16" s="911"/>
      <c r="AN16" s="957"/>
      <c r="AO16" s="652"/>
      <c r="AP16" s="712"/>
      <c r="AQ16" s="728"/>
      <c r="AR16" s="659"/>
      <c r="AS16" s="712"/>
      <c r="AT16" s="719"/>
      <c r="AU16" s="659"/>
      <c r="AV16" s="712"/>
      <c r="AW16" s="719"/>
      <c r="AX16" s="659"/>
      <c r="AY16" s="712"/>
      <c r="AZ16" s="719"/>
      <c r="BA16" s="659"/>
      <c r="BB16" s="712"/>
      <c r="BC16" s="719"/>
      <c r="BD16" s="659"/>
      <c r="BE16" s="712"/>
      <c r="BF16" s="719"/>
      <c r="BG16" s="659"/>
      <c r="BH16" s="712"/>
      <c r="BI16" s="719"/>
      <c r="BJ16" s="659"/>
      <c r="BK16" s="712"/>
      <c r="BL16" s="719"/>
    </row>
    <row r="17" spans="2:64" ht="17" thickBot="1">
      <c r="B17" s="1299"/>
      <c r="C17" s="1301"/>
      <c r="D17" s="647" t="s">
        <v>1069</v>
      </c>
      <c r="E17" s="652">
        <v>0</v>
      </c>
      <c r="F17" s="712"/>
      <c r="G17" s="712"/>
      <c r="H17" s="910">
        <v>0</v>
      </c>
      <c r="I17" s="911"/>
      <c r="J17" s="911"/>
      <c r="K17" s="652">
        <v>200000000</v>
      </c>
      <c r="L17" s="712"/>
      <c r="M17" s="712"/>
      <c r="N17" s="910">
        <v>300000000</v>
      </c>
      <c r="O17" s="911"/>
      <c r="P17" s="927"/>
      <c r="Q17" s="684">
        <v>500000000</v>
      </c>
      <c r="R17" s="712"/>
      <c r="S17" s="712"/>
      <c r="T17" s="910">
        <v>900000000</v>
      </c>
      <c r="U17" s="911"/>
      <c r="V17" s="911"/>
      <c r="W17" s="652">
        <v>950000000</v>
      </c>
      <c r="X17" s="712"/>
      <c r="Y17" s="712"/>
      <c r="Z17" s="910">
        <v>1000000000</v>
      </c>
      <c r="AA17" s="911"/>
      <c r="AB17" s="939"/>
      <c r="AC17" s="661">
        <v>1100000000</v>
      </c>
      <c r="AD17" s="712"/>
      <c r="AE17" s="712"/>
      <c r="AF17" s="910">
        <v>1350000000</v>
      </c>
      <c r="AG17" s="911"/>
      <c r="AH17" s="911"/>
      <c r="AI17" s="652">
        <v>1400000000</v>
      </c>
      <c r="AJ17" s="712"/>
      <c r="AK17" s="728"/>
      <c r="AL17" s="956">
        <v>1500000000</v>
      </c>
      <c r="AM17" s="911"/>
      <c r="AN17" s="957"/>
      <c r="AO17" s="652"/>
      <c r="AP17" s="712"/>
      <c r="AQ17" s="728"/>
      <c r="AR17" s="659"/>
      <c r="AS17" s="712"/>
      <c r="AT17" s="719"/>
      <c r="AU17" s="659"/>
      <c r="AV17" s="712"/>
      <c r="AW17" s="719"/>
      <c r="AX17" s="659"/>
      <c r="AY17" s="712"/>
      <c r="AZ17" s="719"/>
      <c r="BA17" s="659"/>
      <c r="BB17" s="712"/>
      <c r="BC17" s="719"/>
      <c r="BD17" s="659"/>
      <c r="BE17" s="712"/>
      <c r="BF17" s="719"/>
      <c r="BG17" s="659"/>
      <c r="BH17" s="712"/>
      <c r="BI17" s="719"/>
      <c r="BJ17" s="659"/>
      <c r="BK17" s="712"/>
      <c r="BL17" s="719"/>
    </row>
    <row r="18" spans="2:64" ht="17" thickTop="1">
      <c r="B18" s="1286" t="s">
        <v>895</v>
      </c>
      <c r="C18" s="644" t="s">
        <v>817</v>
      </c>
      <c r="D18" s="650" t="s">
        <v>1159</v>
      </c>
      <c r="E18" s="740">
        <v>1</v>
      </c>
      <c r="F18" s="714"/>
      <c r="G18" s="714"/>
      <c r="H18" s="913">
        <v>1</v>
      </c>
      <c r="I18" s="914"/>
      <c r="J18" s="914"/>
      <c r="K18" s="740">
        <v>1</v>
      </c>
      <c r="L18" s="714"/>
      <c r="M18" s="714"/>
      <c r="N18" s="913">
        <v>1</v>
      </c>
      <c r="O18" s="914"/>
      <c r="P18" s="928"/>
      <c r="Q18" s="742">
        <v>2</v>
      </c>
      <c r="R18" s="714"/>
      <c r="S18" s="714"/>
      <c r="T18" s="913">
        <v>2</v>
      </c>
      <c r="U18" s="914"/>
      <c r="V18" s="914"/>
      <c r="W18" s="740">
        <v>2</v>
      </c>
      <c r="X18" s="714"/>
      <c r="Y18" s="714"/>
      <c r="Z18" s="913">
        <v>2</v>
      </c>
      <c r="AA18" s="914"/>
      <c r="AB18" s="940"/>
      <c r="AC18" s="705">
        <v>3</v>
      </c>
      <c r="AD18" s="714"/>
      <c r="AE18" s="714"/>
      <c r="AF18" s="923">
        <v>3</v>
      </c>
      <c r="AG18" s="914"/>
      <c r="AH18" s="914"/>
      <c r="AI18" s="701">
        <v>4</v>
      </c>
      <c r="AJ18" s="714"/>
      <c r="AK18" s="729"/>
      <c r="AL18" s="958">
        <v>4</v>
      </c>
      <c r="AM18" s="914"/>
      <c r="AN18" s="959"/>
      <c r="AO18" s="701"/>
      <c r="AP18" s="714"/>
      <c r="AQ18" s="729"/>
      <c r="AR18" s="696"/>
      <c r="AS18" s="714"/>
      <c r="AT18" s="721"/>
      <c r="AU18" s="696"/>
      <c r="AV18" s="714"/>
      <c r="AW18" s="721"/>
      <c r="AX18" s="696"/>
      <c r="AY18" s="714"/>
      <c r="AZ18" s="721"/>
      <c r="BA18" s="696"/>
      <c r="BB18" s="714"/>
      <c r="BC18" s="721"/>
      <c r="BD18" s="696"/>
      <c r="BE18" s="714"/>
      <c r="BF18" s="721"/>
      <c r="BG18" s="696"/>
      <c r="BH18" s="714"/>
      <c r="BI18" s="721"/>
      <c r="BJ18" s="696"/>
      <c r="BK18" s="714"/>
      <c r="BL18" s="721"/>
    </row>
    <row r="19" spans="2:64">
      <c r="B19" s="1266"/>
      <c r="C19" s="645" t="s">
        <v>818</v>
      </c>
      <c r="D19" s="647" t="s">
        <v>1056</v>
      </c>
      <c r="E19" s="736">
        <v>40000</v>
      </c>
      <c r="F19" s="736">
        <v>30000</v>
      </c>
      <c r="G19" s="736">
        <v>10000</v>
      </c>
      <c r="H19" s="915">
        <v>45000</v>
      </c>
      <c r="I19" s="915">
        <v>30000</v>
      </c>
      <c r="J19" s="915">
        <v>10000</v>
      </c>
      <c r="K19" s="736">
        <v>45000</v>
      </c>
      <c r="L19" s="736">
        <v>35000</v>
      </c>
      <c r="M19" s="736">
        <v>15000</v>
      </c>
      <c r="N19" s="915">
        <v>45000</v>
      </c>
      <c r="O19" s="915">
        <v>40000</v>
      </c>
      <c r="P19" s="929">
        <v>15000</v>
      </c>
      <c r="Q19" s="743">
        <v>40000</v>
      </c>
      <c r="R19" s="736">
        <v>35000</v>
      </c>
      <c r="S19" s="736">
        <v>15000</v>
      </c>
      <c r="T19" s="915">
        <v>45000</v>
      </c>
      <c r="U19" s="915">
        <v>40000</v>
      </c>
      <c r="V19" s="915">
        <v>15000</v>
      </c>
      <c r="W19" s="736">
        <v>65000</v>
      </c>
      <c r="X19" s="736">
        <v>40000</v>
      </c>
      <c r="Y19" s="736">
        <v>15000</v>
      </c>
      <c r="Z19" s="915">
        <v>65000</v>
      </c>
      <c r="AA19" s="915">
        <v>40000</v>
      </c>
      <c r="AB19" s="941">
        <v>15000</v>
      </c>
      <c r="AC19" s="661">
        <v>50000</v>
      </c>
      <c r="AD19" s="652">
        <v>35000</v>
      </c>
      <c r="AE19" s="652">
        <v>15000</v>
      </c>
      <c r="AF19" s="910">
        <v>55000</v>
      </c>
      <c r="AG19" s="910">
        <v>40000</v>
      </c>
      <c r="AH19" s="910">
        <v>25000</v>
      </c>
      <c r="AI19" s="652">
        <v>60000</v>
      </c>
      <c r="AJ19" s="652">
        <v>35000</v>
      </c>
      <c r="AK19" s="656">
        <v>28000</v>
      </c>
      <c r="AL19" s="956">
        <v>60000</v>
      </c>
      <c r="AM19" s="910">
        <v>30000</v>
      </c>
      <c r="AN19" s="960">
        <v>30000</v>
      </c>
      <c r="AO19" s="652"/>
      <c r="AP19" s="652"/>
      <c r="AQ19" s="656"/>
      <c r="AR19" s="659"/>
      <c r="AS19" s="652"/>
      <c r="AT19" s="660"/>
      <c r="AU19" s="659"/>
      <c r="AV19" s="652"/>
      <c r="AW19" s="660"/>
      <c r="AX19" s="659"/>
      <c r="AY19" s="652"/>
      <c r="AZ19" s="660"/>
      <c r="BA19" s="659"/>
      <c r="BB19" s="652"/>
      <c r="BC19" s="660"/>
      <c r="BD19" s="659"/>
      <c r="BE19" s="652"/>
      <c r="BF19" s="660"/>
      <c r="BG19" s="659"/>
      <c r="BH19" s="652"/>
      <c r="BI19" s="660"/>
      <c r="BJ19" s="659"/>
      <c r="BK19" s="652"/>
      <c r="BL19" s="660"/>
    </row>
    <row r="20" spans="2:64">
      <c r="B20" s="1266"/>
      <c r="C20" s="645" t="s">
        <v>819</v>
      </c>
      <c r="D20" s="647" t="s">
        <v>833</v>
      </c>
      <c r="E20" s="686">
        <v>460000</v>
      </c>
      <c r="F20" s="686">
        <v>505</v>
      </c>
      <c r="G20" s="686">
        <v>2400</v>
      </c>
      <c r="H20" s="916">
        <v>470000</v>
      </c>
      <c r="I20" s="916">
        <v>512</v>
      </c>
      <c r="J20" s="916">
        <v>2450</v>
      </c>
      <c r="K20" s="686">
        <v>475000</v>
      </c>
      <c r="L20" s="686">
        <v>515</v>
      </c>
      <c r="M20" s="686">
        <v>2500</v>
      </c>
      <c r="N20" s="916">
        <v>480000</v>
      </c>
      <c r="O20" s="916">
        <v>520</v>
      </c>
      <c r="P20" s="930">
        <v>2650</v>
      </c>
      <c r="Q20" s="688">
        <v>525000</v>
      </c>
      <c r="R20" s="686">
        <v>550</v>
      </c>
      <c r="S20" s="686">
        <v>2900</v>
      </c>
      <c r="T20" s="916">
        <v>530000</v>
      </c>
      <c r="U20" s="916">
        <v>555</v>
      </c>
      <c r="V20" s="916">
        <v>2950</v>
      </c>
      <c r="W20" s="686">
        <v>540000</v>
      </c>
      <c r="X20" s="686">
        <v>560</v>
      </c>
      <c r="Y20" s="686">
        <v>3000</v>
      </c>
      <c r="Z20" s="916">
        <v>590000</v>
      </c>
      <c r="AA20" s="916">
        <v>595</v>
      </c>
      <c r="AB20" s="942">
        <v>3250</v>
      </c>
      <c r="AC20" s="689">
        <v>600000</v>
      </c>
      <c r="AD20" s="686">
        <v>600</v>
      </c>
      <c r="AE20" s="686">
        <v>3300</v>
      </c>
      <c r="AF20" s="916">
        <v>610000</v>
      </c>
      <c r="AG20" s="916">
        <v>615</v>
      </c>
      <c r="AH20" s="916">
        <v>3400</v>
      </c>
      <c r="AI20" s="686">
        <v>670000</v>
      </c>
      <c r="AJ20" s="686">
        <v>635</v>
      </c>
      <c r="AK20" s="687">
        <v>3700</v>
      </c>
      <c r="AL20" s="961">
        <v>680000</v>
      </c>
      <c r="AM20" s="916">
        <v>640</v>
      </c>
      <c r="AN20" s="962">
        <v>3800</v>
      </c>
      <c r="AO20" s="686"/>
      <c r="AP20" s="686"/>
      <c r="AQ20" s="687"/>
      <c r="AR20" s="690"/>
      <c r="AS20" s="686"/>
      <c r="AT20" s="691"/>
      <c r="AU20" s="690"/>
      <c r="AV20" s="686"/>
      <c r="AW20" s="691"/>
      <c r="AX20" s="690"/>
      <c r="AY20" s="686"/>
      <c r="AZ20" s="691"/>
      <c r="BA20" s="690"/>
      <c r="BB20" s="686"/>
      <c r="BC20" s="691"/>
      <c r="BD20" s="690"/>
      <c r="BE20" s="686"/>
      <c r="BF20" s="691"/>
      <c r="BG20" s="690"/>
      <c r="BH20" s="686"/>
      <c r="BI20" s="691"/>
      <c r="BJ20" s="690"/>
      <c r="BK20" s="686"/>
      <c r="BL20" s="691"/>
    </row>
    <row r="21" spans="2:64">
      <c r="B21" s="1266"/>
      <c r="C21" s="645" t="s">
        <v>820</v>
      </c>
      <c r="D21" s="647" t="s">
        <v>834</v>
      </c>
      <c r="E21" s="686">
        <v>3</v>
      </c>
      <c r="F21" s="686">
        <v>1</v>
      </c>
      <c r="G21" s="686">
        <v>1</v>
      </c>
      <c r="H21" s="916">
        <v>2</v>
      </c>
      <c r="I21" s="916">
        <v>1</v>
      </c>
      <c r="J21" s="916">
        <v>1</v>
      </c>
      <c r="K21" s="686">
        <v>2</v>
      </c>
      <c r="L21" s="686">
        <v>1</v>
      </c>
      <c r="M21" s="686">
        <v>1</v>
      </c>
      <c r="N21" s="916">
        <v>3</v>
      </c>
      <c r="O21" s="916">
        <v>1</v>
      </c>
      <c r="P21" s="930">
        <v>1</v>
      </c>
      <c r="Q21" s="688">
        <v>4</v>
      </c>
      <c r="R21" s="686">
        <v>1</v>
      </c>
      <c r="S21" s="686">
        <v>1</v>
      </c>
      <c r="T21" s="916">
        <v>2</v>
      </c>
      <c r="U21" s="916">
        <v>2</v>
      </c>
      <c r="V21" s="916">
        <v>2</v>
      </c>
      <c r="W21" s="686">
        <v>2</v>
      </c>
      <c r="X21" s="686">
        <v>1</v>
      </c>
      <c r="Y21" s="686">
        <v>1</v>
      </c>
      <c r="Z21" s="916">
        <v>2</v>
      </c>
      <c r="AA21" s="916">
        <v>1</v>
      </c>
      <c r="AB21" s="942">
        <v>1</v>
      </c>
      <c r="AC21" s="689">
        <v>2</v>
      </c>
      <c r="AD21" s="686">
        <v>1</v>
      </c>
      <c r="AE21" s="686">
        <v>1</v>
      </c>
      <c r="AF21" s="916">
        <v>2</v>
      </c>
      <c r="AG21" s="916">
        <v>1</v>
      </c>
      <c r="AH21" s="916">
        <v>1</v>
      </c>
      <c r="AI21" s="686">
        <v>1</v>
      </c>
      <c r="AJ21" s="686">
        <v>2</v>
      </c>
      <c r="AK21" s="687">
        <v>1</v>
      </c>
      <c r="AL21" s="961">
        <v>5</v>
      </c>
      <c r="AM21" s="916">
        <v>2</v>
      </c>
      <c r="AN21" s="962">
        <v>3</v>
      </c>
      <c r="AO21" s="686"/>
      <c r="AP21" s="686"/>
      <c r="AQ21" s="687"/>
      <c r="AR21" s="690"/>
      <c r="AS21" s="686"/>
      <c r="AT21" s="691"/>
      <c r="AU21" s="690"/>
      <c r="AV21" s="686"/>
      <c r="AW21" s="691"/>
      <c r="AX21" s="690"/>
      <c r="AY21" s="686"/>
      <c r="AZ21" s="691"/>
      <c r="BA21" s="690"/>
      <c r="BB21" s="686"/>
      <c r="BC21" s="691"/>
      <c r="BD21" s="690"/>
      <c r="BE21" s="686"/>
      <c r="BF21" s="691"/>
      <c r="BG21" s="690"/>
      <c r="BH21" s="686"/>
      <c r="BI21" s="691"/>
      <c r="BJ21" s="690"/>
      <c r="BK21" s="686"/>
      <c r="BL21" s="691"/>
    </row>
    <row r="22" spans="2:64">
      <c r="B22" s="1266"/>
      <c r="C22" s="1266" t="s">
        <v>821</v>
      </c>
      <c r="D22" s="647" t="s">
        <v>835</v>
      </c>
      <c r="E22" s="686">
        <v>1500000000</v>
      </c>
      <c r="F22" s="686">
        <v>800000</v>
      </c>
      <c r="G22" s="686">
        <v>5500000</v>
      </c>
      <c r="H22" s="916">
        <v>1550000000</v>
      </c>
      <c r="I22" s="916">
        <v>900000</v>
      </c>
      <c r="J22" s="916">
        <v>6000000</v>
      </c>
      <c r="K22" s="686">
        <v>1700000000</v>
      </c>
      <c r="L22" s="686">
        <v>1050000</v>
      </c>
      <c r="M22" s="686">
        <v>6300000</v>
      </c>
      <c r="N22" s="916">
        <v>1750000000</v>
      </c>
      <c r="O22" s="916">
        <v>1055000</v>
      </c>
      <c r="P22" s="930">
        <v>6500000</v>
      </c>
      <c r="Q22" s="688">
        <v>1850000000</v>
      </c>
      <c r="R22" s="686">
        <v>1100000</v>
      </c>
      <c r="S22" s="686">
        <v>7000000</v>
      </c>
      <c r="T22" s="916">
        <v>2000000000</v>
      </c>
      <c r="U22" s="916">
        <v>1150000</v>
      </c>
      <c r="V22" s="916">
        <v>9000000</v>
      </c>
      <c r="W22" s="686">
        <v>2100000000</v>
      </c>
      <c r="X22" s="686">
        <v>1200000</v>
      </c>
      <c r="Y22" s="686">
        <v>9500000</v>
      </c>
      <c r="Z22" s="916">
        <v>2500000000</v>
      </c>
      <c r="AA22" s="916">
        <v>1550000</v>
      </c>
      <c r="AB22" s="942">
        <v>10000000</v>
      </c>
      <c r="AC22" s="689">
        <v>2550000000</v>
      </c>
      <c r="AD22" s="686">
        <v>1600000</v>
      </c>
      <c r="AE22" s="686">
        <v>10500000</v>
      </c>
      <c r="AF22" s="916">
        <v>2600000000</v>
      </c>
      <c r="AG22" s="916">
        <v>1700000</v>
      </c>
      <c r="AH22" s="916">
        <v>11000000</v>
      </c>
      <c r="AI22" s="686">
        <v>3000000000</v>
      </c>
      <c r="AJ22" s="686">
        <v>1800000</v>
      </c>
      <c r="AK22" s="687">
        <v>11500000</v>
      </c>
      <c r="AL22" s="961">
        <v>3200000000</v>
      </c>
      <c r="AM22" s="916">
        <v>1900000</v>
      </c>
      <c r="AN22" s="962">
        <v>12000000</v>
      </c>
      <c r="AO22" s="686"/>
      <c r="AP22" s="686"/>
      <c r="AQ22" s="687"/>
      <c r="AR22" s="690"/>
      <c r="AS22" s="686"/>
      <c r="AT22" s="691"/>
      <c r="AU22" s="690"/>
      <c r="AV22" s="686"/>
      <c r="AW22" s="691"/>
      <c r="AX22" s="690"/>
      <c r="AY22" s="686"/>
      <c r="AZ22" s="691"/>
      <c r="BA22" s="690"/>
      <c r="BB22" s="686"/>
      <c r="BC22" s="691"/>
      <c r="BD22" s="690"/>
      <c r="BE22" s="686"/>
      <c r="BF22" s="691"/>
      <c r="BG22" s="690"/>
      <c r="BH22" s="686"/>
      <c r="BI22" s="691"/>
      <c r="BJ22" s="690"/>
      <c r="BK22" s="686"/>
      <c r="BL22" s="691"/>
    </row>
    <row r="23" spans="2:64" ht="17" thickBot="1">
      <c r="B23" s="1267"/>
      <c r="C23" s="1267"/>
      <c r="D23" s="651" t="s">
        <v>836</v>
      </c>
      <c r="E23" s="1074">
        <v>25000000</v>
      </c>
      <c r="F23" s="1074">
        <v>25000</v>
      </c>
      <c r="G23" s="1074">
        <v>80000</v>
      </c>
      <c r="H23" s="1075">
        <v>26000000</v>
      </c>
      <c r="I23" s="1075">
        <v>26500</v>
      </c>
      <c r="J23" s="1075">
        <v>95000</v>
      </c>
      <c r="K23" s="1074">
        <v>27500000</v>
      </c>
      <c r="L23" s="1074">
        <v>26000</v>
      </c>
      <c r="M23" s="1074">
        <v>100000</v>
      </c>
      <c r="N23" s="1075">
        <v>28000000</v>
      </c>
      <c r="O23" s="1075">
        <v>29000</v>
      </c>
      <c r="P23" s="1076">
        <v>105000</v>
      </c>
      <c r="Q23" s="1077">
        <v>31000000</v>
      </c>
      <c r="R23" s="1074">
        <v>30500</v>
      </c>
      <c r="S23" s="1074">
        <v>115000</v>
      </c>
      <c r="T23" s="1075">
        <v>32000000</v>
      </c>
      <c r="U23" s="1075">
        <v>31000</v>
      </c>
      <c r="V23" s="1075">
        <v>120000</v>
      </c>
      <c r="W23" s="1074">
        <v>33000000</v>
      </c>
      <c r="X23" s="1074">
        <v>34000</v>
      </c>
      <c r="Y23" s="1074">
        <v>125000</v>
      </c>
      <c r="Z23" s="1075">
        <v>36500000</v>
      </c>
      <c r="AA23" s="1075">
        <v>35000</v>
      </c>
      <c r="AB23" s="1078">
        <v>130000</v>
      </c>
      <c r="AC23" s="1079">
        <v>37000000</v>
      </c>
      <c r="AD23" s="1074">
        <v>37000</v>
      </c>
      <c r="AE23" s="1074">
        <v>135000</v>
      </c>
      <c r="AF23" s="1075">
        <v>38000000</v>
      </c>
      <c r="AG23" s="1075">
        <v>38000</v>
      </c>
      <c r="AH23" s="1075">
        <v>140000</v>
      </c>
      <c r="AI23" s="1074">
        <v>39000000</v>
      </c>
      <c r="AJ23" s="1074">
        <v>39000</v>
      </c>
      <c r="AK23" s="1080">
        <v>145000</v>
      </c>
      <c r="AL23" s="1081">
        <v>40000000</v>
      </c>
      <c r="AM23" s="1075">
        <v>40000</v>
      </c>
      <c r="AN23" s="1082">
        <v>150000</v>
      </c>
      <c r="AO23" s="1074"/>
      <c r="AP23" s="1074"/>
      <c r="AQ23" s="1080"/>
      <c r="AR23" s="1083"/>
      <c r="AS23" s="1074"/>
      <c r="AT23" s="1084"/>
      <c r="AU23" s="1083"/>
      <c r="AV23" s="1074"/>
      <c r="AW23" s="1084"/>
      <c r="AX23" s="1083"/>
      <c r="AY23" s="1074"/>
      <c r="AZ23" s="1084"/>
      <c r="BA23" s="1083"/>
      <c r="BB23" s="1074"/>
      <c r="BC23" s="1084"/>
      <c r="BD23" s="1083"/>
      <c r="BE23" s="1074"/>
      <c r="BF23" s="1084"/>
      <c r="BG23" s="1083"/>
      <c r="BH23" s="1074"/>
      <c r="BI23" s="1084"/>
      <c r="BJ23" s="1083"/>
      <c r="BK23" s="1074"/>
      <c r="BL23" s="1084"/>
    </row>
    <row r="24" spans="2:64" ht="17" thickTop="1">
      <c r="B24" s="1305" t="s">
        <v>897</v>
      </c>
      <c r="C24" s="1286" t="s">
        <v>822</v>
      </c>
      <c r="D24" s="650" t="s">
        <v>837</v>
      </c>
      <c r="E24" s="740">
        <v>4</v>
      </c>
      <c r="F24" s="740">
        <v>0</v>
      </c>
      <c r="G24" s="740">
        <v>0</v>
      </c>
      <c r="H24" s="913">
        <v>4</v>
      </c>
      <c r="I24" s="913">
        <v>0</v>
      </c>
      <c r="J24" s="913">
        <v>0</v>
      </c>
      <c r="K24" s="740">
        <v>5</v>
      </c>
      <c r="L24" s="740">
        <v>0</v>
      </c>
      <c r="M24" s="740">
        <v>0</v>
      </c>
      <c r="N24" s="913">
        <v>5</v>
      </c>
      <c r="O24" s="913">
        <v>0</v>
      </c>
      <c r="P24" s="932">
        <v>0</v>
      </c>
      <c r="Q24" s="742">
        <v>4</v>
      </c>
      <c r="R24" s="740">
        <v>0</v>
      </c>
      <c r="S24" s="740">
        <v>0</v>
      </c>
      <c r="T24" s="913">
        <v>5</v>
      </c>
      <c r="U24" s="913">
        <v>0</v>
      </c>
      <c r="V24" s="913">
        <v>0</v>
      </c>
      <c r="W24" s="740">
        <v>6</v>
      </c>
      <c r="X24" s="740">
        <v>0</v>
      </c>
      <c r="Y24" s="740">
        <v>0</v>
      </c>
      <c r="Z24" s="913">
        <v>6</v>
      </c>
      <c r="AA24" s="913">
        <v>0</v>
      </c>
      <c r="AB24" s="944">
        <v>0</v>
      </c>
      <c r="AC24" s="705">
        <v>6</v>
      </c>
      <c r="AD24" s="701">
        <v>0</v>
      </c>
      <c r="AE24" s="701">
        <v>0</v>
      </c>
      <c r="AF24" s="923">
        <v>6</v>
      </c>
      <c r="AG24" s="923">
        <v>0</v>
      </c>
      <c r="AH24" s="923">
        <v>0</v>
      </c>
      <c r="AI24" s="701">
        <v>6</v>
      </c>
      <c r="AJ24" s="701">
        <v>0</v>
      </c>
      <c r="AK24" s="731">
        <v>0</v>
      </c>
      <c r="AL24" s="958">
        <v>6</v>
      </c>
      <c r="AM24" s="923">
        <v>0</v>
      </c>
      <c r="AN24" s="966">
        <v>0</v>
      </c>
      <c r="AO24" s="701"/>
      <c r="AP24" s="701"/>
      <c r="AQ24" s="731"/>
      <c r="AR24" s="696"/>
      <c r="AS24" s="701"/>
      <c r="AT24" s="723"/>
      <c r="AU24" s="696"/>
      <c r="AV24" s="701"/>
      <c r="AW24" s="723"/>
      <c r="AX24" s="696"/>
      <c r="AY24" s="701"/>
      <c r="AZ24" s="723"/>
      <c r="BA24" s="696"/>
      <c r="BB24" s="701"/>
      <c r="BC24" s="723"/>
      <c r="BD24" s="696"/>
      <c r="BE24" s="701"/>
      <c r="BF24" s="723"/>
      <c r="BG24" s="696"/>
      <c r="BH24" s="701"/>
      <c r="BI24" s="723"/>
      <c r="BJ24" s="696"/>
      <c r="BK24" s="701"/>
      <c r="BL24" s="723"/>
    </row>
    <row r="25" spans="2:64">
      <c r="B25" s="1306"/>
      <c r="C25" s="1266"/>
      <c r="D25" s="647" t="s">
        <v>838</v>
      </c>
      <c r="E25" s="736">
        <v>2</v>
      </c>
      <c r="F25" s="736">
        <v>0</v>
      </c>
      <c r="G25" s="736">
        <v>0</v>
      </c>
      <c r="H25" s="915">
        <v>2</v>
      </c>
      <c r="I25" s="915">
        <v>0</v>
      </c>
      <c r="J25" s="915">
        <v>0</v>
      </c>
      <c r="K25" s="736">
        <v>1</v>
      </c>
      <c r="L25" s="736">
        <v>0</v>
      </c>
      <c r="M25" s="736">
        <v>0</v>
      </c>
      <c r="N25" s="915">
        <v>1</v>
      </c>
      <c r="O25" s="915">
        <v>0</v>
      </c>
      <c r="P25" s="929">
        <v>0</v>
      </c>
      <c r="Q25" s="743">
        <v>2</v>
      </c>
      <c r="R25" s="736">
        <v>0</v>
      </c>
      <c r="S25" s="736">
        <v>0</v>
      </c>
      <c r="T25" s="915">
        <v>1</v>
      </c>
      <c r="U25" s="915">
        <v>0</v>
      </c>
      <c r="V25" s="915">
        <v>0</v>
      </c>
      <c r="W25" s="736">
        <v>0</v>
      </c>
      <c r="X25" s="736">
        <v>0</v>
      </c>
      <c r="Y25" s="736">
        <v>0</v>
      </c>
      <c r="Z25" s="915">
        <v>0</v>
      </c>
      <c r="AA25" s="915">
        <v>0</v>
      </c>
      <c r="AB25" s="941">
        <v>0</v>
      </c>
      <c r="AC25" s="661">
        <v>0</v>
      </c>
      <c r="AD25" s="652">
        <v>0</v>
      </c>
      <c r="AE25" s="652">
        <v>0</v>
      </c>
      <c r="AF25" s="910">
        <v>0</v>
      </c>
      <c r="AG25" s="910">
        <v>0</v>
      </c>
      <c r="AH25" s="910">
        <v>0</v>
      </c>
      <c r="AI25" s="652">
        <v>0</v>
      </c>
      <c r="AJ25" s="652">
        <v>0</v>
      </c>
      <c r="AK25" s="656">
        <v>0</v>
      </c>
      <c r="AL25" s="956">
        <v>0</v>
      </c>
      <c r="AM25" s="910">
        <v>0</v>
      </c>
      <c r="AN25" s="960">
        <v>0</v>
      </c>
      <c r="AO25" s="652"/>
      <c r="AP25" s="652"/>
      <c r="AQ25" s="656"/>
      <c r="AR25" s="659"/>
      <c r="AS25" s="652"/>
      <c r="AT25" s="660"/>
      <c r="AU25" s="659"/>
      <c r="AV25" s="652"/>
      <c r="AW25" s="660"/>
      <c r="AX25" s="659"/>
      <c r="AY25" s="652"/>
      <c r="AZ25" s="660"/>
      <c r="BA25" s="659"/>
      <c r="BB25" s="652"/>
      <c r="BC25" s="660"/>
      <c r="BD25" s="659"/>
      <c r="BE25" s="652"/>
      <c r="BF25" s="660"/>
      <c r="BG25" s="659"/>
      <c r="BH25" s="652"/>
      <c r="BI25" s="660"/>
      <c r="BJ25" s="659"/>
      <c r="BK25" s="652"/>
      <c r="BL25" s="660"/>
    </row>
    <row r="26" spans="2:64">
      <c r="B26" s="1306"/>
      <c r="C26" s="1266"/>
      <c r="D26" s="647" t="s">
        <v>839</v>
      </c>
      <c r="E26" s="736">
        <v>0</v>
      </c>
      <c r="F26" s="736">
        <v>0</v>
      </c>
      <c r="G26" s="736">
        <v>0</v>
      </c>
      <c r="H26" s="915">
        <v>0</v>
      </c>
      <c r="I26" s="915">
        <v>0</v>
      </c>
      <c r="J26" s="915">
        <v>0</v>
      </c>
      <c r="K26" s="736">
        <v>0</v>
      </c>
      <c r="L26" s="736">
        <v>0</v>
      </c>
      <c r="M26" s="736">
        <v>0</v>
      </c>
      <c r="N26" s="915">
        <v>0</v>
      </c>
      <c r="O26" s="915">
        <v>0</v>
      </c>
      <c r="P26" s="929">
        <v>0</v>
      </c>
      <c r="Q26" s="743"/>
      <c r="R26" s="736">
        <v>0</v>
      </c>
      <c r="S26" s="736">
        <v>0</v>
      </c>
      <c r="T26" s="915"/>
      <c r="U26" s="915">
        <v>0</v>
      </c>
      <c r="V26" s="915">
        <v>0</v>
      </c>
      <c r="W26" s="736">
        <v>0</v>
      </c>
      <c r="X26" s="736">
        <v>0</v>
      </c>
      <c r="Y26" s="736">
        <v>0</v>
      </c>
      <c r="Z26" s="915">
        <v>0</v>
      </c>
      <c r="AA26" s="915">
        <v>0</v>
      </c>
      <c r="AB26" s="941">
        <v>0</v>
      </c>
      <c r="AC26" s="661">
        <v>0</v>
      </c>
      <c r="AD26" s="652">
        <v>0</v>
      </c>
      <c r="AE26" s="652">
        <v>0</v>
      </c>
      <c r="AF26" s="910">
        <v>0</v>
      </c>
      <c r="AG26" s="910">
        <v>0</v>
      </c>
      <c r="AH26" s="910">
        <v>0</v>
      </c>
      <c r="AI26" s="652">
        <v>0</v>
      </c>
      <c r="AJ26" s="652">
        <v>0</v>
      </c>
      <c r="AK26" s="656">
        <v>0</v>
      </c>
      <c r="AL26" s="956">
        <v>0</v>
      </c>
      <c r="AM26" s="910">
        <v>0</v>
      </c>
      <c r="AN26" s="960">
        <v>0</v>
      </c>
      <c r="AO26" s="652"/>
      <c r="AP26" s="652"/>
      <c r="AQ26" s="656"/>
      <c r="AR26" s="659"/>
      <c r="AS26" s="652"/>
      <c r="AT26" s="660"/>
      <c r="AU26" s="659"/>
      <c r="AV26" s="652"/>
      <c r="AW26" s="660"/>
      <c r="AX26" s="659"/>
      <c r="AY26" s="652"/>
      <c r="AZ26" s="660"/>
      <c r="BA26" s="659"/>
      <c r="BB26" s="652"/>
      <c r="BC26" s="660"/>
      <c r="BD26" s="659"/>
      <c r="BE26" s="652"/>
      <c r="BF26" s="660"/>
      <c r="BG26" s="659"/>
      <c r="BH26" s="652"/>
      <c r="BI26" s="660"/>
      <c r="BJ26" s="659"/>
      <c r="BK26" s="652"/>
      <c r="BL26" s="660"/>
    </row>
    <row r="27" spans="2:64">
      <c r="B27" s="1306"/>
      <c r="C27" s="1266"/>
      <c r="D27" s="647" t="s">
        <v>840</v>
      </c>
      <c r="E27" s="736">
        <v>40</v>
      </c>
      <c r="F27" s="736">
        <v>0</v>
      </c>
      <c r="G27" s="736">
        <v>0</v>
      </c>
      <c r="H27" s="915">
        <v>40</v>
      </c>
      <c r="I27" s="915">
        <v>0</v>
      </c>
      <c r="J27" s="915">
        <v>0</v>
      </c>
      <c r="K27" s="736">
        <v>40</v>
      </c>
      <c r="L27" s="736">
        <v>0</v>
      </c>
      <c r="M27" s="736">
        <v>0</v>
      </c>
      <c r="N27" s="915">
        <v>40</v>
      </c>
      <c r="O27" s="915">
        <v>0</v>
      </c>
      <c r="P27" s="929">
        <v>0</v>
      </c>
      <c r="Q27" s="743">
        <v>40</v>
      </c>
      <c r="R27" s="736">
        <v>0</v>
      </c>
      <c r="S27" s="736">
        <v>0</v>
      </c>
      <c r="T27" s="915">
        <v>44</v>
      </c>
      <c r="U27" s="915">
        <v>0</v>
      </c>
      <c r="V27" s="915">
        <v>0</v>
      </c>
      <c r="W27" s="736">
        <v>44</v>
      </c>
      <c r="X27" s="736">
        <v>0</v>
      </c>
      <c r="Y27" s="736">
        <v>0</v>
      </c>
      <c r="Z27" s="915">
        <v>48</v>
      </c>
      <c r="AA27" s="915">
        <v>0</v>
      </c>
      <c r="AB27" s="941">
        <v>0</v>
      </c>
      <c r="AC27" s="661">
        <v>40</v>
      </c>
      <c r="AD27" s="652">
        <v>0</v>
      </c>
      <c r="AE27" s="652">
        <v>0</v>
      </c>
      <c r="AF27" s="910">
        <v>44</v>
      </c>
      <c r="AG27" s="910">
        <v>0</v>
      </c>
      <c r="AH27" s="910">
        <v>0</v>
      </c>
      <c r="AI27" s="652">
        <v>44</v>
      </c>
      <c r="AJ27" s="652">
        <v>0</v>
      </c>
      <c r="AK27" s="656">
        <v>0</v>
      </c>
      <c r="AL27" s="956">
        <v>48</v>
      </c>
      <c r="AM27" s="910">
        <v>0</v>
      </c>
      <c r="AN27" s="960">
        <v>0</v>
      </c>
      <c r="AO27" s="652"/>
      <c r="AP27" s="652"/>
      <c r="AQ27" s="656"/>
      <c r="AR27" s="659"/>
      <c r="AS27" s="652"/>
      <c r="AT27" s="660"/>
      <c r="AU27" s="659"/>
      <c r="AV27" s="652"/>
      <c r="AW27" s="660"/>
      <c r="AX27" s="659"/>
      <c r="AY27" s="652"/>
      <c r="AZ27" s="660"/>
      <c r="BA27" s="659"/>
      <c r="BB27" s="652"/>
      <c r="BC27" s="660"/>
      <c r="BD27" s="659"/>
      <c r="BE27" s="652"/>
      <c r="BF27" s="660"/>
      <c r="BG27" s="659"/>
      <c r="BH27" s="652"/>
      <c r="BI27" s="660"/>
      <c r="BJ27" s="659"/>
      <c r="BK27" s="652"/>
      <c r="BL27" s="660"/>
    </row>
    <row r="28" spans="2:64">
      <c r="B28" s="1306"/>
      <c r="C28" s="1266" t="s">
        <v>823</v>
      </c>
      <c r="D28" s="647" t="s">
        <v>841</v>
      </c>
      <c r="E28" s="736">
        <v>0</v>
      </c>
      <c r="F28" s="736">
        <v>0</v>
      </c>
      <c r="G28" s="736">
        <v>0</v>
      </c>
      <c r="H28" s="915">
        <v>0</v>
      </c>
      <c r="I28" s="915">
        <v>0</v>
      </c>
      <c r="J28" s="915">
        <v>0</v>
      </c>
      <c r="K28" s="736">
        <v>0</v>
      </c>
      <c r="L28" s="736">
        <v>0</v>
      </c>
      <c r="M28" s="736">
        <v>0</v>
      </c>
      <c r="N28" s="915">
        <v>0</v>
      </c>
      <c r="O28" s="915">
        <v>0</v>
      </c>
      <c r="P28" s="929">
        <v>0</v>
      </c>
      <c r="Q28" s="743">
        <v>0</v>
      </c>
      <c r="R28" s="736">
        <v>0</v>
      </c>
      <c r="S28" s="736">
        <v>0</v>
      </c>
      <c r="T28" s="915">
        <v>0</v>
      </c>
      <c r="U28" s="915">
        <v>0</v>
      </c>
      <c r="V28" s="915">
        <v>0</v>
      </c>
      <c r="W28" s="736">
        <v>0</v>
      </c>
      <c r="X28" s="736">
        <v>0</v>
      </c>
      <c r="Y28" s="736">
        <v>0</v>
      </c>
      <c r="Z28" s="915">
        <v>0</v>
      </c>
      <c r="AA28" s="915">
        <v>0</v>
      </c>
      <c r="AB28" s="941">
        <v>0</v>
      </c>
      <c r="AC28" s="661">
        <v>0</v>
      </c>
      <c r="AD28" s="652">
        <v>0</v>
      </c>
      <c r="AE28" s="652">
        <v>0</v>
      </c>
      <c r="AF28" s="910">
        <v>0</v>
      </c>
      <c r="AG28" s="910">
        <v>0</v>
      </c>
      <c r="AH28" s="910">
        <v>0</v>
      </c>
      <c r="AI28" s="652">
        <v>0</v>
      </c>
      <c r="AJ28" s="652">
        <v>0</v>
      </c>
      <c r="AK28" s="656">
        <v>0</v>
      </c>
      <c r="AL28" s="956">
        <v>0</v>
      </c>
      <c r="AM28" s="910">
        <v>0</v>
      </c>
      <c r="AN28" s="960">
        <v>0</v>
      </c>
      <c r="AO28" s="652"/>
      <c r="AP28" s="652"/>
      <c r="AQ28" s="656"/>
      <c r="AR28" s="659"/>
      <c r="AS28" s="652"/>
      <c r="AT28" s="660"/>
      <c r="AU28" s="659"/>
      <c r="AV28" s="652"/>
      <c r="AW28" s="660"/>
      <c r="AX28" s="659"/>
      <c r="AY28" s="652"/>
      <c r="AZ28" s="660"/>
      <c r="BA28" s="659"/>
      <c r="BB28" s="652"/>
      <c r="BC28" s="660"/>
      <c r="BD28" s="659"/>
      <c r="BE28" s="652"/>
      <c r="BF28" s="660"/>
      <c r="BG28" s="659"/>
      <c r="BH28" s="652"/>
      <c r="BI28" s="660"/>
      <c r="BJ28" s="659"/>
      <c r="BK28" s="652"/>
      <c r="BL28" s="660"/>
    </row>
    <row r="29" spans="2:64">
      <c r="B29" s="1306"/>
      <c r="C29" s="1266"/>
      <c r="D29" s="647" t="s">
        <v>842</v>
      </c>
      <c r="E29" s="736">
        <v>0</v>
      </c>
      <c r="F29" s="736">
        <v>0</v>
      </c>
      <c r="G29" s="736">
        <v>0</v>
      </c>
      <c r="H29" s="915">
        <v>0</v>
      </c>
      <c r="I29" s="915">
        <v>0</v>
      </c>
      <c r="J29" s="915">
        <v>0</v>
      </c>
      <c r="K29" s="736">
        <v>0</v>
      </c>
      <c r="L29" s="736">
        <v>0</v>
      </c>
      <c r="M29" s="736">
        <v>0</v>
      </c>
      <c r="N29" s="915">
        <v>0</v>
      </c>
      <c r="O29" s="915">
        <v>0</v>
      </c>
      <c r="P29" s="929">
        <v>0</v>
      </c>
      <c r="Q29" s="743">
        <v>0</v>
      </c>
      <c r="R29" s="736">
        <v>0</v>
      </c>
      <c r="S29" s="736">
        <v>0</v>
      </c>
      <c r="T29" s="915">
        <v>0</v>
      </c>
      <c r="U29" s="915">
        <v>0</v>
      </c>
      <c r="V29" s="915">
        <v>0</v>
      </c>
      <c r="W29" s="736">
        <v>0</v>
      </c>
      <c r="X29" s="736">
        <v>0</v>
      </c>
      <c r="Y29" s="736">
        <v>0</v>
      </c>
      <c r="Z29" s="915">
        <v>0</v>
      </c>
      <c r="AA29" s="915">
        <v>0</v>
      </c>
      <c r="AB29" s="941">
        <v>0</v>
      </c>
      <c r="AC29" s="661">
        <v>0</v>
      </c>
      <c r="AD29" s="652">
        <v>0</v>
      </c>
      <c r="AE29" s="652">
        <v>0</v>
      </c>
      <c r="AF29" s="910">
        <v>0</v>
      </c>
      <c r="AG29" s="910">
        <v>0</v>
      </c>
      <c r="AH29" s="910">
        <v>0</v>
      </c>
      <c r="AI29" s="652">
        <v>0</v>
      </c>
      <c r="AJ29" s="652">
        <v>0</v>
      </c>
      <c r="AK29" s="656">
        <v>0</v>
      </c>
      <c r="AL29" s="956">
        <v>0</v>
      </c>
      <c r="AM29" s="910">
        <v>0</v>
      </c>
      <c r="AN29" s="960">
        <v>0</v>
      </c>
      <c r="AO29" s="652"/>
      <c r="AP29" s="652"/>
      <c r="AQ29" s="656"/>
      <c r="AR29" s="659"/>
      <c r="AS29" s="652"/>
      <c r="AT29" s="660"/>
      <c r="AU29" s="659"/>
      <c r="AV29" s="652"/>
      <c r="AW29" s="660"/>
      <c r="AX29" s="659"/>
      <c r="AY29" s="652"/>
      <c r="AZ29" s="660"/>
      <c r="BA29" s="659"/>
      <c r="BB29" s="652"/>
      <c r="BC29" s="660"/>
      <c r="BD29" s="659"/>
      <c r="BE29" s="652"/>
      <c r="BF29" s="660"/>
      <c r="BG29" s="659"/>
      <c r="BH29" s="652"/>
      <c r="BI29" s="660"/>
      <c r="BJ29" s="659"/>
      <c r="BK29" s="652"/>
      <c r="BL29" s="660"/>
    </row>
    <row r="30" spans="2:64">
      <c r="B30" s="1306"/>
      <c r="C30" s="1266"/>
      <c r="D30" s="647" t="s">
        <v>843</v>
      </c>
      <c r="E30" s="736">
        <v>0</v>
      </c>
      <c r="F30" s="736">
        <v>0</v>
      </c>
      <c r="G30" s="736">
        <v>0</v>
      </c>
      <c r="H30" s="915">
        <v>0</v>
      </c>
      <c r="I30" s="915">
        <v>0</v>
      </c>
      <c r="J30" s="915">
        <v>0</v>
      </c>
      <c r="K30" s="736">
        <v>0</v>
      </c>
      <c r="L30" s="736">
        <v>0</v>
      </c>
      <c r="M30" s="736">
        <v>0</v>
      </c>
      <c r="N30" s="915">
        <v>0</v>
      </c>
      <c r="O30" s="915">
        <v>0</v>
      </c>
      <c r="P30" s="929">
        <v>0</v>
      </c>
      <c r="Q30" s="743">
        <v>0</v>
      </c>
      <c r="R30" s="736">
        <v>0</v>
      </c>
      <c r="S30" s="736">
        <v>0</v>
      </c>
      <c r="T30" s="915">
        <v>0</v>
      </c>
      <c r="U30" s="915">
        <v>0</v>
      </c>
      <c r="V30" s="915">
        <v>0</v>
      </c>
      <c r="W30" s="736">
        <v>0</v>
      </c>
      <c r="X30" s="736">
        <v>0</v>
      </c>
      <c r="Y30" s="736">
        <v>0</v>
      </c>
      <c r="Z30" s="915">
        <v>0</v>
      </c>
      <c r="AA30" s="915">
        <v>0</v>
      </c>
      <c r="AB30" s="941">
        <v>0</v>
      </c>
      <c r="AC30" s="661">
        <v>0</v>
      </c>
      <c r="AD30" s="652">
        <v>0</v>
      </c>
      <c r="AE30" s="652">
        <v>0</v>
      </c>
      <c r="AF30" s="910">
        <v>0</v>
      </c>
      <c r="AG30" s="910">
        <v>0</v>
      </c>
      <c r="AH30" s="910">
        <v>0</v>
      </c>
      <c r="AI30" s="652">
        <v>0</v>
      </c>
      <c r="AJ30" s="652">
        <v>0</v>
      </c>
      <c r="AK30" s="656">
        <v>0</v>
      </c>
      <c r="AL30" s="956">
        <v>0</v>
      </c>
      <c r="AM30" s="910">
        <v>0</v>
      </c>
      <c r="AN30" s="960">
        <v>0</v>
      </c>
      <c r="AO30" s="652"/>
      <c r="AP30" s="652"/>
      <c r="AQ30" s="656"/>
      <c r="AR30" s="659"/>
      <c r="AS30" s="652"/>
      <c r="AT30" s="660"/>
      <c r="AU30" s="659"/>
      <c r="AV30" s="652"/>
      <c r="AW30" s="660"/>
      <c r="AX30" s="659"/>
      <c r="AY30" s="652"/>
      <c r="AZ30" s="660"/>
      <c r="BA30" s="659"/>
      <c r="BB30" s="652"/>
      <c r="BC30" s="660"/>
      <c r="BD30" s="659"/>
      <c r="BE30" s="652"/>
      <c r="BF30" s="660"/>
      <c r="BG30" s="659"/>
      <c r="BH30" s="652"/>
      <c r="BI30" s="660"/>
      <c r="BJ30" s="659"/>
      <c r="BK30" s="652"/>
      <c r="BL30" s="660"/>
    </row>
    <row r="31" spans="2:64">
      <c r="B31" s="1306"/>
      <c r="C31" s="1266"/>
      <c r="D31" s="647" t="s">
        <v>844</v>
      </c>
      <c r="E31" s="736">
        <v>0</v>
      </c>
      <c r="F31" s="736">
        <v>0</v>
      </c>
      <c r="G31" s="736">
        <v>0</v>
      </c>
      <c r="H31" s="915">
        <v>0</v>
      </c>
      <c r="I31" s="915">
        <v>0</v>
      </c>
      <c r="J31" s="915">
        <v>0</v>
      </c>
      <c r="K31" s="736">
        <v>0</v>
      </c>
      <c r="L31" s="736">
        <v>0</v>
      </c>
      <c r="M31" s="736">
        <v>0</v>
      </c>
      <c r="N31" s="915">
        <v>0</v>
      </c>
      <c r="O31" s="915">
        <v>0</v>
      </c>
      <c r="P31" s="929">
        <v>0</v>
      </c>
      <c r="Q31" s="743">
        <v>0</v>
      </c>
      <c r="R31" s="736">
        <v>0</v>
      </c>
      <c r="S31" s="736">
        <v>0</v>
      </c>
      <c r="T31" s="915">
        <v>0</v>
      </c>
      <c r="U31" s="915">
        <v>0</v>
      </c>
      <c r="V31" s="915">
        <v>0</v>
      </c>
      <c r="W31" s="736">
        <v>0</v>
      </c>
      <c r="X31" s="736">
        <v>0</v>
      </c>
      <c r="Y31" s="736">
        <v>0</v>
      </c>
      <c r="Z31" s="915">
        <v>0</v>
      </c>
      <c r="AA31" s="915">
        <v>0</v>
      </c>
      <c r="AB31" s="941">
        <v>0</v>
      </c>
      <c r="AC31" s="661">
        <v>0</v>
      </c>
      <c r="AD31" s="652">
        <v>0</v>
      </c>
      <c r="AE31" s="652">
        <v>0</v>
      </c>
      <c r="AF31" s="910">
        <v>0</v>
      </c>
      <c r="AG31" s="910">
        <v>0</v>
      </c>
      <c r="AH31" s="910">
        <v>0</v>
      </c>
      <c r="AI31" s="652">
        <v>0</v>
      </c>
      <c r="AJ31" s="652">
        <v>0</v>
      </c>
      <c r="AK31" s="656">
        <v>0</v>
      </c>
      <c r="AL31" s="956">
        <v>0</v>
      </c>
      <c r="AM31" s="910">
        <v>0</v>
      </c>
      <c r="AN31" s="960">
        <v>0</v>
      </c>
      <c r="AO31" s="652"/>
      <c r="AP31" s="652"/>
      <c r="AQ31" s="656"/>
      <c r="AR31" s="659"/>
      <c r="AS31" s="652"/>
      <c r="AT31" s="660"/>
      <c r="AU31" s="659"/>
      <c r="AV31" s="652"/>
      <c r="AW31" s="660"/>
      <c r="AX31" s="659"/>
      <c r="AY31" s="652"/>
      <c r="AZ31" s="660"/>
      <c r="BA31" s="659"/>
      <c r="BB31" s="652"/>
      <c r="BC31" s="660"/>
      <c r="BD31" s="659"/>
      <c r="BE31" s="652"/>
      <c r="BF31" s="660"/>
      <c r="BG31" s="659"/>
      <c r="BH31" s="652"/>
      <c r="BI31" s="660"/>
      <c r="BJ31" s="659"/>
      <c r="BK31" s="652"/>
      <c r="BL31" s="660"/>
    </row>
    <row r="32" spans="2:64">
      <c r="B32" s="1306"/>
      <c r="C32" s="645" t="s">
        <v>824</v>
      </c>
      <c r="D32" s="647" t="s">
        <v>845</v>
      </c>
      <c r="E32" s="652">
        <f t="shared" ref="E32:AH33" si="0">E72</f>
        <v>83166</v>
      </c>
      <c r="F32" s="652">
        <f t="shared" si="0"/>
        <v>0</v>
      </c>
      <c r="G32" s="652">
        <f t="shared" si="0"/>
        <v>0</v>
      </c>
      <c r="H32" s="910">
        <f t="shared" si="0"/>
        <v>86561</v>
      </c>
      <c r="I32" s="910">
        <f t="shared" si="0"/>
        <v>0</v>
      </c>
      <c r="J32" s="910">
        <f t="shared" si="0"/>
        <v>0</v>
      </c>
      <c r="K32" s="652">
        <f t="shared" si="0"/>
        <v>98841</v>
      </c>
      <c r="L32" s="652">
        <f t="shared" si="0"/>
        <v>0</v>
      </c>
      <c r="M32" s="652">
        <f t="shared" si="0"/>
        <v>0</v>
      </c>
      <c r="N32" s="910">
        <f t="shared" si="0"/>
        <v>100838</v>
      </c>
      <c r="O32" s="910">
        <f t="shared" si="0"/>
        <v>0</v>
      </c>
      <c r="P32" s="931">
        <f t="shared" si="0"/>
        <v>0</v>
      </c>
      <c r="Q32" s="684">
        <f t="shared" si="0"/>
        <v>89689</v>
      </c>
      <c r="R32" s="652">
        <f t="shared" si="0"/>
        <v>0</v>
      </c>
      <c r="S32" s="652">
        <f t="shared" si="0"/>
        <v>0</v>
      </c>
      <c r="T32" s="910">
        <f t="shared" si="0"/>
        <v>108201</v>
      </c>
      <c r="U32" s="910">
        <f t="shared" si="0"/>
        <v>0</v>
      </c>
      <c r="V32" s="910">
        <f t="shared" si="0"/>
        <v>0</v>
      </c>
      <c r="W32" s="652">
        <f t="shared" si="0"/>
        <v>121846</v>
      </c>
      <c r="X32" s="652">
        <f t="shared" si="0"/>
        <v>0</v>
      </c>
      <c r="Y32" s="652">
        <f t="shared" si="0"/>
        <v>0</v>
      </c>
      <c r="Z32" s="910">
        <f t="shared" si="0"/>
        <v>128679</v>
      </c>
      <c r="AA32" s="910">
        <f t="shared" si="0"/>
        <v>0</v>
      </c>
      <c r="AB32" s="943">
        <f t="shared" si="0"/>
        <v>0</v>
      </c>
      <c r="AC32" s="661">
        <f t="shared" si="0"/>
        <v>122351</v>
      </c>
      <c r="AD32" s="652">
        <f t="shared" si="0"/>
        <v>0</v>
      </c>
      <c r="AE32" s="652">
        <f t="shared" si="0"/>
        <v>0</v>
      </c>
      <c r="AF32" s="910">
        <f t="shared" si="0"/>
        <v>137532</v>
      </c>
      <c r="AG32" s="910">
        <f t="shared" si="0"/>
        <v>0</v>
      </c>
      <c r="AH32" s="910">
        <f t="shared" si="0"/>
        <v>0</v>
      </c>
      <c r="AI32" s="652">
        <v>130020</v>
      </c>
      <c r="AJ32" s="652">
        <v>0</v>
      </c>
      <c r="AK32" s="656">
        <v>0</v>
      </c>
      <c r="AL32" s="956">
        <v>136080</v>
      </c>
      <c r="AM32" s="910">
        <v>0</v>
      </c>
      <c r="AN32" s="960">
        <v>0</v>
      </c>
      <c r="AO32" s="652"/>
      <c r="AP32" s="652"/>
      <c r="AQ32" s="656"/>
      <c r="AR32" s="659"/>
      <c r="AS32" s="652"/>
      <c r="AT32" s="660"/>
      <c r="AU32" s="659"/>
      <c r="AV32" s="652"/>
      <c r="AW32" s="660"/>
      <c r="AX32" s="659"/>
      <c r="AY32" s="652"/>
      <c r="AZ32" s="660"/>
      <c r="BA32" s="659"/>
      <c r="BB32" s="652"/>
      <c r="BC32" s="660"/>
      <c r="BD32" s="659"/>
      <c r="BE32" s="652"/>
      <c r="BF32" s="660"/>
      <c r="BG32" s="659"/>
      <c r="BH32" s="652"/>
      <c r="BI32" s="660"/>
      <c r="BJ32" s="659"/>
      <c r="BK32" s="652"/>
      <c r="BL32" s="660"/>
    </row>
    <row r="33" spans="2:64">
      <c r="B33" s="1306"/>
      <c r="C33" s="645" t="s">
        <v>825</v>
      </c>
      <c r="D33" s="647" t="s">
        <v>846</v>
      </c>
      <c r="E33" s="736">
        <v>20000000</v>
      </c>
      <c r="F33" s="652">
        <f t="shared" si="0"/>
        <v>0</v>
      </c>
      <c r="G33" s="652">
        <f t="shared" si="0"/>
        <v>0</v>
      </c>
      <c r="H33" s="915">
        <v>25000000</v>
      </c>
      <c r="I33" s="910">
        <f t="shared" si="0"/>
        <v>0</v>
      </c>
      <c r="J33" s="910">
        <f t="shared" si="0"/>
        <v>0</v>
      </c>
      <c r="K33" s="736">
        <v>28000000</v>
      </c>
      <c r="L33" s="652">
        <f t="shared" si="0"/>
        <v>0</v>
      </c>
      <c r="M33" s="652">
        <f t="shared" si="0"/>
        <v>0</v>
      </c>
      <c r="N33" s="915">
        <v>30000000</v>
      </c>
      <c r="O33" s="910">
        <f t="shared" si="0"/>
        <v>0</v>
      </c>
      <c r="P33" s="931">
        <f t="shared" si="0"/>
        <v>0</v>
      </c>
      <c r="Q33" s="743">
        <v>35000000</v>
      </c>
      <c r="R33" s="736">
        <v>0</v>
      </c>
      <c r="S33" s="736">
        <v>0</v>
      </c>
      <c r="T33" s="915">
        <v>37000000</v>
      </c>
      <c r="U33" s="915">
        <v>0</v>
      </c>
      <c r="V33" s="915">
        <v>0</v>
      </c>
      <c r="W33" s="736">
        <v>40000000</v>
      </c>
      <c r="X33" s="736">
        <v>0</v>
      </c>
      <c r="Y33" s="736">
        <v>0</v>
      </c>
      <c r="Z33" s="915">
        <v>42000000</v>
      </c>
      <c r="AA33" s="915">
        <v>0</v>
      </c>
      <c r="AB33" s="941">
        <v>0</v>
      </c>
      <c r="AC33" s="661">
        <v>43000000</v>
      </c>
      <c r="AD33" s="652">
        <v>0</v>
      </c>
      <c r="AE33" s="652">
        <v>0</v>
      </c>
      <c r="AF33" s="910">
        <v>45000000</v>
      </c>
      <c r="AG33" s="910">
        <v>0</v>
      </c>
      <c r="AH33" s="910">
        <v>0</v>
      </c>
      <c r="AI33" s="652">
        <v>48000000</v>
      </c>
      <c r="AJ33" s="652">
        <v>0</v>
      </c>
      <c r="AK33" s="656">
        <v>0</v>
      </c>
      <c r="AL33" s="956">
        <v>50000000</v>
      </c>
      <c r="AM33" s="910">
        <v>0</v>
      </c>
      <c r="AN33" s="960">
        <v>0</v>
      </c>
      <c r="AO33" s="652"/>
      <c r="AP33" s="652"/>
      <c r="AQ33" s="656"/>
      <c r="AR33" s="659"/>
      <c r="AS33" s="652"/>
      <c r="AT33" s="660"/>
      <c r="AU33" s="659"/>
      <c r="AV33" s="652"/>
      <c r="AW33" s="660"/>
      <c r="AX33" s="659"/>
      <c r="AY33" s="652"/>
      <c r="AZ33" s="660"/>
      <c r="BA33" s="659"/>
      <c r="BB33" s="652"/>
      <c r="BC33" s="660"/>
      <c r="BD33" s="659"/>
      <c r="BE33" s="652"/>
      <c r="BF33" s="660"/>
      <c r="BG33" s="659"/>
      <c r="BH33" s="652"/>
      <c r="BI33" s="660"/>
      <c r="BJ33" s="659"/>
      <c r="BK33" s="652"/>
      <c r="BL33" s="660"/>
    </row>
    <row r="34" spans="2:64" ht="16.5" customHeight="1">
      <c r="B34" s="1306"/>
      <c r="C34" s="1266" t="s">
        <v>826</v>
      </c>
      <c r="D34" s="647" t="s">
        <v>1062</v>
      </c>
      <c r="E34" s="736">
        <v>0</v>
      </c>
      <c r="F34" s="736">
        <v>0</v>
      </c>
      <c r="G34" s="736">
        <v>0</v>
      </c>
      <c r="H34" s="915">
        <v>0</v>
      </c>
      <c r="I34" s="915">
        <v>0</v>
      </c>
      <c r="J34" s="915">
        <v>0</v>
      </c>
      <c r="K34" s="736">
        <v>0</v>
      </c>
      <c r="L34" s="736">
        <v>0</v>
      </c>
      <c r="M34" s="736">
        <v>0</v>
      </c>
      <c r="N34" s="915">
        <v>0</v>
      </c>
      <c r="O34" s="915">
        <v>0</v>
      </c>
      <c r="P34" s="929">
        <v>0</v>
      </c>
      <c r="Q34" s="743">
        <v>0</v>
      </c>
      <c r="R34" s="736">
        <v>0</v>
      </c>
      <c r="S34" s="736">
        <v>0</v>
      </c>
      <c r="T34" s="915">
        <v>0</v>
      </c>
      <c r="U34" s="915">
        <v>0</v>
      </c>
      <c r="V34" s="915">
        <v>0</v>
      </c>
      <c r="W34" s="736">
        <v>0</v>
      </c>
      <c r="X34" s="736">
        <v>0</v>
      </c>
      <c r="Y34" s="736">
        <v>0</v>
      </c>
      <c r="Z34" s="915">
        <v>0</v>
      </c>
      <c r="AA34" s="915">
        <v>0</v>
      </c>
      <c r="AB34" s="941">
        <v>0</v>
      </c>
      <c r="AC34" s="661">
        <v>0</v>
      </c>
      <c r="AD34" s="652">
        <v>0</v>
      </c>
      <c r="AE34" s="652">
        <v>0</v>
      </c>
      <c r="AF34" s="910">
        <v>0</v>
      </c>
      <c r="AG34" s="910">
        <v>0</v>
      </c>
      <c r="AH34" s="910">
        <v>0</v>
      </c>
      <c r="AI34" s="652">
        <v>0</v>
      </c>
      <c r="AJ34" s="652">
        <v>0</v>
      </c>
      <c r="AK34" s="656">
        <v>0</v>
      </c>
      <c r="AL34" s="956">
        <v>0</v>
      </c>
      <c r="AM34" s="910">
        <v>0</v>
      </c>
      <c r="AN34" s="960">
        <v>0</v>
      </c>
      <c r="AO34" s="652"/>
      <c r="AP34" s="652"/>
      <c r="AQ34" s="656"/>
      <c r="AR34" s="659"/>
      <c r="AS34" s="652"/>
      <c r="AT34" s="660"/>
      <c r="AU34" s="659"/>
      <c r="AV34" s="652"/>
      <c r="AW34" s="660"/>
      <c r="AX34" s="659"/>
      <c r="AY34" s="652"/>
      <c r="AZ34" s="660"/>
      <c r="BA34" s="659"/>
      <c r="BB34" s="652"/>
      <c r="BC34" s="660"/>
      <c r="BD34" s="659"/>
      <c r="BE34" s="652"/>
      <c r="BF34" s="660"/>
      <c r="BG34" s="659"/>
      <c r="BH34" s="652"/>
      <c r="BI34" s="660"/>
      <c r="BJ34" s="659"/>
      <c r="BK34" s="652"/>
      <c r="BL34" s="660"/>
    </row>
    <row r="35" spans="2:64">
      <c r="B35" s="1306"/>
      <c r="C35" s="1266"/>
      <c r="D35" s="647" t="s">
        <v>1063</v>
      </c>
      <c r="E35" s="736">
        <v>0</v>
      </c>
      <c r="F35" s="736">
        <v>0</v>
      </c>
      <c r="G35" s="736">
        <v>0</v>
      </c>
      <c r="H35" s="915">
        <v>0</v>
      </c>
      <c r="I35" s="915">
        <v>0</v>
      </c>
      <c r="J35" s="915">
        <v>0</v>
      </c>
      <c r="K35" s="736">
        <v>0</v>
      </c>
      <c r="L35" s="736">
        <v>0</v>
      </c>
      <c r="M35" s="736">
        <v>0</v>
      </c>
      <c r="N35" s="915">
        <v>0</v>
      </c>
      <c r="O35" s="915">
        <v>0</v>
      </c>
      <c r="P35" s="929">
        <v>0</v>
      </c>
      <c r="Q35" s="743">
        <v>0</v>
      </c>
      <c r="R35" s="736">
        <v>0</v>
      </c>
      <c r="S35" s="736">
        <v>0</v>
      </c>
      <c r="T35" s="915">
        <v>0</v>
      </c>
      <c r="U35" s="915">
        <v>0</v>
      </c>
      <c r="V35" s="915">
        <v>0</v>
      </c>
      <c r="W35" s="736">
        <v>0</v>
      </c>
      <c r="X35" s="736">
        <v>0</v>
      </c>
      <c r="Y35" s="736">
        <v>0</v>
      </c>
      <c r="Z35" s="915">
        <v>0</v>
      </c>
      <c r="AA35" s="915">
        <v>0</v>
      </c>
      <c r="AB35" s="941">
        <v>0</v>
      </c>
      <c r="AC35" s="661">
        <v>0</v>
      </c>
      <c r="AD35" s="652">
        <v>0</v>
      </c>
      <c r="AE35" s="652">
        <v>0</v>
      </c>
      <c r="AF35" s="910">
        <v>0</v>
      </c>
      <c r="AG35" s="910">
        <v>0</v>
      </c>
      <c r="AH35" s="910">
        <v>0</v>
      </c>
      <c r="AI35" s="652">
        <v>0</v>
      </c>
      <c r="AJ35" s="652">
        <v>0</v>
      </c>
      <c r="AK35" s="656">
        <v>0</v>
      </c>
      <c r="AL35" s="956">
        <v>0</v>
      </c>
      <c r="AM35" s="910">
        <v>0</v>
      </c>
      <c r="AN35" s="960">
        <v>0</v>
      </c>
      <c r="AO35" s="652"/>
      <c r="AP35" s="652"/>
      <c r="AQ35" s="656"/>
      <c r="AR35" s="659"/>
      <c r="AS35" s="652"/>
      <c r="AT35" s="660"/>
      <c r="AU35" s="659"/>
      <c r="AV35" s="652"/>
      <c r="AW35" s="660"/>
      <c r="AX35" s="659"/>
      <c r="AY35" s="652"/>
      <c r="AZ35" s="660"/>
      <c r="BA35" s="659"/>
      <c r="BB35" s="652"/>
      <c r="BC35" s="660"/>
      <c r="BD35" s="659"/>
      <c r="BE35" s="652"/>
      <c r="BF35" s="660"/>
      <c r="BG35" s="659"/>
      <c r="BH35" s="652"/>
      <c r="BI35" s="660"/>
      <c r="BJ35" s="659"/>
      <c r="BK35" s="652"/>
      <c r="BL35" s="660"/>
    </row>
    <row r="36" spans="2:64" ht="17" thickBot="1">
      <c r="B36" s="1299"/>
      <c r="C36" s="1267"/>
      <c r="D36" s="651" t="s">
        <v>1064</v>
      </c>
      <c r="E36" s="737">
        <v>0</v>
      </c>
      <c r="F36" s="737">
        <v>0</v>
      </c>
      <c r="G36" s="737">
        <v>0</v>
      </c>
      <c r="H36" s="917">
        <v>0</v>
      </c>
      <c r="I36" s="917">
        <v>0</v>
      </c>
      <c r="J36" s="917">
        <v>0</v>
      </c>
      <c r="K36" s="737">
        <v>0</v>
      </c>
      <c r="L36" s="737">
        <v>0</v>
      </c>
      <c r="M36" s="737">
        <v>0</v>
      </c>
      <c r="N36" s="917">
        <v>0</v>
      </c>
      <c r="O36" s="917">
        <v>0</v>
      </c>
      <c r="P36" s="1087">
        <v>0</v>
      </c>
      <c r="Q36" s="744">
        <v>0</v>
      </c>
      <c r="R36" s="737">
        <v>0</v>
      </c>
      <c r="S36" s="737">
        <v>0</v>
      </c>
      <c r="T36" s="917">
        <v>0</v>
      </c>
      <c r="U36" s="917">
        <v>0</v>
      </c>
      <c r="V36" s="917">
        <v>0</v>
      </c>
      <c r="W36" s="737">
        <v>0</v>
      </c>
      <c r="X36" s="737">
        <v>0</v>
      </c>
      <c r="Y36" s="737">
        <v>0</v>
      </c>
      <c r="Z36" s="917">
        <v>0</v>
      </c>
      <c r="AA36" s="917">
        <v>0</v>
      </c>
      <c r="AB36" s="1088">
        <v>0</v>
      </c>
      <c r="AC36" s="750">
        <v>0</v>
      </c>
      <c r="AD36" s="703">
        <v>0</v>
      </c>
      <c r="AE36" s="703">
        <v>0</v>
      </c>
      <c r="AF36" s="924">
        <v>0</v>
      </c>
      <c r="AG36" s="924">
        <v>0</v>
      </c>
      <c r="AH36" s="924">
        <v>0</v>
      </c>
      <c r="AI36" s="703">
        <v>0</v>
      </c>
      <c r="AJ36" s="703">
        <v>0</v>
      </c>
      <c r="AK36" s="734">
        <v>0</v>
      </c>
      <c r="AL36" s="970">
        <v>0</v>
      </c>
      <c r="AM36" s="924">
        <v>0</v>
      </c>
      <c r="AN36" s="971">
        <v>0</v>
      </c>
      <c r="AO36" s="703"/>
      <c r="AP36" s="703"/>
      <c r="AQ36" s="734"/>
      <c r="AR36" s="699"/>
      <c r="AS36" s="703"/>
      <c r="AT36" s="726"/>
      <c r="AU36" s="699"/>
      <c r="AV36" s="703"/>
      <c r="AW36" s="726"/>
      <c r="AX36" s="699"/>
      <c r="AY36" s="703"/>
      <c r="AZ36" s="726"/>
      <c r="BA36" s="699"/>
      <c r="BB36" s="703"/>
      <c r="BC36" s="726"/>
      <c r="BD36" s="699"/>
      <c r="BE36" s="703"/>
      <c r="BF36" s="726"/>
      <c r="BG36" s="699"/>
      <c r="BH36" s="703"/>
      <c r="BI36" s="726"/>
      <c r="BJ36" s="699"/>
      <c r="BK36" s="703"/>
      <c r="BL36" s="726"/>
    </row>
    <row r="37" spans="2:64" ht="17" thickTop="1">
      <c r="B37" s="1305" t="s">
        <v>1049</v>
      </c>
      <c r="C37" s="1303" t="s">
        <v>1070</v>
      </c>
      <c r="D37" s="1104" t="s">
        <v>1052</v>
      </c>
      <c r="E37" s="1068">
        <v>1120000000</v>
      </c>
      <c r="F37" s="1214"/>
      <c r="G37" s="1214"/>
      <c r="H37" s="1069">
        <v>1400000000.0000002</v>
      </c>
      <c r="I37" s="1214"/>
      <c r="J37" s="1214"/>
      <c r="K37" s="1068">
        <v>1568000000.0000002</v>
      </c>
      <c r="L37" s="1214"/>
      <c r="M37" s="1214"/>
      <c r="N37" s="1069">
        <v>1736000000.0000002</v>
      </c>
      <c r="O37" s="1214"/>
      <c r="P37" s="1214"/>
      <c r="Q37" s="1070">
        <v>1848000000.0000002</v>
      </c>
      <c r="R37" s="1214"/>
      <c r="S37" s="1214"/>
      <c r="T37" s="1069">
        <v>2044000000.0000002</v>
      </c>
      <c r="U37" s="1214"/>
      <c r="V37" s="1214"/>
      <c r="W37" s="1068">
        <v>2184000000</v>
      </c>
      <c r="X37" s="1214"/>
      <c r="Y37" s="1214"/>
      <c r="Z37" s="1069">
        <v>2296000000</v>
      </c>
      <c r="AA37" s="1214"/>
      <c r="AB37" s="1214"/>
      <c r="AC37" s="1071">
        <v>2464000000</v>
      </c>
      <c r="AD37" s="1214"/>
      <c r="AE37" s="1214"/>
      <c r="AF37" s="1069">
        <v>2576000000.0000005</v>
      </c>
      <c r="AG37" s="1214"/>
      <c r="AH37" s="1214"/>
      <c r="AI37" s="1068">
        <v>2688000000.0000005</v>
      </c>
      <c r="AJ37" s="1214"/>
      <c r="AK37" s="1214"/>
      <c r="AL37" s="1072">
        <v>2800000000.0000005</v>
      </c>
      <c r="AM37" s="1214"/>
      <c r="AN37" s="1214"/>
      <c r="AO37" s="1068"/>
      <c r="AP37" s="1214"/>
      <c r="AQ37" s="1214"/>
      <c r="AR37" s="1073"/>
      <c r="AS37" s="1085"/>
      <c r="AT37" s="1086"/>
      <c r="AU37" s="1073"/>
      <c r="AV37" s="1085"/>
      <c r="AW37" s="1086"/>
      <c r="AX37" s="1073"/>
      <c r="AY37" s="1085"/>
      <c r="AZ37" s="1086"/>
      <c r="BA37" s="1073"/>
      <c r="BB37" s="1085"/>
      <c r="BC37" s="1086"/>
      <c r="BD37" s="1073"/>
      <c r="BE37" s="1085"/>
      <c r="BF37" s="1086"/>
      <c r="BG37" s="1073"/>
      <c r="BH37" s="1085"/>
      <c r="BI37" s="1086"/>
      <c r="BJ37" s="1073"/>
      <c r="BK37" s="1085"/>
      <c r="BL37" s="1086"/>
    </row>
    <row r="38" spans="2:64">
      <c r="B38" s="1306"/>
      <c r="C38" s="1307"/>
      <c r="D38" s="1103" t="s">
        <v>1053</v>
      </c>
      <c r="E38" s="738">
        <v>640000000</v>
      </c>
      <c r="F38" s="1214"/>
      <c r="G38" s="1214"/>
      <c r="H38" s="919">
        <v>650000000</v>
      </c>
      <c r="I38" s="1214"/>
      <c r="J38" s="1214"/>
      <c r="K38" s="738">
        <v>750000000</v>
      </c>
      <c r="L38" s="1214"/>
      <c r="M38" s="1214"/>
      <c r="N38" s="919">
        <v>810000000</v>
      </c>
      <c r="O38" s="1214"/>
      <c r="P38" s="1214"/>
      <c r="Q38" s="746">
        <v>920000000</v>
      </c>
      <c r="R38" s="1214"/>
      <c r="S38" s="1214"/>
      <c r="T38" s="919">
        <v>980000000</v>
      </c>
      <c r="U38" s="1214"/>
      <c r="V38" s="1214"/>
      <c r="W38" s="738">
        <v>1000000000</v>
      </c>
      <c r="X38" s="1214"/>
      <c r="Y38" s="1214"/>
      <c r="Z38" s="919">
        <v>1040000000</v>
      </c>
      <c r="AA38" s="1214"/>
      <c r="AB38" s="1214"/>
      <c r="AC38" s="739">
        <v>1080000000</v>
      </c>
      <c r="AD38" s="1214"/>
      <c r="AE38" s="1214"/>
      <c r="AF38" s="919">
        <v>1100000000</v>
      </c>
      <c r="AG38" s="1214"/>
      <c r="AH38" s="1214"/>
      <c r="AI38" s="738">
        <v>1160000000</v>
      </c>
      <c r="AJ38" s="1214"/>
      <c r="AK38" s="1214"/>
      <c r="AL38" s="965">
        <v>1200000000</v>
      </c>
      <c r="AM38" s="1214"/>
      <c r="AN38" s="1214"/>
      <c r="AO38" s="738"/>
      <c r="AP38" s="1214"/>
      <c r="AQ38" s="1214"/>
      <c r="AR38" s="735"/>
      <c r="AS38" s="713"/>
      <c r="AT38" s="720"/>
      <c r="AU38" s="735"/>
      <c r="AV38" s="713"/>
      <c r="AW38" s="720"/>
      <c r="AX38" s="735"/>
      <c r="AY38" s="713"/>
      <c r="AZ38" s="720"/>
      <c r="BA38" s="735"/>
      <c r="BB38" s="713"/>
      <c r="BC38" s="720"/>
      <c r="BD38" s="735"/>
      <c r="BE38" s="713"/>
      <c r="BF38" s="720"/>
      <c r="BG38" s="735"/>
      <c r="BH38" s="713"/>
      <c r="BI38" s="720"/>
      <c r="BJ38" s="735"/>
      <c r="BK38" s="713"/>
      <c r="BL38" s="720"/>
    </row>
    <row r="39" spans="2:64">
      <c r="B39" s="1306"/>
      <c r="C39" s="1302" t="s">
        <v>1051</v>
      </c>
      <c r="D39" s="1103" t="s">
        <v>1057</v>
      </c>
      <c r="E39" s="738">
        <v>10</v>
      </c>
      <c r="F39" s="1214"/>
      <c r="G39" s="1214"/>
      <c r="H39" s="919">
        <v>9</v>
      </c>
      <c r="I39" s="1214"/>
      <c r="J39" s="1214"/>
      <c r="K39" s="738">
        <v>8</v>
      </c>
      <c r="L39" s="1214"/>
      <c r="M39" s="1214"/>
      <c r="N39" s="919">
        <v>8</v>
      </c>
      <c r="O39" s="1214"/>
      <c r="P39" s="1214"/>
      <c r="Q39" s="746">
        <v>6</v>
      </c>
      <c r="R39" s="1214"/>
      <c r="S39" s="1214"/>
      <c r="T39" s="919">
        <v>6</v>
      </c>
      <c r="U39" s="1214"/>
      <c r="V39" s="1214"/>
      <c r="W39" s="738">
        <v>6</v>
      </c>
      <c r="X39" s="1214"/>
      <c r="Y39" s="1214"/>
      <c r="Z39" s="919">
        <v>5</v>
      </c>
      <c r="AA39" s="1214"/>
      <c r="AB39" s="1214"/>
      <c r="AC39" s="739">
        <v>4</v>
      </c>
      <c r="AD39" s="1214"/>
      <c r="AE39" s="1214"/>
      <c r="AF39" s="919">
        <v>4</v>
      </c>
      <c r="AG39" s="1214"/>
      <c r="AH39" s="1214"/>
      <c r="AI39" s="738">
        <v>5</v>
      </c>
      <c r="AJ39" s="1214"/>
      <c r="AK39" s="1214"/>
      <c r="AL39" s="965">
        <v>5</v>
      </c>
      <c r="AM39" s="1214"/>
      <c r="AN39" s="1214"/>
      <c r="AO39" s="738"/>
      <c r="AP39" s="1214"/>
      <c r="AQ39" s="1214"/>
      <c r="AR39" s="735"/>
      <c r="AS39" s="713"/>
      <c r="AT39" s="720"/>
      <c r="AU39" s="735"/>
      <c r="AV39" s="713"/>
      <c r="AW39" s="720"/>
      <c r="AX39" s="735"/>
      <c r="AY39" s="713"/>
      <c r="AZ39" s="720"/>
      <c r="BA39" s="735"/>
      <c r="BB39" s="713"/>
      <c r="BC39" s="720"/>
      <c r="BD39" s="735"/>
      <c r="BE39" s="713"/>
      <c r="BF39" s="720"/>
      <c r="BG39" s="735"/>
      <c r="BH39" s="713"/>
      <c r="BI39" s="720"/>
      <c r="BJ39" s="735"/>
      <c r="BK39" s="713"/>
      <c r="BL39" s="720"/>
    </row>
    <row r="40" spans="2:64">
      <c r="B40" s="1306"/>
      <c r="C40" s="1303"/>
      <c r="D40" s="1103" t="s">
        <v>1081</v>
      </c>
      <c r="E40" s="738">
        <v>0</v>
      </c>
      <c r="F40" s="1214"/>
      <c r="G40" s="1214"/>
      <c r="H40" s="919">
        <v>0</v>
      </c>
      <c r="I40" s="1214"/>
      <c r="J40" s="1214"/>
      <c r="K40" s="738">
        <v>0</v>
      </c>
      <c r="L40" s="1214"/>
      <c r="M40" s="1214"/>
      <c r="N40" s="919">
        <v>4</v>
      </c>
      <c r="O40" s="1214"/>
      <c r="P40" s="1214"/>
      <c r="Q40" s="746">
        <v>5</v>
      </c>
      <c r="R40" s="1214"/>
      <c r="S40" s="1214"/>
      <c r="T40" s="919">
        <v>7</v>
      </c>
      <c r="U40" s="1214"/>
      <c r="V40" s="1214"/>
      <c r="W40" s="738">
        <v>7</v>
      </c>
      <c r="X40" s="1214"/>
      <c r="Y40" s="1214"/>
      <c r="Z40" s="919">
        <v>6</v>
      </c>
      <c r="AA40" s="1214"/>
      <c r="AB40" s="1214"/>
      <c r="AC40" s="739">
        <v>7</v>
      </c>
      <c r="AD40" s="1214"/>
      <c r="AE40" s="1214"/>
      <c r="AF40" s="919">
        <v>7</v>
      </c>
      <c r="AG40" s="1214"/>
      <c r="AH40" s="1214"/>
      <c r="AI40" s="738">
        <v>5</v>
      </c>
      <c r="AJ40" s="1214"/>
      <c r="AK40" s="1214"/>
      <c r="AL40" s="965">
        <v>3</v>
      </c>
      <c r="AM40" s="1214"/>
      <c r="AN40" s="1214"/>
      <c r="AO40" s="738"/>
      <c r="AP40" s="1214"/>
      <c r="AQ40" s="1214"/>
      <c r="AR40" s="735"/>
      <c r="AS40" s="713"/>
      <c r="AT40" s="720"/>
      <c r="AU40" s="735"/>
      <c r="AV40" s="713"/>
      <c r="AW40" s="720"/>
      <c r="AX40" s="735"/>
      <c r="AY40" s="713"/>
      <c r="AZ40" s="720"/>
      <c r="BA40" s="735"/>
      <c r="BB40" s="713"/>
      <c r="BC40" s="720"/>
      <c r="BD40" s="735"/>
      <c r="BE40" s="713"/>
      <c r="BF40" s="720"/>
      <c r="BG40" s="735"/>
      <c r="BH40" s="713"/>
      <c r="BI40" s="720"/>
      <c r="BJ40" s="735"/>
      <c r="BK40" s="713"/>
      <c r="BL40" s="720"/>
    </row>
    <row r="41" spans="2:64" s="1222" customFormat="1" ht="17" thickBot="1">
      <c r="B41" s="1299"/>
      <c r="C41" s="1304"/>
      <c r="D41" s="1105" t="s">
        <v>1055</v>
      </c>
      <c r="E41" s="1215" t="s">
        <v>938</v>
      </c>
      <c r="F41" s="1214"/>
      <c r="G41" s="1214"/>
      <c r="H41" s="1215">
        <f>H44/80000000*90000000</f>
        <v>6277500.0000000009</v>
      </c>
      <c r="I41" s="1214"/>
      <c r="J41" s="1214"/>
      <c r="K41" s="1215">
        <f>K44/AL44*AL41</f>
        <v>6378750</v>
      </c>
      <c r="L41" s="1214"/>
      <c r="M41" s="1214"/>
      <c r="N41" s="1215">
        <f>N44/AL44*AL41</f>
        <v>6480000</v>
      </c>
      <c r="O41" s="1214"/>
      <c r="P41" s="1214"/>
      <c r="Q41" s="1217">
        <f>Q44/AL44*AL41</f>
        <v>6682500</v>
      </c>
      <c r="R41" s="1214"/>
      <c r="S41" s="1214"/>
      <c r="T41" s="1215">
        <f>T44/AL44*AL41</f>
        <v>6986250</v>
      </c>
      <c r="U41" s="1214"/>
      <c r="V41" s="1214"/>
      <c r="W41" s="1215">
        <f>W44/AL44*AL41</f>
        <v>7188750</v>
      </c>
      <c r="X41" s="1214"/>
      <c r="Y41" s="1214"/>
      <c r="Z41" s="1215">
        <f>Z44/AL44*AL41</f>
        <v>7330500</v>
      </c>
      <c r="AA41" s="1214"/>
      <c r="AB41" s="1214"/>
      <c r="AC41" s="1219">
        <f>AC44/AL44*AL41</f>
        <v>7553250</v>
      </c>
      <c r="AD41" s="1214"/>
      <c r="AE41" s="1214"/>
      <c r="AF41" s="1215">
        <f>AF44/AL44*AL41</f>
        <v>7695000</v>
      </c>
      <c r="AG41" s="1214"/>
      <c r="AH41" s="1214"/>
      <c r="AI41" s="1215">
        <f>AI44/AL44*AL41</f>
        <v>8059500</v>
      </c>
      <c r="AJ41" s="1214"/>
      <c r="AK41" s="1214"/>
      <c r="AL41" s="1220">
        <v>9000000</v>
      </c>
      <c r="AM41" s="1214"/>
      <c r="AN41" s="1214"/>
      <c r="AO41" s="1215"/>
      <c r="AP41" s="1214"/>
      <c r="AQ41" s="1214"/>
      <c r="AR41" s="1220"/>
      <c r="AS41" s="1214"/>
      <c r="AT41" s="1221"/>
      <c r="AU41" s="1220"/>
      <c r="AV41" s="1214"/>
      <c r="AW41" s="1221"/>
      <c r="AX41" s="1220"/>
      <c r="AY41" s="1214"/>
      <c r="AZ41" s="1221"/>
      <c r="BA41" s="1220"/>
      <c r="BB41" s="1214"/>
      <c r="BC41" s="1221"/>
      <c r="BD41" s="1220"/>
      <c r="BE41" s="1214"/>
      <c r="BF41" s="1221"/>
      <c r="BG41" s="1220"/>
      <c r="BH41" s="1214"/>
      <c r="BI41" s="1221"/>
      <c r="BJ41" s="1220"/>
      <c r="BK41" s="1214"/>
      <c r="BL41" s="1221"/>
    </row>
    <row r="42" spans="2:64" ht="17" thickTop="1">
      <c r="B42" s="1305" t="s">
        <v>898</v>
      </c>
      <c r="C42" s="1305" t="s">
        <v>1058</v>
      </c>
      <c r="D42" s="650" t="s">
        <v>847</v>
      </c>
      <c r="E42" s="740">
        <v>28</v>
      </c>
      <c r="F42" s="740">
        <v>8</v>
      </c>
      <c r="G42" s="740">
        <v>9</v>
      </c>
      <c r="H42" s="913">
        <v>20</v>
      </c>
      <c r="I42" s="913">
        <v>10</v>
      </c>
      <c r="J42" s="913">
        <v>12</v>
      </c>
      <c r="K42" s="740">
        <v>30</v>
      </c>
      <c r="L42" s="740">
        <v>13</v>
      </c>
      <c r="M42" s="740">
        <v>17</v>
      </c>
      <c r="N42" s="913">
        <v>35</v>
      </c>
      <c r="O42" s="913">
        <v>16</v>
      </c>
      <c r="P42" s="932">
        <v>18</v>
      </c>
      <c r="Q42" s="742">
        <v>29</v>
      </c>
      <c r="R42" s="740">
        <v>15</v>
      </c>
      <c r="S42" s="740">
        <v>20</v>
      </c>
      <c r="T42" s="913">
        <v>32</v>
      </c>
      <c r="U42" s="913">
        <v>20</v>
      </c>
      <c r="V42" s="913">
        <v>26</v>
      </c>
      <c r="W42" s="740">
        <v>31</v>
      </c>
      <c r="X42" s="740">
        <v>19</v>
      </c>
      <c r="Y42" s="740">
        <v>20</v>
      </c>
      <c r="Z42" s="913">
        <v>37</v>
      </c>
      <c r="AA42" s="913">
        <v>10</v>
      </c>
      <c r="AB42" s="944">
        <v>15</v>
      </c>
      <c r="AC42" s="705">
        <v>25</v>
      </c>
      <c r="AD42" s="701">
        <v>13</v>
      </c>
      <c r="AE42" s="701">
        <v>15</v>
      </c>
      <c r="AF42" s="923">
        <v>28</v>
      </c>
      <c r="AG42" s="923">
        <v>12</v>
      </c>
      <c r="AH42" s="923">
        <v>10</v>
      </c>
      <c r="AI42" s="701">
        <v>32</v>
      </c>
      <c r="AJ42" s="701">
        <v>16</v>
      </c>
      <c r="AK42" s="731">
        <v>17</v>
      </c>
      <c r="AL42" s="958">
        <v>35</v>
      </c>
      <c r="AM42" s="923">
        <v>17</v>
      </c>
      <c r="AN42" s="966">
        <v>22</v>
      </c>
      <c r="AO42" s="701"/>
      <c r="AP42" s="701"/>
      <c r="AQ42" s="731"/>
      <c r="AR42" s="696"/>
      <c r="AS42" s="701"/>
      <c r="AT42" s="723"/>
      <c r="AU42" s="696"/>
      <c r="AV42" s="701"/>
      <c r="AW42" s="723"/>
      <c r="AX42" s="696"/>
      <c r="AY42" s="701"/>
      <c r="AZ42" s="723"/>
      <c r="BA42" s="696"/>
      <c r="BB42" s="701"/>
      <c r="BC42" s="723"/>
      <c r="BD42" s="696"/>
      <c r="BE42" s="701"/>
      <c r="BF42" s="723"/>
      <c r="BG42" s="696"/>
      <c r="BH42" s="701"/>
      <c r="BI42" s="723"/>
      <c r="BJ42" s="696"/>
      <c r="BK42" s="701"/>
      <c r="BL42" s="723"/>
    </row>
    <row r="43" spans="2:64" s="1222" customFormat="1">
      <c r="B43" s="1306"/>
      <c r="C43" s="1265"/>
      <c r="D43" s="1106" t="s">
        <v>1082</v>
      </c>
      <c r="E43" s="1213">
        <v>0</v>
      </c>
      <c r="F43" s="1214"/>
      <c r="G43" s="1214"/>
      <c r="H43" s="1215">
        <v>0</v>
      </c>
      <c r="I43" s="1214"/>
      <c r="J43" s="1214"/>
      <c r="K43" s="1215">
        <v>0</v>
      </c>
      <c r="L43" s="1214"/>
      <c r="M43" s="1214"/>
      <c r="N43" s="1215">
        <v>0</v>
      </c>
      <c r="O43" s="1214"/>
      <c r="P43" s="1216"/>
      <c r="Q43" s="1217">
        <v>2</v>
      </c>
      <c r="R43" s="1214"/>
      <c r="S43" s="1214"/>
      <c r="T43" s="1215">
        <v>3</v>
      </c>
      <c r="U43" s="1214"/>
      <c r="V43" s="1214"/>
      <c r="W43" s="1215">
        <v>4</v>
      </c>
      <c r="X43" s="1214"/>
      <c r="Y43" s="1214"/>
      <c r="Z43" s="1215">
        <v>4</v>
      </c>
      <c r="AA43" s="1214"/>
      <c r="AB43" s="1218"/>
      <c r="AC43" s="1219">
        <v>4</v>
      </c>
      <c r="AD43" s="1214"/>
      <c r="AE43" s="1214"/>
      <c r="AF43" s="1215">
        <v>4</v>
      </c>
      <c r="AG43" s="1214"/>
      <c r="AH43" s="1214"/>
      <c r="AI43" s="1215">
        <v>7</v>
      </c>
      <c r="AJ43" s="1214"/>
      <c r="AK43" s="1216"/>
      <c r="AL43" s="1220">
        <v>5</v>
      </c>
      <c r="AM43" s="1214"/>
      <c r="AN43" s="1221"/>
      <c r="AO43" s="1215"/>
      <c r="AP43" s="1214"/>
      <c r="AQ43" s="1216"/>
      <c r="AR43" s="1220"/>
      <c r="AS43" s="1214"/>
      <c r="AT43" s="1221"/>
      <c r="AU43" s="1220"/>
      <c r="AV43" s="1214"/>
      <c r="AW43" s="1221"/>
      <c r="AX43" s="1220"/>
      <c r="AY43" s="1214"/>
      <c r="AZ43" s="1221"/>
      <c r="BA43" s="1220"/>
      <c r="BB43" s="1214"/>
      <c r="BC43" s="1221"/>
      <c r="BD43" s="1220"/>
      <c r="BE43" s="1214"/>
      <c r="BF43" s="1221"/>
      <c r="BG43" s="1220"/>
      <c r="BH43" s="1214"/>
      <c r="BI43" s="1221"/>
      <c r="BJ43" s="1220"/>
      <c r="BK43" s="1214"/>
      <c r="BL43" s="1221"/>
    </row>
    <row r="44" spans="2:64">
      <c r="B44" s="1306"/>
      <c r="C44" s="1285" t="s">
        <v>827</v>
      </c>
      <c r="D44" s="647" t="s">
        <v>1038</v>
      </c>
      <c r="E44" s="652">
        <v>5400000</v>
      </c>
      <c r="F44" s="652">
        <v>7884</v>
      </c>
      <c r="G44" s="652">
        <v>16200</v>
      </c>
      <c r="H44" s="910">
        <v>5580000</v>
      </c>
      <c r="I44" s="910">
        <v>8010</v>
      </c>
      <c r="J44" s="910">
        <v>16560</v>
      </c>
      <c r="K44" s="652">
        <v>5670000</v>
      </c>
      <c r="L44" s="652">
        <v>8100</v>
      </c>
      <c r="M44" s="652">
        <v>17640</v>
      </c>
      <c r="N44" s="910">
        <v>5760000</v>
      </c>
      <c r="O44" s="910">
        <v>8406</v>
      </c>
      <c r="P44" s="931">
        <v>18900</v>
      </c>
      <c r="Q44" s="684">
        <v>5940000</v>
      </c>
      <c r="R44" s="652">
        <v>8460</v>
      </c>
      <c r="S44" s="652">
        <v>19800</v>
      </c>
      <c r="T44" s="910">
        <v>6210000</v>
      </c>
      <c r="U44" s="910">
        <v>8550</v>
      </c>
      <c r="V44" s="910">
        <v>20700</v>
      </c>
      <c r="W44" s="652">
        <v>6390000</v>
      </c>
      <c r="X44" s="652">
        <v>8676</v>
      </c>
      <c r="Y44" s="652">
        <v>22140</v>
      </c>
      <c r="Z44" s="910">
        <v>6516000</v>
      </c>
      <c r="AA44" s="910">
        <v>8730</v>
      </c>
      <c r="AB44" s="943">
        <v>23040</v>
      </c>
      <c r="AC44" s="661">
        <v>6714000</v>
      </c>
      <c r="AD44" s="652">
        <v>8937</v>
      </c>
      <c r="AE44" s="652">
        <v>23760</v>
      </c>
      <c r="AF44" s="910">
        <v>6840000</v>
      </c>
      <c r="AG44" s="910">
        <v>8964</v>
      </c>
      <c r="AH44" s="910">
        <v>25200</v>
      </c>
      <c r="AI44" s="652">
        <v>7164000</v>
      </c>
      <c r="AJ44" s="652">
        <v>8982</v>
      </c>
      <c r="AK44" s="656">
        <v>26100</v>
      </c>
      <c r="AL44" s="956">
        <v>8000000</v>
      </c>
      <c r="AM44" s="910">
        <v>10000</v>
      </c>
      <c r="AN44" s="960">
        <v>30000</v>
      </c>
      <c r="AO44" s="652"/>
      <c r="AP44" s="652"/>
      <c r="AQ44" s="656"/>
      <c r="AR44" s="659"/>
      <c r="AS44" s="652"/>
      <c r="AT44" s="660"/>
      <c r="AU44" s="659"/>
      <c r="AV44" s="652"/>
      <c r="AW44" s="660"/>
      <c r="AX44" s="659"/>
      <c r="AY44" s="652"/>
      <c r="AZ44" s="660"/>
      <c r="BA44" s="659"/>
      <c r="BB44" s="652"/>
      <c r="BC44" s="660"/>
      <c r="BD44" s="659"/>
      <c r="BE44" s="652"/>
      <c r="BF44" s="660"/>
      <c r="BG44" s="659"/>
      <c r="BH44" s="652"/>
      <c r="BI44" s="660"/>
      <c r="BJ44" s="659"/>
      <c r="BK44" s="652"/>
      <c r="BL44" s="660"/>
    </row>
    <row r="45" spans="2:64">
      <c r="B45" s="1306"/>
      <c r="C45" s="1285"/>
      <c r="D45" s="647" t="s">
        <v>1040</v>
      </c>
      <c r="E45" s="652">
        <v>600000</v>
      </c>
      <c r="F45" s="652">
        <v>876</v>
      </c>
      <c r="G45" s="652">
        <v>1800</v>
      </c>
      <c r="H45" s="910">
        <v>620000</v>
      </c>
      <c r="I45" s="910">
        <v>890</v>
      </c>
      <c r="J45" s="910">
        <v>1840</v>
      </c>
      <c r="K45" s="652">
        <v>630000</v>
      </c>
      <c r="L45" s="652">
        <v>900</v>
      </c>
      <c r="M45" s="652">
        <v>1960</v>
      </c>
      <c r="N45" s="910">
        <v>640000</v>
      </c>
      <c r="O45" s="910">
        <v>934</v>
      </c>
      <c r="P45" s="931">
        <v>2100</v>
      </c>
      <c r="Q45" s="684">
        <v>660000</v>
      </c>
      <c r="R45" s="652">
        <v>940</v>
      </c>
      <c r="S45" s="652">
        <v>2200</v>
      </c>
      <c r="T45" s="910">
        <v>690000</v>
      </c>
      <c r="U45" s="910">
        <v>950</v>
      </c>
      <c r="V45" s="910">
        <v>2300</v>
      </c>
      <c r="W45" s="652">
        <v>710000</v>
      </c>
      <c r="X45" s="652">
        <v>964</v>
      </c>
      <c r="Y45" s="652">
        <v>2460</v>
      </c>
      <c r="Z45" s="910">
        <v>724000</v>
      </c>
      <c r="AA45" s="910">
        <v>970</v>
      </c>
      <c r="AB45" s="943">
        <v>2560</v>
      </c>
      <c r="AC45" s="661">
        <v>746000</v>
      </c>
      <c r="AD45" s="652">
        <v>993</v>
      </c>
      <c r="AE45" s="652">
        <v>2640</v>
      </c>
      <c r="AF45" s="910">
        <v>760000</v>
      </c>
      <c r="AG45" s="910">
        <v>996</v>
      </c>
      <c r="AH45" s="910">
        <v>2800</v>
      </c>
      <c r="AI45" s="652">
        <v>796000</v>
      </c>
      <c r="AJ45" s="652">
        <v>998</v>
      </c>
      <c r="AK45" s="656">
        <v>2900</v>
      </c>
      <c r="AL45" s="956">
        <v>800000</v>
      </c>
      <c r="AM45" s="910">
        <v>1000</v>
      </c>
      <c r="AN45" s="960">
        <v>3000</v>
      </c>
      <c r="AO45" s="652"/>
      <c r="AP45" s="652"/>
      <c r="AQ45" s="656"/>
      <c r="AR45" s="659"/>
      <c r="AS45" s="652"/>
      <c r="AT45" s="660"/>
      <c r="AU45" s="659"/>
      <c r="AV45" s="652"/>
      <c r="AW45" s="660"/>
      <c r="AX45" s="659"/>
      <c r="AY45" s="652"/>
      <c r="AZ45" s="660"/>
      <c r="BA45" s="659"/>
      <c r="BB45" s="652"/>
      <c r="BC45" s="660"/>
      <c r="BD45" s="659"/>
      <c r="BE45" s="652"/>
      <c r="BF45" s="660"/>
      <c r="BG45" s="659"/>
      <c r="BH45" s="652"/>
      <c r="BI45" s="660"/>
      <c r="BJ45" s="659"/>
      <c r="BK45" s="652"/>
      <c r="BL45" s="660"/>
    </row>
    <row r="46" spans="2:64">
      <c r="B46" s="1306"/>
      <c r="C46" s="1285" t="s">
        <v>828</v>
      </c>
      <c r="D46" s="647" t="s">
        <v>1042</v>
      </c>
      <c r="E46" s="652">
        <v>1395000000</v>
      </c>
      <c r="F46" s="652">
        <v>0</v>
      </c>
      <c r="G46" s="652">
        <v>0</v>
      </c>
      <c r="H46" s="910">
        <v>1422000000</v>
      </c>
      <c r="I46" s="910">
        <v>0</v>
      </c>
      <c r="J46" s="910">
        <v>0</v>
      </c>
      <c r="K46" s="652">
        <v>1485000000</v>
      </c>
      <c r="L46" s="652">
        <v>0</v>
      </c>
      <c r="M46" s="652">
        <v>0</v>
      </c>
      <c r="N46" s="910">
        <v>1512000000</v>
      </c>
      <c r="O46" s="910">
        <v>0</v>
      </c>
      <c r="P46" s="931">
        <v>0</v>
      </c>
      <c r="Q46" s="684">
        <v>1521000000</v>
      </c>
      <c r="R46" s="652">
        <v>0</v>
      </c>
      <c r="S46" s="652">
        <v>0</v>
      </c>
      <c r="T46" s="910">
        <v>1530000000</v>
      </c>
      <c r="U46" s="910">
        <v>0</v>
      </c>
      <c r="V46" s="910">
        <v>0</v>
      </c>
      <c r="W46" s="652">
        <v>1548000000</v>
      </c>
      <c r="X46" s="652">
        <v>0</v>
      </c>
      <c r="Y46" s="652">
        <v>0</v>
      </c>
      <c r="Z46" s="910">
        <v>1575000000</v>
      </c>
      <c r="AA46" s="910">
        <v>0</v>
      </c>
      <c r="AB46" s="943">
        <v>0</v>
      </c>
      <c r="AC46" s="661">
        <v>1620000000</v>
      </c>
      <c r="AD46" s="652">
        <v>0</v>
      </c>
      <c r="AE46" s="652">
        <v>0</v>
      </c>
      <c r="AF46" s="910">
        <v>1710000000</v>
      </c>
      <c r="AG46" s="910">
        <v>0</v>
      </c>
      <c r="AH46" s="910">
        <v>0</v>
      </c>
      <c r="AI46" s="652">
        <v>1755000000</v>
      </c>
      <c r="AJ46" s="652">
        <v>0</v>
      </c>
      <c r="AK46" s="656">
        <v>0</v>
      </c>
      <c r="AL46" s="956">
        <v>1800000000</v>
      </c>
      <c r="AM46" s="910">
        <v>0</v>
      </c>
      <c r="AN46" s="960">
        <v>0</v>
      </c>
      <c r="AO46" s="652"/>
      <c r="AP46" s="652"/>
      <c r="AQ46" s="656"/>
      <c r="AR46" s="659"/>
      <c r="AS46" s="652"/>
      <c r="AT46" s="660"/>
      <c r="AU46" s="659"/>
      <c r="AV46" s="652"/>
      <c r="AW46" s="660"/>
      <c r="AX46" s="659"/>
      <c r="AY46" s="652"/>
      <c r="AZ46" s="660"/>
      <c r="BA46" s="659"/>
      <c r="BB46" s="652"/>
      <c r="BC46" s="660"/>
      <c r="BD46" s="659"/>
      <c r="BE46" s="652"/>
      <c r="BF46" s="660"/>
      <c r="BG46" s="659"/>
      <c r="BH46" s="652"/>
      <c r="BI46" s="660"/>
      <c r="BJ46" s="659"/>
      <c r="BK46" s="652"/>
      <c r="BL46" s="660"/>
    </row>
    <row r="47" spans="2:64">
      <c r="B47" s="1306"/>
      <c r="C47" s="1285"/>
      <c r="D47" s="647" t="s">
        <v>1044</v>
      </c>
      <c r="E47" s="652">
        <v>155000000</v>
      </c>
      <c r="F47" s="652">
        <v>0</v>
      </c>
      <c r="G47" s="652">
        <v>0</v>
      </c>
      <c r="H47" s="910">
        <v>158000000</v>
      </c>
      <c r="I47" s="910">
        <v>0</v>
      </c>
      <c r="J47" s="910">
        <v>0</v>
      </c>
      <c r="K47" s="652">
        <v>165000000</v>
      </c>
      <c r="L47" s="652">
        <v>0</v>
      </c>
      <c r="M47" s="652">
        <v>0</v>
      </c>
      <c r="N47" s="910">
        <v>168000000</v>
      </c>
      <c r="O47" s="910">
        <v>0</v>
      </c>
      <c r="P47" s="931">
        <v>0</v>
      </c>
      <c r="Q47" s="684">
        <v>169000000</v>
      </c>
      <c r="R47" s="652">
        <v>0</v>
      </c>
      <c r="S47" s="652">
        <v>0</v>
      </c>
      <c r="T47" s="910">
        <v>170000000</v>
      </c>
      <c r="U47" s="910">
        <v>0</v>
      </c>
      <c r="V47" s="910">
        <v>0</v>
      </c>
      <c r="W47" s="652">
        <v>172000000</v>
      </c>
      <c r="X47" s="652">
        <v>0</v>
      </c>
      <c r="Y47" s="652">
        <v>0</v>
      </c>
      <c r="Z47" s="910">
        <v>175000000</v>
      </c>
      <c r="AA47" s="910">
        <v>0</v>
      </c>
      <c r="AB47" s="943">
        <v>0</v>
      </c>
      <c r="AC47" s="661">
        <v>180000000</v>
      </c>
      <c r="AD47" s="652">
        <v>0</v>
      </c>
      <c r="AE47" s="652">
        <v>0</v>
      </c>
      <c r="AF47" s="910">
        <v>190000000</v>
      </c>
      <c r="AG47" s="910">
        <v>0</v>
      </c>
      <c r="AH47" s="910">
        <v>0</v>
      </c>
      <c r="AI47" s="652">
        <v>195000000</v>
      </c>
      <c r="AJ47" s="652">
        <v>0</v>
      </c>
      <c r="AK47" s="656">
        <v>0</v>
      </c>
      <c r="AL47" s="956">
        <v>200000000</v>
      </c>
      <c r="AM47" s="910">
        <v>0</v>
      </c>
      <c r="AN47" s="960">
        <v>0</v>
      </c>
      <c r="AO47" s="652"/>
      <c r="AP47" s="652"/>
      <c r="AQ47" s="656"/>
      <c r="AR47" s="659"/>
      <c r="AS47" s="652"/>
      <c r="AT47" s="660"/>
      <c r="AU47" s="659"/>
      <c r="AV47" s="652"/>
      <c r="AW47" s="660"/>
      <c r="AX47" s="659"/>
      <c r="AY47" s="652"/>
      <c r="AZ47" s="660"/>
      <c r="BA47" s="659"/>
      <c r="BB47" s="652"/>
      <c r="BC47" s="660"/>
      <c r="BD47" s="659"/>
      <c r="BE47" s="652"/>
      <c r="BF47" s="660"/>
      <c r="BG47" s="659"/>
      <c r="BH47" s="652"/>
      <c r="BI47" s="660"/>
      <c r="BJ47" s="659"/>
      <c r="BK47" s="652"/>
      <c r="BL47" s="660"/>
    </row>
    <row r="48" spans="2:64">
      <c r="B48" s="1306"/>
      <c r="C48" s="1298" t="s">
        <v>829</v>
      </c>
      <c r="D48" s="647" t="s">
        <v>1046</v>
      </c>
      <c r="E48" s="736">
        <v>152000000</v>
      </c>
      <c r="F48" s="736">
        <v>76000</v>
      </c>
      <c r="G48" s="736">
        <v>380000</v>
      </c>
      <c r="H48" s="915">
        <v>176000000</v>
      </c>
      <c r="I48" s="915">
        <v>88000</v>
      </c>
      <c r="J48" s="915">
        <v>440000</v>
      </c>
      <c r="K48" s="736">
        <v>252000000</v>
      </c>
      <c r="L48" s="736">
        <v>126000</v>
      </c>
      <c r="M48" s="736">
        <v>630000</v>
      </c>
      <c r="N48" s="915">
        <v>252000000</v>
      </c>
      <c r="O48" s="915">
        <v>126000</v>
      </c>
      <c r="P48" s="929">
        <v>630000</v>
      </c>
      <c r="Q48" s="743">
        <v>200000000</v>
      </c>
      <c r="R48" s="736">
        <v>100000</v>
      </c>
      <c r="S48" s="736">
        <v>500000</v>
      </c>
      <c r="T48" s="915">
        <v>276000000</v>
      </c>
      <c r="U48" s="915">
        <v>138000</v>
      </c>
      <c r="V48" s="915">
        <v>690000</v>
      </c>
      <c r="W48" s="736">
        <v>324000000</v>
      </c>
      <c r="X48" s="736">
        <v>162000</v>
      </c>
      <c r="Y48" s="736">
        <v>810000</v>
      </c>
      <c r="Z48" s="915">
        <v>336000000</v>
      </c>
      <c r="AA48" s="915">
        <v>168000</v>
      </c>
      <c r="AB48" s="941">
        <v>840000</v>
      </c>
      <c r="AC48" s="661">
        <v>347500000</v>
      </c>
      <c r="AD48" s="652">
        <v>173750</v>
      </c>
      <c r="AE48" s="652">
        <v>868750</v>
      </c>
      <c r="AF48" s="910">
        <v>350000000</v>
      </c>
      <c r="AG48" s="910">
        <v>175000</v>
      </c>
      <c r="AH48" s="910">
        <v>875000</v>
      </c>
      <c r="AI48" s="652">
        <v>390000000</v>
      </c>
      <c r="AJ48" s="652">
        <v>195000</v>
      </c>
      <c r="AK48" s="656">
        <v>975000</v>
      </c>
      <c r="AL48" s="956">
        <v>400000000</v>
      </c>
      <c r="AM48" s="910">
        <v>200000</v>
      </c>
      <c r="AN48" s="960">
        <v>1000000</v>
      </c>
      <c r="AO48" s="652"/>
      <c r="AP48" s="652"/>
      <c r="AQ48" s="656"/>
      <c r="AR48" s="659"/>
      <c r="AS48" s="652"/>
      <c r="AT48" s="660"/>
      <c r="AU48" s="659"/>
      <c r="AV48" s="652"/>
      <c r="AW48" s="660"/>
      <c r="AX48" s="659"/>
      <c r="AY48" s="652"/>
      <c r="AZ48" s="660"/>
      <c r="BA48" s="659"/>
      <c r="BB48" s="652"/>
      <c r="BC48" s="660"/>
      <c r="BD48" s="659"/>
      <c r="BE48" s="652"/>
      <c r="BF48" s="660"/>
      <c r="BG48" s="659"/>
      <c r="BH48" s="652"/>
      <c r="BI48" s="660"/>
      <c r="BJ48" s="659"/>
      <c r="BK48" s="652"/>
      <c r="BL48" s="660"/>
    </row>
    <row r="49" spans="2:64">
      <c r="B49" s="1306"/>
      <c r="C49" s="1306"/>
      <c r="D49" s="647" t="s">
        <v>1048</v>
      </c>
      <c r="E49" s="652">
        <v>48000000</v>
      </c>
      <c r="F49" s="652">
        <v>0</v>
      </c>
      <c r="G49" s="652">
        <v>0</v>
      </c>
      <c r="H49" s="910">
        <v>49600000</v>
      </c>
      <c r="I49" s="910">
        <v>0</v>
      </c>
      <c r="J49" s="910">
        <v>0</v>
      </c>
      <c r="K49" s="652">
        <v>51200000</v>
      </c>
      <c r="L49" s="652">
        <v>0</v>
      </c>
      <c r="M49" s="652">
        <v>0</v>
      </c>
      <c r="N49" s="910">
        <v>54400000.000000007</v>
      </c>
      <c r="O49" s="910">
        <v>0</v>
      </c>
      <c r="P49" s="931">
        <v>0</v>
      </c>
      <c r="Q49" s="684">
        <v>57600000</v>
      </c>
      <c r="R49" s="652">
        <v>0</v>
      </c>
      <c r="S49" s="652">
        <v>0</v>
      </c>
      <c r="T49" s="910">
        <v>60000000</v>
      </c>
      <c r="U49" s="910">
        <v>0</v>
      </c>
      <c r="V49" s="910">
        <v>0</v>
      </c>
      <c r="W49" s="652">
        <v>60800000</v>
      </c>
      <c r="X49" s="652">
        <v>0</v>
      </c>
      <c r="Y49" s="652">
        <v>0</v>
      </c>
      <c r="Z49" s="910">
        <v>62400000</v>
      </c>
      <c r="AA49" s="910">
        <v>0</v>
      </c>
      <c r="AB49" s="943">
        <v>0</v>
      </c>
      <c r="AC49" s="661">
        <v>65599999.999999993</v>
      </c>
      <c r="AD49" s="652">
        <v>0</v>
      </c>
      <c r="AE49" s="652">
        <v>0</v>
      </c>
      <c r="AF49" s="910">
        <v>67200000</v>
      </c>
      <c r="AG49" s="910">
        <v>0</v>
      </c>
      <c r="AH49" s="910">
        <v>0</v>
      </c>
      <c r="AI49" s="652">
        <v>72000000</v>
      </c>
      <c r="AJ49" s="652">
        <v>0</v>
      </c>
      <c r="AK49" s="656">
        <v>0</v>
      </c>
      <c r="AL49" s="956">
        <v>80000000</v>
      </c>
      <c r="AM49" s="910">
        <v>0</v>
      </c>
      <c r="AN49" s="960">
        <v>0</v>
      </c>
      <c r="AO49" s="652"/>
      <c r="AP49" s="652"/>
      <c r="AQ49" s="656"/>
      <c r="AR49" s="659"/>
      <c r="AS49" s="652"/>
      <c r="AT49" s="660"/>
      <c r="AU49" s="659"/>
      <c r="AV49" s="652"/>
      <c r="AW49" s="660"/>
      <c r="AX49" s="659"/>
      <c r="AY49" s="652"/>
      <c r="AZ49" s="660"/>
      <c r="BA49" s="659"/>
      <c r="BB49" s="652"/>
      <c r="BC49" s="660"/>
      <c r="BD49" s="659"/>
      <c r="BE49" s="652"/>
      <c r="BF49" s="660"/>
      <c r="BG49" s="659"/>
      <c r="BH49" s="652"/>
      <c r="BI49" s="660"/>
      <c r="BJ49" s="659"/>
      <c r="BK49" s="652"/>
      <c r="BL49" s="660"/>
    </row>
    <row r="50" spans="2:64" s="1222" customFormat="1" ht="17" thickBot="1">
      <c r="B50" s="1299"/>
      <c r="C50" s="1299"/>
      <c r="D50" s="1107" t="s">
        <v>1036</v>
      </c>
      <c r="E50" s="1213">
        <v>40000000</v>
      </c>
      <c r="F50" s="1214"/>
      <c r="G50" s="1214"/>
      <c r="H50" s="1215">
        <v>45000000</v>
      </c>
      <c r="I50" s="1214"/>
      <c r="J50" s="1214"/>
      <c r="K50" s="1215">
        <v>50000000</v>
      </c>
      <c r="L50" s="1214"/>
      <c r="M50" s="1214"/>
      <c r="N50" s="1215">
        <v>60000000</v>
      </c>
      <c r="O50" s="1214"/>
      <c r="P50" s="1216"/>
      <c r="Q50" s="1217">
        <v>70000000</v>
      </c>
      <c r="R50" s="1214"/>
      <c r="S50" s="1214"/>
      <c r="T50" s="1215">
        <v>73000000</v>
      </c>
      <c r="U50" s="1214"/>
      <c r="V50" s="1214"/>
      <c r="W50" s="1215">
        <v>80000000</v>
      </c>
      <c r="X50" s="1214"/>
      <c r="Y50" s="1214"/>
      <c r="Z50" s="1215">
        <v>85000000</v>
      </c>
      <c r="AA50" s="1214"/>
      <c r="AB50" s="1218"/>
      <c r="AC50" s="1219">
        <v>87000000</v>
      </c>
      <c r="AD50" s="1214"/>
      <c r="AE50" s="1214"/>
      <c r="AF50" s="1215">
        <v>91000000</v>
      </c>
      <c r="AG50" s="1214"/>
      <c r="AH50" s="1214"/>
      <c r="AI50" s="1215">
        <v>95000000</v>
      </c>
      <c r="AJ50" s="1214"/>
      <c r="AK50" s="1216"/>
      <c r="AL50" s="1220">
        <v>100000000</v>
      </c>
      <c r="AM50" s="1214"/>
      <c r="AN50" s="1221"/>
      <c r="AO50" s="1215"/>
      <c r="AP50" s="1214"/>
      <c r="AQ50" s="1216"/>
      <c r="AR50" s="1223"/>
      <c r="AS50" s="1224"/>
      <c r="AT50" s="1225"/>
      <c r="AU50" s="1223"/>
      <c r="AV50" s="1224"/>
      <c r="AW50" s="1225"/>
      <c r="AX50" s="1223"/>
      <c r="AY50" s="1224"/>
      <c r="AZ50" s="1225"/>
      <c r="BA50" s="1223"/>
      <c r="BB50" s="1224"/>
      <c r="BC50" s="1225"/>
      <c r="BD50" s="1223"/>
      <c r="BE50" s="1224"/>
      <c r="BF50" s="1225"/>
      <c r="BG50" s="1223"/>
      <c r="BH50" s="1224"/>
      <c r="BI50" s="1225"/>
      <c r="BJ50" s="1223"/>
      <c r="BK50" s="1224"/>
      <c r="BL50" s="1225"/>
    </row>
    <row r="51" spans="2:64" ht="15.6" customHeight="1" thickTop="1">
      <c r="B51" s="1265" t="s">
        <v>899</v>
      </c>
      <c r="C51" s="1265" t="s">
        <v>830</v>
      </c>
      <c r="D51" s="649" t="s">
        <v>848</v>
      </c>
      <c r="E51" s="741">
        <v>0</v>
      </c>
      <c r="F51" s="715"/>
      <c r="G51" s="715"/>
      <c r="H51" s="918">
        <v>0</v>
      </c>
      <c r="I51" s="920"/>
      <c r="J51" s="920"/>
      <c r="K51" s="741">
        <v>0</v>
      </c>
      <c r="L51" s="715"/>
      <c r="M51" s="715"/>
      <c r="N51" s="918">
        <v>0</v>
      </c>
      <c r="O51" s="920"/>
      <c r="P51" s="933"/>
      <c r="Q51" s="745">
        <v>0</v>
      </c>
      <c r="R51" s="715"/>
      <c r="S51" s="715"/>
      <c r="T51" s="918">
        <v>0</v>
      </c>
      <c r="U51" s="920"/>
      <c r="V51" s="920"/>
      <c r="W51" s="741">
        <v>0</v>
      </c>
      <c r="X51" s="715"/>
      <c r="Y51" s="715"/>
      <c r="Z51" s="918">
        <v>0</v>
      </c>
      <c r="AA51" s="920"/>
      <c r="AB51" s="945"/>
      <c r="AC51" s="706">
        <v>0</v>
      </c>
      <c r="AD51" s="715"/>
      <c r="AE51" s="715"/>
      <c r="AF51" s="925">
        <v>0</v>
      </c>
      <c r="AG51" s="920"/>
      <c r="AH51" s="920"/>
      <c r="AI51" s="702">
        <v>0</v>
      </c>
      <c r="AJ51" s="715"/>
      <c r="AK51" s="732"/>
      <c r="AL51" s="963">
        <v>0</v>
      </c>
      <c r="AM51" s="920"/>
      <c r="AN51" s="967"/>
      <c r="AO51" s="702"/>
      <c r="AP51" s="715"/>
      <c r="AQ51" s="732"/>
      <c r="AR51" s="697"/>
      <c r="AS51" s="715"/>
      <c r="AT51" s="724"/>
      <c r="AU51" s="697"/>
      <c r="AV51" s="715"/>
      <c r="AW51" s="724"/>
      <c r="AX51" s="697"/>
      <c r="AY51" s="715"/>
      <c r="AZ51" s="724"/>
      <c r="BA51" s="697"/>
      <c r="BB51" s="715"/>
      <c r="BC51" s="724"/>
      <c r="BD51" s="697"/>
      <c r="BE51" s="715"/>
      <c r="BF51" s="724"/>
      <c r="BG51" s="697"/>
      <c r="BH51" s="715"/>
      <c r="BI51" s="724"/>
      <c r="BJ51" s="697"/>
      <c r="BK51" s="715"/>
      <c r="BL51" s="724"/>
    </row>
    <row r="52" spans="2:64">
      <c r="B52" s="1266"/>
      <c r="C52" s="1266"/>
      <c r="D52" s="647" t="s">
        <v>849</v>
      </c>
      <c r="E52" s="736">
        <v>0</v>
      </c>
      <c r="F52" s="712"/>
      <c r="G52" s="712"/>
      <c r="H52" s="915">
        <v>0</v>
      </c>
      <c r="I52" s="911"/>
      <c r="J52" s="911"/>
      <c r="K52" s="736">
        <v>0</v>
      </c>
      <c r="L52" s="712"/>
      <c r="M52" s="712"/>
      <c r="N52" s="915">
        <v>0</v>
      </c>
      <c r="O52" s="911"/>
      <c r="P52" s="927"/>
      <c r="Q52" s="743">
        <v>0</v>
      </c>
      <c r="R52" s="712"/>
      <c r="S52" s="712"/>
      <c r="T52" s="915">
        <v>0</v>
      </c>
      <c r="U52" s="911"/>
      <c r="V52" s="911"/>
      <c r="W52" s="736">
        <v>0</v>
      </c>
      <c r="X52" s="712"/>
      <c r="Y52" s="712"/>
      <c r="Z52" s="915">
        <v>0</v>
      </c>
      <c r="AA52" s="911"/>
      <c r="AB52" s="939"/>
      <c r="AC52" s="661">
        <v>0</v>
      </c>
      <c r="AD52" s="712"/>
      <c r="AE52" s="712"/>
      <c r="AF52" s="910">
        <v>0</v>
      </c>
      <c r="AG52" s="911"/>
      <c r="AH52" s="911"/>
      <c r="AI52" s="652">
        <v>0</v>
      </c>
      <c r="AJ52" s="712"/>
      <c r="AK52" s="728"/>
      <c r="AL52" s="956">
        <v>0</v>
      </c>
      <c r="AM52" s="911"/>
      <c r="AN52" s="957"/>
      <c r="AO52" s="652"/>
      <c r="AP52" s="712"/>
      <c r="AQ52" s="728"/>
      <c r="AR52" s="659"/>
      <c r="AS52" s="712"/>
      <c r="AT52" s="719"/>
      <c r="AU52" s="659"/>
      <c r="AV52" s="712"/>
      <c r="AW52" s="719"/>
      <c r="AX52" s="659"/>
      <c r="AY52" s="712"/>
      <c r="AZ52" s="719"/>
      <c r="BA52" s="659"/>
      <c r="BB52" s="712"/>
      <c r="BC52" s="719"/>
      <c r="BD52" s="659"/>
      <c r="BE52" s="712"/>
      <c r="BF52" s="719"/>
      <c r="BG52" s="659"/>
      <c r="BH52" s="712"/>
      <c r="BI52" s="719"/>
      <c r="BJ52" s="659"/>
      <c r="BK52" s="712"/>
      <c r="BL52" s="719"/>
    </row>
    <row r="53" spans="2:64">
      <c r="B53" s="1266"/>
      <c r="C53" s="1266"/>
      <c r="D53" s="647" t="s">
        <v>850</v>
      </c>
      <c r="E53" s="736">
        <v>0</v>
      </c>
      <c r="F53" s="712"/>
      <c r="G53" s="712"/>
      <c r="H53" s="915">
        <v>0</v>
      </c>
      <c r="I53" s="911"/>
      <c r="J53" s="911"/>
      <c r="K53" s="736">
        <v>0</v>
      </c>
      <c r="L53" s="712"/>
      <c r="M53" s="712"/>
      <c r="N53" s="915">
        <v>0</v>
      </c>
      <c r="O53" s="911"/>
      <c r="P53" s="927"/>
      <c r="Q53" s="743">
        <v>0</v>
      </c>
      <c r="R53" s="712"/>
      <c r="S53" s="712"/>
      <c r="T53" s="915">
        <v>0</v>
      </c>
      <c r="U53" s="911"/>
      <c r="V53" s="911"/>
      <c r="W53" s="736">
        <v>0</v>
      </c>
      <c r="X53" s="712"/>
      <c r="Y53" s="712"/>
      <c r="Z53" s="915">
        <v>0</v>
      </c>
      <c r="AA53" s="911"/>
      <c r="AB53" s="939"/>
      <c r="AC53" s="661">
        <v>0</v>
      </c>
      <c r="AD53" s="712"/>
      <c r="AE53" s="712"/>
      <c r="AF53" s="910">
        <v>0</v>
      </c>
      <c r="AG53" s="911"/>
      <c r="AH53" s="911"/>
      <c r="AI53" s="652">
        <v>0</v>
      </c>
      <c r="AJ53" s="712"/>
      <c r="AK53" s="728"/>
      <c r="AL53" s="956">
        <v>0</v>
      </c>
      <c r="AM53" s="911"/>
      <c r="AN53" s="957"/>
      <c r="AO53" s="652"/>
      <c r="AP53" s="712"/>
      <c r="AQ53" s="728"/>
      <c r="AR53" s="659"/>
      <c r="AS53" s="712"/>
      <c r="AT53" s="719"/>
      <c r="AU53" s="659"/>
      <c r="AV53" s="712"/>
      <c r="AW53" s="719"/>
      <c r="AX53" s="659"/>
      <c r="AY53" s="712"/>
      <c r="AZ53" s="719"/>
      <c r="BA53" s="659"/>
      <c r="BB53" s="712"/>
      <c r="BC53" s="719"/>
      <c r="BD53" s="659"/>
      <c r="BE53" s="712"/>
      <c r="BF53" s="719"/>
      <c r="BG53" s="659"/>
      <c r="BH53" s="712"/>
      <c r="BI53" s="719"/>
      <c r="BJ53" s="659"/>
      <c r="BK53" s="712"/>
      <c r="BL53" s="719"/>
    </row>
    <row r="54" spans="2:64">
      <c r="B54" s="1266"/>
      <c r="C54" s="1282" t="s">
        <v>831</v>
      </c>
      <c r="D54" s="647" t="s">
        <v>851</v>
      </c>
      <c r="E54" s="736">
        <v>0</v>
      </c>
      <c r="F54" s="712"/>
      <c r="G54" s="712"/>
      <c r="H54" s="915">
        <v>0</v>
      </c>
      <c r="I54" s="911"/>
      <c r="J54" s="911"/>
      <c r="K54" s="736">
        <v>0</v>
      </c>
      <c r="L54" s="712"/>
      <c r="M54" s="712"/>
      <c r="N54" s="915">
        <v>0</v>
      </c>
      <c r="O54" s="911"/>
      <c r="P54" s="927"/>
      <c r="Q54" s="743">
        <v>0</v>
      </c>
      <c r="R54" s="712"/>
      <c r="S54" s="712"/>
      <c r="T54" s="915" t="s">
        <v>678</v>
      </c>
      <c r="U54" s="911"/>
      <c r="V54" s="911"/>
      <c r="W54" s="736">
        <v>0</v>
      </c>
      <c r="X54" s="712"/>
      <c r="Y54" s="712"/>
      <c r="Z54" s="915">
        <v>0</v>
      </c>
      <c r="AA54" s="911"/>
      <c r="AB54" s="939"/>
      <c r="AC54" s="661">
        <v>2000000000</v>
      </c>
      <c r="AD54" s="712"/>
      <c r="AE54" s="712"/>
      <c r="AF54" s="910">
        <v>0</v>
      </c>
      <c r="AG54" s="911"/>
      <c r="AH54" s="911"/>
      <c r="AI54" s="652">
        <v>4000000000</v>
      </c>
      <c r="AJ54" s="712"/>
      <c r="AK54" s="728"/>
      <c r="AL54" s="956">
        <v>5000000000</v>
      </c>
      <c r="AM54" s="911"/>
      <c r="AN54" s="957"/>
      <c r="AO54" s="652"/>
      <c r="AP54" s="712"/>
      <c r="AQ54" s="728"/>
      <c r="AR54" s="659"/>
      <c r="AS54" s="712"/>
      <c r="AT54" s="719"/>
      <c r="AU54" s="659"/>
      <c r="AV54" s="712"/>
      <c r="AW54" s="719"/>
      <c r="AX54" s="659"/>
      <c r="AY54" s="712"/>
      <c r="AZ54" s="719"/>
      <c r="BA54" s="659"/>
      <c r="BB54" s="712"/>
      <c r="BC54" s="719"/>
      <c r="BD54" s="659"/>
      <c r="BE54" s="712"/>
      <c r="BF54" s="719"/>
      <c r="BG54" s="659"/>
      <c r="BH54" s="712"/>
      <c r="BI54" s="719"/>
      <c r="BJ54" s="659"/>
      <c r="BK54" s="712"/>
      <c r="BL54" s="719"/>
    </row>
    <row r="55" spans="2:64">
      <c r="B55" s="1266"/>
      <c r="C55" s="1282"/>
      <c r="D55" s="647" t="s">
        <v>852</v>
      </c>
      <c r="E55" s="736">
        <v>0</v>
      </c>
      <c r="F55" s="712"/>
      <c r="G55" s="712"/>
      <c r="H55" s="915">
        <v>0</v>
      </c>
      <c r="I55" s="911"/>
      <c r="J55" s="911"/>
      <c r="K55" s="736">
        <v>0</v>
      </c>
      <c r="L55" s="712"/>
      <c r="M55" s="712"/>
      <c r="N55" s="915">
        <v>0</v>
      </c>
      <c r="O55" s="911"/>
      <c r="P55" s="927"/>
      <c r="Q55" s="743">
        <v>0</v>
      </c>
      <c r="R55" s="712"/>
      <c r="S55" s="712"/>
      <c r="T55" s="915">
        <v>0</v>
      </c>
      <c r="U55" s="911"/>
      <c r="V55" s="911"/>
      <c r="W55" s="736">
        <v>0</v>
      </c>
      <c r="X55" s="712"/>
      <c r="Y55" s="712"/>
      <c r="Z55" s="915">
        <v>0</v>
      </c>
      <c r="AA55" s="911"/>
      <c r="AB55" s="939"/>
      <c r="AC55" s="661">
        <v>0</v>
      </c>
      <c r="AD55" s="712"/>
      <c r="AE55" s="712"/>
      <c r="AF55" s="910">
        <v>0</v>
      </c>
      <c r="AG55" s="911"/>
      <c r="AH55" s="911"/>
      <c r="AI55" s="652">
        <v>0</v>
      </c>
      <c r="AJ55" s="712"/>
      <c r="AK55" s="728"/>
      <c r="AL55" s="956">
        <v>10000000</v>
      </c>
      <c r="AM55" s="911"/>
      <c r="AN55" s="957"/>
      <c r="AO55" s="652"/>
      <c r="AP55" s="712"/>
      <c r="AQ55" s="728"/>
      <c r="AR55" s="659"/>
      <c r="AS55" s="712"/>
      <c r="AT55" s="719"/>
      <c r="AU55" s="659"/>
      <c r="AV55" s="712"/>
      <c r="AW55" s="719"/>
      <c r="AX55" s="659"/>
      <c r="AY55" s="712"/>
      <c r="AZ55" s="719"/>
      <c r="BA55" s="659"/>
      <c r="BB55" s="712"/>
      <c r="BC55" s="719"/>
      <c r="BD55" s="659"/>
      <c r="BE55" s="712"/>
      <c r="BF55" s="719"/>
      <c r="BG55" s="659"/>
      <c r="BH55" s="712"/>
      <c r="BI55" s="719"/>
      <c r="BJ55" s="659"/>
      <c r="BK55" s="712"/>
      <c r="BL55" s="719"/>
    </row>
    <row r="56" spans="2:64">
      <c r="B56" s="1266"/>
      <c r="C56" s="646" t="s">
        <v>832</v>
      </c>
      <c r="D56" s="647" t="s">
        <v>853</v>
      </c>
      <c r="E56" s="736">
        <v>0</v>
      </c>
      <c r="F56" s="712"/>
      <c r="G56" s="712"/>
      <c r="H56" s="915">
        <v>0</v>
      </c>
      <c r="I56" s="911"/>
      <c r="J56" s="911"/>
      <c r="K56" s="736">
        <v>0</v>
      </c>
      <c r="L56" s="712"/>
      <c r="M56" s="712"/>
      <c r="N56" s="915">
        <v>0</v>
      </c>
      <c r="O56" s="911"/>
      <c r="P56" s="927"/>
      <c r="Q56" s="743">
        <v>0</v>
      </c>
      <c r="R56" s="712"/>
      <c r="S56" s="712"/>
      <c r="T56" s="915">
        <v>0</v>
      </c>
      <c r="U56" s="911"/>
      <c r="V56" s="911"/>
      <c r="W56" s="736">
        <v>0</v>
      </c>
      <c r="X56" s="712"/>
      <c r="Y56" s="712"/>
      <c r="Z56" s="915">
        <v>1</v>
      </c>
      <c r="AA56" s="911"/>
      <c r="AB56" s="939"/>
      <c r="AC56" s="661">
        <v>2</v>
      </c>
      <c r="AD56" s="712"/>
      <c r="AE56" s="712"/>
      <c r="AF56" s="910">
        <v>3</v>
      </c>
      <c r="AG56" s="911"/>
      <c r="AH56" s="911"/>
      <c r="AI56" s="652">
        <v>3</v>
      </c>
      <c r="AJ56" s="712"/>
      <c r="AK56" s="728"/>
      <c r="AL56" s="956">
        <v>3</v>
      </c>
      <c r="AM56" s="911"/>
      <c r="AN56" s="957"/>
      <c r="AO56" s="652"/>
      <c r="AP56" s="712"/>
      <c r="AQ56" s="728"/>
      <c r="AR56" s="659"/>
      <c r="AS56" s="712"/>
      <c r="AT56" s="719"/>
      <c r="AU56" s="659"/>
      <c r="AV56" s="712"/>
      <c r="AW56" s="719"/>
      <c r="AX56" s="659"/>
      <c r="AY56" s="712"/>
      <c r="AZ56" s="719"/>
      <c r="BA56" s="659"/>
      <c r="BB56" s="712"/>
      <c r="BC56" s="719"/>
      <c r="BD56" s="659"/>
      <c r="BE56" s="712"/>
      <c r="BF56" s="719"/>
      <c r="BG56" s="659"/>
      <c r="BH56" s="712"/>
      <c r="BI56" s="719"/>
      <c r="BJ56" s="659"/>
      <c r="BK56" s="712"/>
      <c r="BL56" s="719"/>
    </row>
    <row r="57" spans="2:64" ht="17" thickBot="1">
      <c r="B57" s="581"/>
      <c r="C57" s="582"/>
      <c r="D57" s="583"/>
      <c r="E57" s="698">
        <f>E45*2</f>
        <v>1200000</v>
      </c>
      <c r="F57" s="698">
        <f t="shared" ref="F57:AN57" si="1">F45*2</f>
        <v>1752</v>
      </c>
      <c r="G57" s="698">
        <f t="shared" si="1"/>
        <v>3600</v>
      </c>
      <c r="H57" s="698">
        <f t="shared" si="1"/>
        <v>1240000</v>
      </c>
      <c r="I57" s="698">
        <f t="shared" si="1"/>
        <v>1780</v>
      </c>
      <c r="J57" s="698">
        <f t="shared" si="1"/>
        <v>3680</v>
      </c>
      <c r="K57" s="698">
        <f t="shared" si="1"/>
        <v>1260000</v>
      </c>
      <c r="L57" s="698">
        <f t="shared" si="1"/>
        <v>1800</v>
      </c>
      <c r="M57" s="698">
        <f t="shared" si="1"/>
        <v>3920</v>
      </c>
      <c r="N57" s="698">
        <f t="shared" si="1"/>
        <v>1280000</v>
      </c>
      <c r="O57" s="698">
        <f t="shared" si="1"/>
        <v>1868</v>
      </c>
      <c r="P57" s="698">
        <f t="shared" si="1"/>
        <v>4200</v>
      </c>
      <c r="Q57" s="698">
        <f t="shared" si="1"/>
        <v>1320000</v>
      </c>
      <c r="R57" s="698">
        <f t="shared" si="1"/>
        <v>1880</v>
      </c>
      <c r="S57" s="698">
        <f t="shared" si="1"/>
        <v>4400</v>
      </c>
      <c r="T57" s="698">
        <f t="shared" si="1"/>
        <v>1380000</v>
      </c>
      <c r="U57" s="698">
        <f t="shared" si="1"/>
        <v>1900</v>
      </c>
      <c r="V57" s="698">
        <f t="shared" si="1"/>
        <v>4600</v>
      </c>
      <c r="W57" s="698">
        <f t="shared" si="1"/>
        <v>1420000</v>
      </c>
      <c r="X57" s="698">
        <f t="shared" si="1"/>
        <v>1928</v>
      </c>
      <c r="Y57" s="698">
        <f t="shared" si="1"/>
        <v>4920</v>
      </c>
      <c r="Z57" s="698">
        <f t="shared" si="1"/>
        <v>1448000</v>
      </c>
      <c r="AA57" s="698">
        <f t="shared" si="1"/>
        <v>1940</v>
      </c>
      <c r="AB57" s="698">
        <f t="shared" si="1"/>
        <v>5120</v>
      </c>
      <c r="AC57" s="698">
        <f t="shared" si="1"/>
        <v>1492000</v>
      </c>
      <c r="AD57" s="698">
        <f t="shared" si="1"/>
        <v>1986</v>
      </c>
      <c r="AE57" s="698">
        <f t="shared" si="1"/>
        <v>5280</v>
      </c>
      <c r="AF57" s="698">
        <f t="shared" si="1"/>
        <v>1520000</v>
      </c>
      <c r="AG57" s="698">
        <f t="shared" si="1"/>
        <v>1992</v>
      </c>
      <c r="AH57" s="698">
        <f t="shared" si="1"/>
        <v>5600</v>
      </c>
      <c r="AI57" s="698">
        <f t="shared" si="1"/>
        <v>1592000</v>
      </c>
      <c r="AJ57" s="698">
        <f t="shared" si="1"/>
        <v>1996</v>
      </c>
      <c r="AK57" s="698">
        <f t="shared" si="1"/>
        <v>5800</v>
      </c>
      <c r="AL57" s="698">
        <f t="shared" si="1"/>
        <v>1600000</v>
      </c>
      <c r="AM57" s="698">
        <f t="shared" si="1"/>
        <v>2000</v>
      </c>
      <c r="AN57" s="698">
        <f t="shared" si="1"/>
        <v>6000</v>
      </c>
      <c r="AO57" s="1226"/>
      <c r="AP57" s="716"/>
      <c r="AQ57" s="716"/>
      <c r="AR57" s="698"/>
      <c r="AS57" s="716"/>
      <c r="AT57" s="716"/>
      <c r="AU57" s="698"/>
      <c r="AV57" s="716"/>
      <c r="AW57" s="716"/>
      <c r="AX57" s="698"/>
      <c r="AY57" s="716"/>
      <c r="AZ57" s="716"/>
      <c r="BA57" s="698"/>
      <c r="BB57" s="716"/>
      <c r="BC57" s="716"/>
      <c r="BD57" s="698"/>
      <c r="BE57" s="716"/>
      <c r="BF57" s="716"/>
      <c r="BG57" s="698"/>
      <c r="BH57" s="716"/>
      <c r="BI57" s="716"/>
      <c r="BJ57" s="698"/>
      <c r="BK57" s="716"/>
      <c r="BL57" s="716"/>
    </row>
    <row r="58" spans="2:64" ht="17.7" thickBot="1">
      <c r="B58" s="1284" t="s">
        <v>890</v>
      </c>
      <c r="C58" s="1284"/>
      <c r="D58" s="1284"/>
      <c r="E58" s="1263" t="s">
        <v>679</v>
      </c>
      <c r="F58" s="1263"/>
      <c r="G58" s="1263"/>
      <c r="H58" s="1263"/>
      <c r="I58" s="1263"/>
      <c r="J58" s="1263"/>
    </row>
    <row r="59" spans="2:64" ht="6" customHeight="1" thickBot="1">
      <c r="B59" s="579"/>
    </row>
    <row r="60" spans="2:64" ht="16.5" customHeight="1">
      <c r="B60" s="1278" t="s">
        <v>702</v>
      </c>
      <c r="C60" s="1278"/>
      <c r="D60" s="1278" t="s">
        <v>730</v>
      </c>
      <c r="E60" s="1257" t="s">
        <v>689</v>
      </c>
      <c r="F60" s="1258"/>
      <c r="G60" s="1264"/>
      <c r="H60" s="1257" t="s">
        <v>690</v>
      </c>
      <c r="I60" s="1258"/>
      <c r="J60" s="1264"/>
      <c r="K60" s="1257" t="s">
        <v>691</v>
      </c>
      <c r="L60" s="1258"/>
      <c r="M60" s="1264"/>
      <c r="N60" s="1257" t="s">
        <v>692</v>
      </c>
      <c r="O60" s="1258"/>
      <c r="P60" s="1268"/>
      <c r="Q60" s="1270" t="s">
        <v>693</v>
      </c>
      <c r="R60" s="1258"/>
      <c r="S60" s="1264"/>
      <c r="T60" s="1257" t="s">
        <v>694</v>
      </c>
      <c r="U60" s="1258"/>
      <c r="V60" s="1264"/>
      <c r="W60" s="1257" t="s">
        <v>695</v>
      </c>
      <c r="X60" s="1258"/>
      <c r="Y60" s="1264"/>
      <c r="Z60" s="1257" t="s">
        <v>696</v>
      </c>
      <c r="AA60" s="1258"/>
      <c r="AB60" s="1268"/>
      <c r="AC60" s="1270" t="s">
        <v>697</v>
      </c>
      <c r="AD60" s="1258"/>
      <c r="AE60" s="1264"/>
      <c r="AF60" s="1257" t="s">
        <v>698</v>
      </c>
      <c r="AG60" s="1258"/>
      <c r="AH60" s="1264"/>
      <c r="AI60" s="1257" t="s">
        <v>699</v>
      </c>
      <c r="AJ60" s="1258"/>
      <c r="AK60" s="1259"/>
      <c r="AL60" s="1271" t="s">
        <v>703</v>
      </c>
      <c r="AM60" s="1272"/>
      <c r="AN60" s="1273"/>
      <c r="AO60" s="1271" t="s">
        <v>916</v>
      </c>
      <c r="AP60" s="1272"/>
      <c r="AQ60" s="1273"/>
      <c r="AR60" s="1271" t="s">
        <v>918</v>
      </c>
      <c r="AS60" s="1272"/>
      <c r="AT60" s="1273"/>
      <c r="AU60" s="1271" t="s">
        <v>922</v>
      </c>
      <c r="AV60" s="1272"/>
      <c r="AW60" s="1273"/>
      <c r="AX60" s="1271" t="s">
        <v>923</v>
      </c>
      <c r="AY60" s="1272"/>
      <c r="AZ60" s="1273"/>
      <c r="BA60" s="1260" t="s">
        <v>983</v>
      </c>
      <c r="BB60" s="1261"/>
      <c r="BC60" s="1262"/>
      <c r="BD60" s="1260" t="s">
        <v>984</v>
      </c>
      <c r="BE60" s="1261"/>
      <c r="BF60" s="1262"/>
      <c r="BG60" s="1260" t="s">
        <v>985</v>
      </c>
      <c r="BH60" s="1261"/>
      <c r="BI60" s="1262"/>
      <c r="BJ60" s="1260" t="s">
        <v>986</v>
      </c>
      <c r="BK60" s="1261"/>
      <c r="BL60" s="1262"/>
    </row>
    <row r="61" spans="2:64">
      <c r="B61" s="1278"/>
      <c r="C61" s="1278"/>
      <c r="D61" s="1278"/>
      <c r="E61" s="677" t="s">
        <v>701</v>
      </c>
      <c r="F61" s="677" t="s">
        <v>1163</v>
      </c>
      <c r="G61" s="677" t="s">
        <v>1206</v>
      </c>
      <c r="H61" s="677" t="s">
        <v>701</v>
      </c>
      <c r="I61" s="677" t="s">
        <v>1163</v>
      </c>
      <c r="J61" s="677" t="s">
        <v>1206</v>
      </c>
      <c r="K61" s="677" t="s">
        <v>701</v>
      </c>
      <c r="L61" s="677" t="s">
        <v>1163</v>
      </c>
      <c r="M61" s="677" t="s">
        <v>1206</v>
      </c>
      <c r="N61" s="677" t="s">
        <v>701</v>
      </c>
      <c r="O61" s="677" t="s">
        <v>1163</v>
      </c>
      <c r="P61" s="678" t="s">
        <v>1206</v>
      </c>
      <c r="Q61" s="679" t="s">
        <v>701</v>
      </c>
      <c r="R61" s="677" t="s">
        <v>1163</v>
      </c>
      <c r="S61" s="677" t="s">
        <v>1206</v>
      </c>
      <c r="T61" s="677" t="s">
        <v>701</v>
      </c>
      <c r="U61" s="677" t="s">
        <v>1163</v>
      </c>
      <c r="V61" s="677" t="s">
        <v>1206</v>
      </c>
      <c r="W61" s="677" t="s">
        <v>701</v>
      </c>
      <c r="X61" s="677" t="s">
        <v>1163</v>
      </c>
      <c r="Y61" s="677" t="s">
        <v>1206</v>
      </c>
      <c r="Z61" s="677" t="s">
        <v>701</v>
      </c>
      <c r="AA61" s="677" t="s">
        <v>1163</v>
      </c>
      <c r="AB61" s="680" t="s">
        <v>1206</v>
      </c>
      <c r="AC61" s="681" t="s">
        <v>701</v>
      </c>
      <c r="AD61" s="677" t="s">
        <v>1163</v>
      </c>
      <c r="AE61" s="677" t="s">
        <v>1206</v>
      </c>
      <c r="AF61" s="677" t="s">
        <v>701</v>
      </c>
      <c r="AG61" s="677" t="s">
        <v>1163</v>
      </c>
      <c r="AH61" s="677" t="s">
        <v>1206</v>
      </c>
      <c r="AI61" s="677" t="s">
        <v>701</v>
      </c>
      <c r="AJ61" s="677" t="s">
        <v>1163</v>
      </c>
      <c r="AK61" s="678" t="s">
        <v>1206</v>
      </c>
      <c r="AL61" s="654" t="s">
        <v>704</v>
      </c>
      <c r="AM61" s="682" t="s">
        <v>1163</v>
      </c>
      <c r="AN61" s="655" t="s">
        <v>1206</v>
      </c>
      <c r="AO61" s="654" t="s">
        <v>704</v>
      </c>
      <c r="AP61" s="682" t="s">
        <v>1163</v>
      </c>
      <c r="AQ61" s="655" t="s">
        <v>1206</v>
      </c>
      <c r="AR61" s="654" t="s">
        <v>704</v>
      </c>
      <c r="AS61" s="682" t="s">
        <v>1163</v>
      </c>
      <c r="AT61" s="655" t="s">
        <v>1206</v>
      </c>
      <c r="AU61" s="654" t="s">
        <v>704</v>
      </c>
      <c r="AV61" s="682" t="s">
        <v>1163</v>
      </c>
      <c r="AW61" s="655" t="s">
        <v>1206</v>
      </c>
      <c r="AX61" s="654" t="s">
        <v>704</v>
      </c>
      <c r="AY61" s="682" t="s">
        <v>1163</v>
      </c>
      <c r="AZ61" s="655" t="s">
        <v>1206</v>
      </c>
      <c r="BA61" s="654" t="s">
        <v>704</v>
      </c>
      <c r="BB61" s="682" t="s">
        <v>1163</v>
      </c>
      <c r="BC61" s="655" t="s">
        <v>1206</v>
      </c>
      <c r="BD61" s="654" t="s">
        <v>704</v>
      </c>
      <c r="BE61" s="682" t="s">
        <v>1163</v>
      </c>
      <c r="BF61" s="655" t="s">
        <v>1206</v>
      </c>
      <c r="BG61" s="654" t="s">
        <v>704</v>
      </c>
      <c r="BH61" s="682" t="s">
        <v>1163</v>
      </c>
      <c r="BI61" s="655" t="s">
        <v>1206</v>
      </c>
      <c r="BJ61" s="654" t="s">
        <v>704</v>
      </c>
      <c r="BK61" s="682" t="s">
        <v>1163</v>
      </c>
      <c r="BL61" s="655" t="s">
        <v>1206</v>
      </c>
    </row>
    <row r="62" spans="2:64">
      <c r="B62" s="1308" t="s">
        <v>680</v>
      </c>
      <c r="C62" s="1310" t="s">
        <v>705</v>
      </c>
      <c r="D62" s="647" t="s">
        <v>681</v>
      </c>
      <c r="E62" s="652">
        <v>33151687950</v>
      </c>
      <c r="F62" s="652"/>
      <c r="G62" s="652"/>
      <c r="H62" s="910">
        <v>47523605420</v>
      </c>
      <c r="I62" s="910"/>
      <c r="J62" s="910"/>
      <c r="K62" s="652">
        <v>46225732120</v>
      </c>
      <c r="L62" s="652"/>
      <c r="M62" s="652"/>
      <c r="N62" s="910">
        <v>54564429150</v>
      </c>
      <c r="O62" s="910"/>
      <c r="P62" s="931"/>
      <c r="Q62" s="684">
        <v>43306982400</v>
      </c>
      <c r="R62" s="652"/>
      <c r="S62" s="652"/>
      <c r="T62" s="910">
        <v>63579142610</v>
      </c>
      <c r="U62" s="910"/>
      <c r="V62" s="910"/>
      <c r="W62" s="652">
        <v>61613796600</v>
      </c>
      <c r="X62" s="652"/>
      <c r="Y62" s="652"/>
      <c r="Z62" s="910">
        <v>82256656730</v>
      </c>
      <c r="AA62" s="910"/>
      <c r="AB62" s="943"/>
      <c r="AC62" s="661">
        <v>71903606400</v>
      </c>
      <c r="AD62" s="652"/>
      <c r="AE62" s="652"/>
      <c r="AF62" s="910">
        <v>90583806230</v>
      </c>
      <c r="AG62" s="910"/>
      <c r="AH62" s="910"/>
      <c r="AI62" s="652">
        <v>88839553740</v>
      </c>
      <c r="AJ62" s="652"/>
      <c r="AK62" s="656"/>
      <c r="AL62" s="956">
        <v>88631620000</v>
      </c>
      <c r="AM62" s="910"/>
      <c r="AN62" s="960"/>
      <c r="AO62" s="659"/>
      <c r="AP62" s="652"/>
      <c r="AQ62" s="660"/>
      <c r="AR62" s="659"/>
      <c r="AS62" s="652"/>
      <c r="AT62" s="660"/>
      <c r="AU62" s="659"/>
      <c r="AV62" s="652"/>
      <c r="AW62" s="660"/>
      <c r="AX62" s="659"/>
      <c r="AY62" s="652"/>
      <c r="AZ62" s="660"/>
      <c r="BA62" s="659"/>
      <c r="BB62" s="652"/>
      <c r="BC62" s="660"/>
      <c r="BD62" s="659"/>
      <c r="BE62" s="652"/>
      <c r="BF62" s="660"/>
      <c r="BG62" s="659"/>
      <c r="BH62" s="652"/>
      <c r="BI62" s="660"/>
      <c r="BJ62" s="659"/>
      <c r="BK62" s="652"/>
      <c r="BL62" s="660"/>
    </row>
    <row r="63" spans="2:64">
      <c r="B63" s="1308"/>
      <c r="C63" s="1310"/>
      <c r="D63" s="647" t="s">
        <v>682</v>
      </c>
      <c r="E63" s="904" t="s">
        <v>954</v>
      </c>
      <c r="F63" s="652"/>
      <c r="G63" s="652"/>
      <c r="H63" s="922" t="s">
        <v>954</v>
      </c>
      <c r="I63" s="910"/>
      <c r="J63" s="910"/>
      <c r="K63" s="903" t="s">
        <v>954</v>
      </c>
      <c r="L63" s="652"/>
      <c r="M63" s="656"/>
      <c r="N63" s="922" t="s">
        <v>954</v>
      </c>
      <c r="O63" s="910"/>
      <c r="P63" s="931"/>
      <c r="Q63" s="905" t="s">
        <v>954</v>
      </c>
      <c r="R63" s="652"/>
      <c r="S63" s="652"/>
      <c r="T63" s="922" t="s">
        <v>954</v>
      </c>
      <c r="U63" s="910"/>
      <c r="V63" s="910"/>
      <c r="W63" s="903" t="s">
        <v>954</v>
      </c>
      <c r="X63" s="652"/>
      <c r="Y63" s="652"/>
      <c r="Z63" s="922" t="s">
        <v>954</v>
      </c>
      <c r="AA63" s="910"/>
      <c r="AB63" s="943"/>
      <c r="AC63" s="904" t="s">
        <v>954</v>
      </c>
      <c r="AD63" s="652"/>
      <c r="AE63" s="652"/>
      <c r="AF63" s="922" t="s">
        <v>954</v>
      </c>
      <c r="AG63" s="910"/>
      <c r="AH63" s="910"/>
      <c r="AI63" s="903" t="s">
        <v>954</v>
      </c>
      <c r="AJ63" s="652"/>
      <c r="AK63" s="656"/>
      <c r="AL63" s="968" t="s">
        <v>954</v>
      </c>
      <c r="AM63" s="910"/>
      <c r="AN63" s="960"/>
      <c r="AO63" s="659"/>
      <c r="AP63" s="652"/>
      <c r="AQ63" s="660"/>
      <c r="AR63" s="659"/>
      <c r="AS63" s="652"/>
      <c r="AT63" s="660"/>
      <c r="AU63" s="659"/>
      <c r="AV63" s="652"/>
      <c r="AW63" s="660"/>
      <c r="AX63" s="659"/>
      <c r="AY63" s="652"/>
      <c r="AZ63" s="660"/>
      <c r="BA63" s="659"/>
      <c r="BB63" s="652"/>
      <c r="BC63" s="660"/>
      <c r="BD63" s="659"/>
      <c r="BE63" s="652"/>
      <c r="BF63" s="660"/>
      <c r="BG63" s="659"/>
      <c r="BH63" s="652"/>
      <c r="BI63" s="660"/>
      <c r="BJ63" s="659"/>
      <c r="BK63" s="652"/>
      <c r="BL63" s="660"/>
    </row>
    <row r="64" spans="2:64">
      <c r="B64" s="1308"/>
      <c r="C64" s="1310" t="s">
        <v>706</v>
      </c>
      <c r="D64" s="647" t="s">
        <v>683</v>
      </c>
      <c r="E64" s="652">
        <v>-364768440</v>
      </c>
      <c r="F64" s="652"/>
      <c r="G64" s="652"/>
      <c r="H64" s="910">
        <v>3059295121</v>
      </c>
      <c r="I64" s="910"/>
      <c r="J64" s="910"/>
      <c r="K64" s="652">
        <v>2984019702</v>
      </c>
      <c r="L64" s="652"/>
      <c r="M64" s="652"/>
      <c r="N64" s="910">
        <v>4654162032</v>
      </c>
      <c r="O64" s="910"/>
      <c r="P64" s="931"/>
      <c r="Q64" s="684">
        <v>3456071751</v>
      </c>
      <c r="R64" s="652"/>
      <c r="S64" s="652"/>
      <c r="T64" s="910">
        <v>5911264883</v>
      </c>
      <c r="U64" s="910"/>
      <c r="V64" s="910"/>
      <c r="W64" s="652">
        <v>4343778682</v>
      </c>
      <c r="X64" s="652"/>
      <c r="Y64" s="652"/>
      <c r="Z64" s="910">
        <v>3075618589</v>
      </c>
      <c r="AA64" s="910"/>
      <c r="AB64" s="943"/>
      <c r="AC64" s="661">
        <v>2689559000</v>
      </c>
      <c r="AD64" s="652"/>
      <c r="AE64" s="652"/>
      <c r="AF64" s="910">
        <v>4870881691</v>
      </c>
      <c r="AG64" s="910"/>
      <c r="AH64" s="910"/>
      <c r="AI64" s="652">
        <v>4969523434</v>
      </c>
      <c r="AJ64" s="652"/>
      <c r="AK64" s="656"/>
      <c r="AL64" s="956">
        <v>4119883657</v>
      </c>
      <c r="AM64" s="910"/>
      <c r="AN64" s="960"/>
      <c r="AO64" s="659"/>
      <c r="AP64" s="652"/>
      <c r="AQ64" s="660"/>
      <c r="AR64" s="659"/>
      <c r="AS64" s="652"/>
      <c r="AT64" s="660"/>
      <c r="AU64" s="659"/>
      <c r="AV64" s="652"/>
      <c r="AW64" s="660"/>
      <c r="AX64" s="659"/>
      <c r="AY64" s="652"/>
      <c r="AZ64" s="660"/>
      <c r="BA64" s="659"/>
      <c r="BB64" s="652"/>
      <c r="BC64" s="660"/>
      <c r="BD64" s="659"/>
      <c r="BE64" s="652"/>
      <c r="BF64" s="660"/>
      <c r="BG64" s="659"/>
      <c r="BH64" s="652"/>
      <c r="BI64" s="660"/>
      <c r="BJ64" s="659"/>
      <c r="BK64" s="652"/>
      <c r="BL64" s="660"/>
    </row>
    <row r="65" spans="2:64">
      <c r="B65" s="1308"/>
      <c r="C65" s="1310"/>
      <c r="D65" s="647" t="s">
        <v>707</v>
      </c>
      <c r="E65" s="652">
        <v>4583</v>
      </c>
      <c r="F65" s="652"/>
      <c r="G65" s="652"/>
      <c r="H65" s="910">
        <v>5252</v>
      </c>
      <c r="I65" s="910"/>
      <c r="J65" s="910"/>
      <c r="K65" s="652">
        <v>5056</v>
      </c>
      <c r="L65" s="652"/>
      <c r="M65" s="652"/>
      <c r="N65" s="910">
        <v>6097</v>
      </c>
      <c r="O65" s="910"/>
      <c r="P65" s="931"/>
      <c r="Q65" s="684">
        <v>4878</v>
      </c>
      <c r="R65" s="652"/>
      <c r="S65" s="652"/>
      <c r="T65" s="910">
        <v>6389</v>
      </c>
      <c r="U65" s="910"/>
      <c r="V65" s="910"/>
      <c r="W65" s="652">
        <v>6251</v>
      </c>
      <c r="X65" s="652"/>
      <c r="Y65" s="652"/>
      <c r="Z65" s="910">
        <v>6547</v>
      </c>
      <c r="AA65" s="910"/>
      <c r="AB65" s="943"/>
      <c r="AC65" s="661">
        <v>5724</v>
      </c>
      <c r="AD65" s="652"/>
      <c r="AE65" s="652"/>
      <c r="AF65" s="910">
        <v>6839</v>
      </c>
      <c r="AG65" s="910"/>
      <c r="AH65" s="910"/>
      <c r="AI65" s="652">
        <v>6142</v>
      </c>
      <c r="AJ65" s="652"/>
      <c r="AK65" s="656"/>
      <c r="AL65" s="956">
        <v>5774</v>
      </c>
      <c r="AM65" s="910"/>
      <c r="AN65" s="960"/>
      <c r="AO65" s="659"/>
      <c r="AP65" s="652"/>
      <c r="AQ65" s="660"/>
      <c r="AR65" s="659"/>
      <c r="AS65" s="652"/>
      <c r="AT65" s="660"/>
      <c r="AU65" s="659"/>
      <c r="AV65" s="652"/>
      <c r="AW65" s="660"/>
      <c r="AX65" s="659"/>
      <c r="AY65" s="652"/>
      <c r="AZ65" s="660"/>
      <c r="BA65" s="659"/>
      <c r="BB65" s="652"/>
      <c r="BC65" s="660"/>
      <c r="BD65" s="659"/>
      <c r="BE65" s="652"/>
      <c r="BF65" s="660"/>
      <c r="BG65" s="659"/>
      <c r="BH65" s="652"/>
      <c r="BI65" s="660"/>
      <c r="BJ65" s="659"/>
      <c r="BK65" s="652"/>
      <c r="BL65" s="660"/>
    </row>
    <row r="66" spans="2:64" ht="18.75" customHeight="1">
      <c r="B66" s="1308"/>
      <c r="C66" s="1277" t="s">
        <v>708</v>
      </c>
      <c r="D66" s="647" t="s">
        <v>709</v>
      </c>
      <c r="E66" s="652">
        <v>7</v>
      </c>
      <c r="F66" s="652"/>
      <c r="G66" s="652"/>
      <c r="H66" s="910">
        <v>7</v>
      </c>
      <c r="I66" s="910"/>
      <c r="J66" s="910"/>
      <c r="K66" s="652">
        <v>6</v>
      </c>
      <c r="L66" s="652"/>
      <c r="M66" s="652"/>
      <c r="N66" s="910">
        <v>6</v>
      </c>
      <c r="O66" s="910"/>
      <c r="P66" s="931"/>
      <c r="Q66" s="684">
        <v>6</v>
      </c>
      <c r="R66" s="652"/>
      <c r="S66" s="652"/>
      <c r="T66" s="910">
        <v>5</v>
      </c>
      <c r="U66" s="910"/>
      <c r="V66" s="910"/>
      <c r="W66" s="652">
        <v>5</v>
      </c>
      <c r="X66" s="652"/>
      <c r="Y66" s="652"/>
      <c r="Z66" s="910">
        <v>5</v>
      </c>
      <c r="AA66" s="910"/>
      <c r="AB66" s="943"/>
      <c r="AC66" s="661">
        <v>4</v>
      </c>
      <c r="AD66" s="652"/>
      <c r="AE66" s="652"/>
      <c r="AF66" s="910">
        <v>4</v>
      </c>
      <c r="AG66" s="910"/>
      <c r="AH66" s="910"/>
      <c r="AI66" s="652">
        <v>4</v>
      </c>
      <c r="AJ66" s="652"/>
      <c r="AK66" s="656"/>
      <c r="AL66" s="956">
        <v>4</v>
      </c>
      <c r="AM66" s="910"/>
      <c r="AN66" s="960"/>
      <c r="AO66" s="659"/>
      <c r="AP66" s="652"/>
      <c r="AQ66" s="660"/>
      <c r="AR66" s="659"/>
      <c r="AS66" s="652"/>
      <c r="AT66" s="660"/>
      <c r="AU66" s="659"/>
      <c r="AV66" s="652"/>
      <c r="AW66" s="660"/>
      <c r="AX66" s="659"/>
      <c r="AY66" s="652"/>
      <c r="AZ66" s="660"/>
      <c r="BA66" s="659"/>
      <c r="BB66" s="652"/>
      <c r="BC66" s="660"/>
      <c r="BD66" s="659"/>
      <c r="BE66" s="652"/>
      <c r="BF66" s="660"/>
      <c r="BG66" s="659"/>
      <c r="BH66" s="652"/>
      <c r="BI66" s="660"/>
      <c r="BJ66" s="659"/>
      <c r="BK66" s="652"/>
      <c r="BL66" s="660"/>
    </row>
    <row r="67" spans="2:64" s="641" customFormat="1" ht="17" thickBot="1">
      <c r="B67" s="1309"/>
      <c r="C67" s="1287"/>
      <c r="D67" s="685" t="s">
        <v>1060</v>
      </c>
      <c r="E67" s="700">
        <v>7</v>
      </c>
      <c r="F67" s="700"/>
      <c r="G67" s="700"/>
      <c r="H67" s="912">
        <v>4</v>
      </c>
      <c r="I67" s="912"/>
      <c r="J67" s="912"/>
      <c r="K67" s="700">
        <v>7</v>
      </c>
      <c r="L67" s="700"/>
      <c r="M67" s="700"/>
      <c r="N67" s="912">
        <v>3</v>
      </c>
      <c r="O67" s="912"/>
      <c r="P67" s="934"/>
      <c r="Q67" s="707">
        <v>7</v>
      </c>
      <c r="R67" s="700"/>
      <c r="S67" s="700"/>
      <c r="T67" s="912">
        <v>3</v>
      </c>
      <c r="U67" s="912"/>
      <c r="V67" s="912"/>
      <c r="W67" s="700">
        <v>3</v>
      </c>
      <c r="X67" s="700"/>
      <c r="Y67" s="700"/>
      <c r="Z67" s="912">
        <v>2</v>
      </c>
      <c r="AA67" s="912"/>
      <c r="AB67" s="946"/>
      <c r="AC67" s="704">
        <v>4</v>
      </c>
      <c r="AD67" s="700"/>
      <c r="AE67" s="700"/>
      <c r="AF67" s="912">
        <v>2</v>
      </c>
      <c r="AG67" s="912"/>
      <c r="AH67" s="912"/>
      <c r="AI67" s="700">
        <v>3</v>
      </c>
      <c r="AJ67" s="700"/>
      <c r="AK67" s="733"/>
      <c r="AL67" s="956">
        <v>4</v>
      </c>
      <c r="AM67" s="912"/>
      <c r="AN67" s="969"/>
      <c r="AO67" s="695"/>
      <c r="AP67" s="700"/>
      <c r="AQ67" s="725"/>
      <c r="AR67" s="695"/>
      <c r="AS67" s="700"/>
      <c r="AT67" s="725"/>
      <c r="AU67" s="695"/>
      <c r="AV67" s="700"/>
      <c r="AW67" s="725"/>
      <c r="AX67" s="695"/>
      <c r="AY67" s="700"/>
      <c r="AZ67" s="725"/>
      <c r="BA67" s="695"/>
      <c r="BB67" s="700"/>
      <c r="BC67" s="725"/>
      <c r="BD67" s="695"/>
      <c r="BE67" s="700"/>
      <c r="BF67" s="725"/>
      <c r="BG67" s="695"/>
      <c r="BH67" s="700"/>
      <c r="BI67" s="725"/>
      <c r="BJ67" s="695"/>
      <c r="BK67" s="700"/>
      <c r="BL67" s="725"/>
    </row>
    <row r="68" spans="2:64" s="640" customFormat="1" ht="17" thickTop="1">
      <c r="B68" s="1279" t="s">
        <v>710</v>
      </c>
      <c r="C68" s="1281" t="s">
        <v>711</v>
      </c>
      <c r="D68" s="650" t="s">
        <v>854</v>
      </c>
      <c r="E68" s="701">
        <v>38739</v>
      </c>
      <c r="F68" s="701">
        <v>23963</v>
      </c>
      <c r="G68" s="701">
        <v>5497</v>
      </c>
      <c r="H68" s="923">
        <v>49455</v>
      </c>
      <c r="I68" s="923">
        <v>32381</v>
      </c>
      <c r="J68" s="923">
        <v>13894</v>
      </c>
      <c r="K68" s="701">
        <v>46095</v>
      </c>
      <c r="L68" s="701">
        <v>34739</v>
      </c>
      <c r="M68" s="701">
        <v>10568</v>
      </c>
      <c r="N68" s="923">
        <v>53923</v>
      </c>
      <c r="O68" s="923">
        <v>39025</v>
      </c>
      <c r="P68" s="935">
        <v>13227</v>
      </c>
      <c r="Q68" s="708">
        <v>38959</v>
      </c>
      <c r="R68" s="701">
        <v>34074</v>
      </c>
      <c r="S68" s="701">
        <v>4700</v>
      </c>
      <c r="T68" s="923">
        <v>59451</v>
      </c>
      <c r="U68" s="923">
        <v>39074</v>
      </c>
      <c r="V68" s="923">
        <v>15478</v>
      </c>
      <c r="W68" s="701">
        <v>53746</v>
      </c>
      <c r="X68" s="701">
        <v>39354</v>
      </c>
      <c r="Y68" s="701">
        <v>15275</v>
      </c>
      <c r="Z68" s="923">
        <v>73267</v>
      </c>
      <c r="AA68" s="923">
        <v>40033</v>
      </c>
      <c r="AB68" s="947">
        <v>21414</v>
      </c>
      <c r="AC68" s="705">
        <v>65552</v>
      </c>
      <c r="AD68" s="701">
        <v>33564</v>
      </c>
      <c r="AE68" s="701">
        <v>17504</v>
      </c>
      <c r="AF68" s="923">
        <v>80232</v>
      </c>
      <c r="AG68" s="923">
        <v>36277</v>
      </c>
      <c r="AH68" s="923">
        <v>28354</v>
      </c>
      <c r="AI68" s="701">
        <v>69981</v>
      </c>
      <c r="AJ68" s="701">
        <v>33702</v>
      </c>
      <c r="AK68" s="731">
        <v>28320</v>
      </c>
      <c r="AL68" s="958">
        <v>66680</v>
      </c>
      <c r="AM68" s="923">
        <v>32680</v>
      </c>
      <c r="AN68" s="966">
        <v>30500</v>
      </c>
      <c r="AO68" s="696"/>
      <c r="AP68" s="701"/>
      <c r="AQ68" s="723"/>
      <c r="AR68" s="696"/>
      <c r="AS68" s="701"/>
      <c r="AT68" s="723"/>
      <c r="AU68" s="696"/>
      <c r="AV68" s="701"/>
      <c r="AW68" s="723"/>
      <c r="AX68" s="696"/>
      <c r="AY68" s="701"/>
      <c r="AZ68" s="723"/>
      <c r="BA68" s="696"/>
      <c r="BB68" s="701"/>
      <c r="BC68" s="723"/>
      <c r="BD68" s="696"/>
      <c r="BE68" s="701"/>
      <c r="BF68" s="723"/>
      <c r="BG68" s="696"/>
      <c r="BH68" s="701"/>
      <c r="BI68" s="723"/>
      <c r="BJ68" s="696"/>
      <c r="BK68" s="701"/>
      <c r="BL68" s="723"/>
    </row>
    <row r="69" spans="2:64">
      <c r="B69" s="1275"/>
      <c r="C69" s="1277"/>
      <c r="D69" s="647" t="s">
        <v>712</v>
      </c>
      <c r="E69" s="652">
        <f t="shared" ref="E69:AN69" si="2">E68/E80</f>
        <v>372.49038461538464</v>
      </c>
      <c r="F69" s="652">
        <f t="shared" si="2"/>
        <v>427.91071428571428</v>
      </c>
      <c r="G69" s="652">
        <f t="shared" si="2"/>
        <v>99.945454545454552</v>
      </c>
      <c r="H69" s="910">
        <f t="shared" si="2"/>
        <v>405.36885245901641</v>
      </c>
      <c r="I69" s="910">
        <f t="shared" si="2"/>
        <v>539.68333333333328</v>
      </c>
      <c r="J69" s="910">
        <f t="shared" si="2"/>
        <v>239.55172413793105</v>
      </c>
      <c r="K69" s="652">
        <f t="shared" si="2"/>
        <v>360.1171875</v>
      </c>
      <c r="L69" s="652">
        <f t="shared" si="2"/>
        <v>534.44615384615383</v>
      </c>
      <c r="M69" s="652">
        <f t="shared" si="2"/>
        <v>167.74603174603175</v>
      </c>
      <c r="N69" s="910">
        <f t="shared" si="2"/>
        <v>371.88275862068963</v>
      </c>
      <c r="O69" s="910">
        <f t="shared" si="2"/>
        <v>534.58904109589037</v>
      </c>
      <c r="P69" s="931">
        <f t="shared" si="2"/>
        <v>178.74324324324326</v>
      </c>
      <c r="Q69" s="684">
        <f t="shared" si="2"/>
        <v>231.89880952380952</v>
      </c>
      <c r="R69" s="652">
        <f t="shared" si="2"/>
        <v>400.87058823529412</v>
      </c>
      <c r="S69" s="652">
        <f t="shared" si="2"/>
        <v>55.952380952380949</v>
      </c>
      <c r="T69" s="910">
        <f t="shared" si="2"/>
        <v>328.45856353591159</v>
      </c>
      <c r="U69" s="910">
        <f t="shared" si="2"/>
        <v>415.68085106382978</v>
      </c>
      <c r="V69" s="910">
        <f t="shared" si="2"/>
        <v>161.22916666666666</v>
      </c>
      <c r="W69" s="652">
        <f t="shared" si="2"/>
        <v>278.47668393782385</v>
      </c>
      <c r="X69" s="652">
        <f t="shared" si="2"/>
        <v>367.79439252336448</v>
      </c>
      <c r="Y69" s="652">
        <f t="shared" si="2"/>
        <v>136.38392857142858</v>
      </c>
      <c r="Z69" s="910">
        <f t="shared" si="2"/>
        <v>350.55980861244018</v>
      </c>
      <c r="AA69" s="910">
        <f t="shared" si="2"/>
        <v>339.26271186440675</v>
      </c>
      <c r="AB69" s="943">
        <f t="shared" si="2"/>
        <v>174.09756097560975</v>
      </c>
      <c r="AC69" s="661">
        <f t="shared" si="2"/>
        <v>292.64285714285717</v>
      </c>
      <c r="AD69" s="652">
        <f t="shared" si="2"/>
        <v>284.4406779661017</v>
      </c>
      <c r="AE69" s="652">
        <f t="shared" si="2"/>
        <v>138.92063492063491</v>
      </c>
      <c r="AF69" s="910">
        <f t="shared" si="2"/>
        <v>344.34334763948499</v>
      </c>
      <c r="AG69" s="910">
        <f t="shared" si="2"/>
        <v>297.35245901639342</v>
      </c>
      <c r="AH69" s="910">
        <f t="shared" si="2"/>
        <v>216.44274809160305</v>
      </c>
      <c r="AI69" s="652">
        <f t="shared" si="2"/>
        <v>287.98765432098764</v>
      </c>
      <c r="AJ69" s="652">
        <f t="shared" si="2"/>
        <v>267.47619047619048</v>
      </c>
      <c r="AK69" s="656">
        <f t="shared" si="2"/>
        <v>221.25</v>
      </c>
      <c r="AL69" s="956">
        <f t="shared" si="2"/>
        <v>266.72000000000003</v>
      </c>
      <c r="AM69" s="910">
        <f t="shared" si="2"/>
        <v>251.38461538461539</v>
      </c>
      <c r="AN69" s="960">
        <f t="shared" si="2"/>
        <v>234.61538461538461</v>
      </c>
      <c r="AO69" s="659"/>
      <c r="AP69" s="652"/>
      <c r="AQ69" s="660"/>
      <c r="AR69" s="659"/>
      <c r="AS69" s="652"/>
      <c r="AT69" s="660"/>
      <c r="AU69" s="659"/>
      <c r="AV69" s="652"/>
      <c r="AW69" s="660"/>
      <c r="AX69" s="659"/>
      <c r="AY69" s="652"/>
      <c r="AZ69" s="660"/>
      <c r="BA69" s="659"/>
      <c r="BB69" s="652"/>
      <c r="BC69" s="660"/>
      <c r="BD69" s="659"/>
      <c r="BE69" s="652"/>
      <c r="BF69" s="660"/>
      <c r="BG69" s="659"/>
      <c r="BH69" s="652"/>
      <c r="BI69" s="660"/>
      <c r="BJ69" s="659"/>
      <c r="BK69" s="652"/>
      <c r="BL69" s="660"/>
    </row>
    <row r="70" spans="2:64">
      <c r="B70" s="1275"/>
      <c r="C70" s="653" t="s">
        <v>713</v>
      </c>
      <c r="D70" s="647" t="s">
        <v>714</v>
      </c>
      <c r="E70" s="652">
        <v>4427</v>
      </c>
      <c r="F70" s="652">
        <v>6036</v>
      </c>
      <c r="G70" s="652">
        <v>4502</v>
      </c>
      <c r="H70" s="910">
        <v>1534</v>
      </c>
      <c r="I70" s="910">
        <v>3654</v>
      </c>
      <c r="J70" s="910">
        <v>608</v>
      </c>
      <c r="K70" s="652">
        <v>4280</v>
      </c>
      <c r="L70" s="652">
        <v>3915</v>
      </c>
      <c r="M70" s="652">
        <v>5040</v>
      </c>
      <c r="N70" s="910">
        <v>0</v>
      </c>
      <c r="O70" s="910">
        <v>4890</v>
      </c>
      <c r="P70" s="931">
        <v>6812</v>
      </c>
      <c r="Q70" s="684">
        <v>902</v>
      </c>
      <c r="R70" s="652">
        <v>5694</v>
      </c>
      <c r="S70" s="652">
        <v>17060</v>
      </c>
      <c r="T70" s="910">
        <v>0</v>
      </c>
      <c r="U70" s="910">
        <v>6620</v>
      </c>
      <c r="V70" s="910">
        <v>16582</v>
      </c>
      <c r="W70" s="652">
        <v>0</v>
      </c>
      <c r="X70" s="652">
        <v>7266</v>
      </c>
      <c r="Y70" s="652">
        <v>16306</v>
      </c>
      <c r="Z70" s="910">
        <v>0</v>
      </c>
      <c r="AA70" s="910">
        <v>6792</v>
      </c>
      <c r="AB70" s="943">
        <v>9726</v>
      </c>
      <c r="AC70" s="661">
        <v>6798</v>
      </c>
      <c r="AD70" s="652">
        <v>8227</v>
      </c>
      <c r="AE70" s="652">
        <v>7222</v>
      </c>
      <c r="AF70" s="910">
        <v>1623</v>
      </c>
      <c r="AG70" s="910">
        <v>11950</v>
      </c>
      <c r="AH70" s="910">
        <v>3867</v>
      </c>
      <c r="AI70" s="652">
        <v>8749</v>
      </c>
      <c r="AJ70" s="652">
        <v>6208</v>
      </c>
      <c r="AK70" s="656">
        <v>500</v>
      </c>
      <c r="AL70" s="956">
        <v>18149</v>
      </c>
      <c r="AM70" s="910">
        <v>3528</v>
      </c>
      <c r="AN70" s="960">
        <v>0</v>
      </c>
      <c r="AO70" s="659"/>
      <c r="AP70" s="652"/>
      <c r="AQ70" s="660"/>
      <c r="AR70" s="659"/>
      <c r="AS70" s="652"/>
      <c r="AT70" s="660"/>
      <c r="AU70" s="659"/>
      <c r="AV70" s="652"/>
      <c r="AW70" s="660"/>
      <c r="AX70" s="659"/>
      <c r="AY70" s="652"/>
      <c r="AZ70" s="660"/>
      <c r="BA70" s="659"/>
      <c r="BB70" s="652"/>
      <c r="BC70" s="660"/>
      <c r="BD70" s="659"/>
      <c r="BE70" s="652"/>
      <c r="BF70" s="660"/>
      <c r="BG70" s="659"/>
      <c r="BH70" s="652"/>
      <c r="BI70" s="660"/>
      <c r="BJ70" s="659"/>
      <c r="BK70" s="652"/>
      <c r="BL70" s="660"/>
    </row>
    <row r="71" spans="2:64" ht="17" thickBot="1">
      <c r="B71" s="1280"/>
      <c r="C71" s="580" t="s">
        <v>715</v>
      </c>
      <c r="D71" s="651" t="s">
        <v>855</v>
      </c>
      <c r="E71" s="703">
        <v>3</v>
      </c>
      <c r="F71" s="703">
        <v>1</v>
      </c>
      <c r="G71" s="703">
        <v>1</v>
      </c>
      <c r="H71" s="924">
        <v>5</v>
      </c>
      <c r="I71" s="924">
        <v>2</v>
      </c>
      <c r="J71" s="924">
        <v>2</v>
      </c>
      <c r="K71" s="703">
        <v>7</v>
      </c>
      <c r="L71" s="703">
        <v>3</v>
      </c>
      <c r="M71" s="703">
        <v>3</v>
      </c>
      <c r="N71" s="924">
        <v>10</v>
      </c>
      <c r="O71" s="924">
        <v>4</v>
      </c>
      <c r="P71" s="936">
        <v>4</v>
      </c>
      <c r="Q71" s="709">
        <v>14</v>
      </c>
      <c r="R71" s="703">
        <v>5</v>
      </c>
      <c r="S71" s="703">
        <v>5</v>
      </c>
      <c r="T71" s="924">
        <v>16</v>
      </c>
      <c r="U71" s="924">
        <v>7</v>
      </c>
      <c r="V71" s="924">
        <v>7</v>
      </c>
      <c r="W71" s="703">
        <v>18</v>
      </c>
      <c r="X71" s="703">
        <v>8</v>
      </c>
      <c r="Y71" s="703">
        <v>8</v>
      </c>
      <c r="Z71" s="924">
        <v>20</v>
      </c>
      <c r="AA71" s="924">
        <v>9</v>
      </c>
      <c r="AB71" s="948">
        <v>9</v>
      </c>
      <c r="AC71" s="750">
        <v>22</v>
      </c>
      <c r="AD71" s="703">
        <v>10</v>
      </c>
      <c r="AE71" s="703">
        <v>10</v>
      </c>
      <c r="AF71" s="924">
        <v>24</v>
      </c>
      <c r="AG71" s="924">
        <v>11</v>
      </c>
      <c r="AH71" s="924">
        <v>11</v>
      </c>
      <c r="AI71" s="703">
        <v>25</v>
      </c>
      <c r="AJ71" s="703">
        <v>13</v>
      </c>
      <c r="AK71" s="734">
        <v>12</v>
      </c>
      <c r="AL71" s="970">
        <v>30</v>
      </c>
      <c r="AM71" s="924">
        <v>15</v>
      </c>
      <c r="AN71" s="971">
        <v>15</v>
      </c>
      <c r="AO71" s="699"/>
      <c r="AP71" s="703"/>
      <c r="AQ71" s="726"/>
      <c r="AR71" s="699"/>
      <c r="AS71" s="703"/>
      <c r="AT71" s="726"/>
      <c r="AU71" s="699"/>
      <c r="AV71" s="703"/>
      <c r="AW71" s="726"/>
      <c r="AX71" s="699"/>
      <c r="AY71" s="703"/>
      <c r="AZ71" s="726"/>
      <c r="BA71" s="699"/>
      <c r="BB71" s="703"/>
      <c r="BC71" s="726"/>
      <c r="BD71" s="699"/>
      <c r="BE71" s="703"/>
      <c r="BF71" s="726"/>
      <c r="BG71" s="699"/>
      <c r="BH71" s="703"/>
      <c r="BI71" s="726"/>
      <c r="BJ71" s="699"/>
      <c r="BK71" s="703"/>
      <c r="BL71" s="726"/>
    </row>
    <row r="72" spans="2:64" ht="18" customHeight="1" thickTop="1">
      <c r="B72" s="1289" t="s">
        <v>716</v>
      </c>
      <c r="C72" s="1292" t="s">
        <v>878</v>
      </c>
      <c r="D72" s="650" t="s">
        <v>856</v>
      </c>
      <c r="E72" s="701">
        <v>83166</v>
      </c>
      <c r="F72" s="701">
        <v>0</v>
      </c>
      <c r="G72" s="701">
        <v>0</v>
      </c>
      <c r="H72" s="923">
        <v>86561</v>
      </c>
      <c r="I72" s="923">
        <v>0</v>
      </c>
      <c r="J72" s="923">
        <v>0</v>
      </c>
      <c r="K72" s="701">
        <v>98841</v>
      </c>
      <c r="L72" s="701">
        <v>0</v>
      </c>
      <c r="M72" s="701">
        <v>0</v>
      </c>
      <c r="N72" s="923">
        <v>100838</v>
      </c>
      <c r="O72" s="923">
        <v>0</v>
      </c>
      <c r="P72" s="935">
        <v>0</v>
      </c>
      <c r="Q72" s="708">
        <v>89689</v>
      </c>
      <c r="R72" s="701">
        <v>0</v>
      </c>
      <c r="S72" s="701">
        <v>0</v>
      </c>
      <c r="T72" s="923">
        <v>108201</v>
      </c>
      <c r="U72" s="923">
        <v>0</v>
      </c>
      <c r="V72" s="923">
        <v>0</v>
      </c>
      <c r="W72" s="701">
        <v>121846</v>
      </c>
      <c r="X72" s="701">
        <v>0</v>
      </c>
      <c r="Y72" s="701">
        <v>0</v>
      </c>
      <c r="Z72" s="923">
        <v>128679</v>
      </c>
      <c r="AA72" s="923">
        <v>0</v>
      </c>
      <c r="AB72" s="947">
        <v>0</v>
      </c>
      <c r="AC72" s="705">
        <v>122351</v>
      </c>
      <c r="AD72" s="701">
        <v>0</v>
      </c>
      <c r="AE72" s="701">
        <v>0</v>
      </c>
      <c r="AF72" s="923">
        <v>137532</v>
      </c>
      <c r="AG72" s="923">
        <v>0</v>
      </c>
      <c r="AH72" s="923">
        <v>0</v>
      </c>
      <c r="AI72" s="701">
        <v>130020</v>
      </c>
      <c r="AJ72" s="701">
        <v>0</v>
      </c>
      <c r="AK72" s="731">
        <v>0</v>
      </c>
      <c r="AL72" s="958">
        <v>136080</v>
      </c>
      <c r="AM72" s="923">
        <v>0</v>
      </c>
      <c r="AN72" s="966">
        <v>0</v>
      </c>
      <c r="AO72" s="696"/>
      <c r="AP72" s="701"/>
      <c r="AQ72" s="723"/>
      <c r="AR72" s="696"/>
      <c r="AS72" s="701"/>
      <c r="AT72" s="723"/>
      <c r="AU72" s="696"/>
      <c r="AV72" s="701"/>
      <c r="AW72" s="723"/>
      <c r="AX72" s="696"/>
      <c r="AY72" s="701"/>
      <c r="AZ72" s="723"/>
      <c r="BA72" s="696"/>
      <c r="BB72" s="701"/>
      <c r="BC72" s="723"/>
      <c r="BD72" s="696"/>
      <c r="BE72" s="701"/>
      <c r="BF72" s="723"/>
      <c r="BG72" s="696"/>
      <c r="BH72" s="701"/>
      <c r="BI72" s="723"/>
      <c r="BJ72" s="696"/>
      <c r="BK72" s="701"/>
      <c r="BL72" s="723"/>
    </row>
    <row r="73" spans="2:64">
      <c r="B73" s="1290"/>
      <c r="C73" s="1293"/>
      <c r="D73" s="647" t="s">
        <v>857</v>
      </c>
      <c r="E73" s="652">
        <v>243800</v>
      </c>
      <c r="F73" s="652">
        <v>0</v>
      </c>
      <c r="G73" s="652">
        <v>0</v>
      </c>
      <c r="H73" s="910">
        <v>249100</v>
      </c>
      <c r="I73" s="910">
        <v>0</v>
      </c>
      <c r="J73" s="910">
        <v>0</v>
      </c>
      <c r="K73" s="652">
        <v>251750</v>
      </c>
      <c r="L73" s="652">
        <v>0</v>
      </c>
      <c r="M73" s="652">
        <v>0</v>
      </c>
      <c r="N73" s="910">
        <v>254400</v>
      </c>
      <c r="O73" s="910">
        <v>0</v>
      </c>
      <c r="P73" s="931">
        <v>0</v>
      </c>
      <c r="Q73" s="684">
        <v>278250</v>
      </c>
      <c r="R73" s="652">
        <v>0</v>
      </c>
      <c r="S73" s="652">
        <v>0</v>
      </c>
      <c r="T73" s="910">
        <v>280900</v>
      </c>
      <c r="U73" s="910">
        <v>0</v>
      </c>
      <c r="V73" s="910">
        <v>0</v>
      </c>
      <c r="W73" s="652">
        <v>286200</v>
      </c>
      <c r="X73" s="652">
        <v>0</v>
      </c>
      <c r="Y73" s="652">
        <v>0</v>
      </c>
      <c r="Z73" s="910">
        <v>312700</v>
      </c>
      <c r="AA73" s="910">
        <v>0</v>
      </c>
      <c r="AB73" s="943">
        <v>0</v>
      </c>
      <c r="AC73" s="661">
        <v>318000</v>
      </c>
      <c r="AD73" s="652">
        <v>0</v>
      </c>
      <c r="AE73" s="652">
        <v>0</v>
      </c>
      <c r="AF73" s="910">
        <v>323300</v>
      </c>
      <c r="AG73" s="910">
        <v>0</v>
      </c>
      <c r="AH73" s="910">
        <v>0</v>
      </c>
      <c r="AI73" s="652">
        <v>360000</v>
      </c>
      <c r="AJ73" s="652">
        <v>0</v>
      </c>
      <c r="AK73" s="656">
        <v>0</v>
      </c>
      <c r="AL73" s="972">
        <v>361523</v>
      </c>
      <c r="AM73" s="910">
        <v>0</v>
      </c>
      <c r="AN73" s="960">
        <v>0</v>
      </c>
      <c r="AO73" s="659"/>
      <c r="AP73" s="652"/>
      <c r="AQ73" s="660"/>
      <c r="AR73" s="659"/>
      <c r="AS73" s="652"/>
      <c r="AT73" s="660"/>
      <c r="AU73" s="659"/>
      <c r="AV73" s="652"/>
      <c r="AW73" s="660"/>
      <c r="AX73" s="659"/>
      <c r="AY73" s="652"/>
      <c r="AZ73" s="660"/>
      <c r="BA73" s="659"/>
      <c r="BB73" s="652"/>
      <c r="BC73" s="660"/>
      <c r="BD73" s="659"/>
      <c r="BE73" s="652"/>
      <c r="BF73" s="660"/>
      <c r="BG73" s="659"/>
      <c r="BH73" s="652"/>
      <c r="BI73" s="660"/>
      <c r="BJ73" s="659"/>
      <c r="BK73" s="652"/>
      <c r="BL73" s="660"/>
    </row>
    <row r="74" spans="2:64">
      <c r="B74" s="1290"/>
      <c r="C74" s="1293"/>
      <c r="D74" s="647" t="s">
        <v>858</v>
      </c>
      <c r="E74" s="652">
        <v>6</v>
      </c>
      <c r="F74" s="652">
        <v>0</v>
      </c>
      <c r="G74" s="652">
        <v>0</v>
      </c>
      <c r="H74" s="910">
        <v>6</v>
      </c>
      <c r="I74" s="910">
        <v>0</v>
      </c>
      <c r="J74" s="910">
        <v>0</v>
      </c>
      <c r="K74" s="652">
        <v>6</v>
      </c>
      <c r="L74" s="652">
        <v>0</v>
      </c>
      <c r="M74" s="652">
        <v>0</v>
      </c>
      <c r="N74" s="910">
        <v>6</v>
      </c>
      <c r="O74" s="910">
        <v>0</v>
      </c>
      <c r="P74" s="931">
        <v>0</v>
      </c>
      <c r="Q74" s="684">
        <v>6</v>
      </c>
      <c r="R74" s="652">
        <v>0</v>
      </c>
      <c r="S74" s="652">
        <v>0</v>
      </c>
      <c r="T74" s="910">
        <v>6</v>
      </c>
      <c r="U74" s="910">
        <v>0</v>
      </c>
      <c r="V74" s="910">
        <v>0</v>
      </c>
      <c r="W74" s="652">
        <v>6</v>
      </c>
      <c r="X74" s="652">
        <v>0</v>
      </c>
      <c r="Y74" s="652">
        <v>0</v>
      </c>
      <c r="Z74" s="910">
        <v>6</v>
      </c>
      <c r="AA74" s="910">
        <v>0</v>
      </c>
      <c r="AB74" s="943">
        <v>0</v>
      </c>
      <c r="AC74" s="661">
        <v>6</v>
      </c>
      <c r="AD74" s="652">
        <v>0</v>
      </c>
      <c r="AE74" s="652">
        <v>0</v>
      </c>
      <c r="AF74" s="910">
        <v>6</v>
      </c>
      <c r="AG74" s="910">
        <v>0</v>
      </c>
      <c r="AH74" s="910">
        <v>0</v>
      </c>
      <c r="AI74" s="652">
        <v>6</v>
      </c>
      <c r="AJ74" s="652">
        <v>0</v>
      </c>
      <c r="AK74" s="656">
        <v>0</v>
      </c>
      <c r="AL74" s="956">
        <v>6</v>
      </c>
      <c r="AM74" s="910">
        <v>0</v>
      </c>
      <c r="AN74" s="960">
        <v>0</v>
      </c>
      <c r="AO74" s="659"/>
      <c r="AP74" s="652"/>
      <c r="AQ74" s="660"/>
      <c r="AR74" s="659"/>
      <c r="AS74" s="652"/>
      <c r="AT74" s="660"/>
      <c r="AU74" s="659"/>
      <c r="AV74" s="652"/>
      <c r="AW74" s="660"/>
      <c r="AX74" s="659"/>
      <c r="AY74" s="652"/>
      <c r="AZ74" s="660"/>
      <c r="BA74" s="659"/>
      <c r="BB74" s="652"/>
      <c r="BC74" s="660"/>
      <c r="BD74" s="659"/>
      <c r="BE74" s="652"/>
      <c r="BF74" s="660"/>
      <c r="BG74" s="659"/>
      <c r="BH74" s="652"/>
      <c r="BI74" s="660"/>
      <c r="BJ74" s="659"/>
      <c r="BK74" s="652"/>
      <c r="BL74" s="660"/>
    </row>
    <row r="75" spans="2:64" ht="17" thickBot="1">
      <c r="B75" s="1291"/>
      <c r="C75" s="1294"/>
      <c r="D75" s="651" t="s">
        <v>1059</v>
      </c>
      <c r="E75" s="703">
        <v>7</v>
      </c>
      <c r="F75" s="703">
        <v>0</v>
      </c>
      <c r="G75" s="703">
        <v>0</v>
      </c>
      <c r="H75" s="924">
        <v>7</v>
      </c>
      <c r="I75" s="924">
        <v>0</v>
      </c>
      <c r="J75" s="924">
        <v>0</v>
      </c>
      <c r="K75" s="703">
        <v>7</v>
      </c>
      <c r="L75" s="703">
        <v>0</v>
      </c>
      <c r="M75" s="703">
        <v>0</v>
      </c>
      <c r="N75" s="924">
        <v>6</v>
      </c>
      <c r="O75" s="924">
        <v>0</v>
      </c>
      <c r="P75" s="936">
        <v>0</v>
      </c>
      <c r="Q75" s="709">
        <v>6</v>
      </c>
      <c r="R75" s="703">
        <v>0</v>
      </c>
      <c r="S75" s="703">
        <v>0</v>
      </c>
      <c r="T75" s="924">
        <v>6</v>
      </c>
      <c r="U75" s="924">
        <v>0</v>
      </c>
      <c r="V75" s="924">
        <v>0</v>
      </c>
      <c r="W75" s="703">
        <v>5</v>
      </c>
      <c r="X75" s="703">
        <v>0</v>
      </c>
      <c r="Y75" s="703">
        <v>0</v>
      </c>
      <c r="Z75" s="924">
        <v>5</v>
      </c>
      <c r="AA75" s="924">
        <v>0</v>
      </c>
      <c r="AB75" s="948">
        <v>0</v>
      </c>
      <c r="AC75" s="750">
        <v>5</v>
      </c>
      <c r="AD75" s="703">
        <v>0</v>
      </c>
      <c r="AE75" s="703">
        <v>0</v>
      </c>
      <c r="AF75" s="924">
        <v>4</v>
      </c>
      <c r="AG75" s="924">
        <v>0</v>
      </c>
      <c r="AH75" s="924">
        <v>0</v>
      </c>
      <c r="AI75" s="703">
        <v>4</v>
      </c>
      <c r="AJ75" s="703">
        <v>0</v>
      </c>
      <c r="AK75" s="734">
        <v>0</v>
      </c>
      <c r="AL75" s="970">
        <v>4</v>
      </c>
      <c r="AM75" s="924">
        <v>0</v>
      </c>
      <c r="AN75" s="971">
        <v>0</v>
      </c>
      <c r="AO75" s="699"/>
      <c r="AP75" s="703"/>
      <c r="AQ75" s="726"/>
      <c r="AR75" s="699"/>
      <c r="AS75" s="703"/>
      <c r="AT75" s="726"/>
      <c r="AU75" s="699"/>
      <c r="AV75" s="703"/>
      <c r="AW75" s="726"/>
      <c r="AX75" s="699"/>
      <c r="AY75" s="703"/>
      <c r="AZ75" s="726"/>
      <c r="BA75" s="699"/>
      <c r="BB75" s="703"/>
      <c r="BC75" s="726"/>
      <c r="BD75" s="699"/>
      <c r="BE75" s="703"/>
      <c r="BF75" s="726"/>
      <c r="BG75" s="699"/>
      <c r="BH75" s="703"/>
      <c r="BI75" s="726"/>
      <c r="BJ75" s="699"/>
      <c r="BK75" s="703"/>
      <c r="BL75" s="726"/>
    </row>
    <row r="76" spans="2:64" ht="17" thickTop="1">
      <c r="B76" s="1290" t="s">
        <v>1050</v>
      </c>
      <c r="C76" s="1295" t="s">
        <v>1083</v>
      </c>
      <c r="D76" s="1067" t="s">
        <v>1087</v>
      </c>
      <c r="E76" s="736">
        <v>1</v>
      </c>
      <c r="F76" s="712"/>
      <c r="G76" s="712"/>
      <c r="H76" s="915">
        <v>1</v>
      </c>
      <c r="I76" s="911"/>
      <c r="J76" s="911"/>
      <c r="K76" s="736">
        <v>1</v>
      </c>
      <c r="L76" s="712"/>
      <c r="M76" s="712"/>
      <c r="N76" s="915">
        <v>2</v>
      </c>
      <c r="O76" s="911"/>
      <c r="P76" s="927"/>
      <c r="Q76" s="743">
        <v>2</v>
      </c>
      <c r="R76" s="712"/>
      <c r="S76" s="712"/>
      <c r="T76" s="915">
        <v>2</v>
      </c>
      <c r="U76" s="911"/>
      <c r="V76" s="911"/>
      <c r="W76" s="736">
        <v>2</v>
      </c>
      <c r="X76" s="712"/>
      <c r="Y76" s="712"/>
      <c r="Z76" s="915">
        <v>2</v>
      </c>
      <c r="AA76" s="911"/>
      <c r="AB76" s="939"/>
      <c r="AC76" s="661">
        <v>2</v>
      </c>
      <c r="AD76" s="712"/>
      <c r="AE76" s="712"/>
      <c r="AF76" s="910">
        <v>3</v>
      </c>
      <c r="AG76" s="911"/>
      <c r="AH76" s="911"/>
      <c r="AI76" s="652">
        <v>3</v>
      </c>
      <c r="AJ76" s="712"/>
      <c r="AK76" s="728"/>
      <c r="AL76" s="956">
        <v>4</v>
      </c>
      <c r="AM76" s="911"/>
      <c r="AN76" s="957"/>
      <c r="AO76" s="659"/>
      <c r="AP76" s="712"/>
      <c r="AQ76" s="719"/>
      <c r="AR76" s="659"/>
      <c r="AS76" s="712"/>
      <c r="AT76" s="719"/>
      <c r="AU76" s="659"/>
      <c r="AV76" s="712"/>
      <c r="AW76" s="719"/>
      <c r="AX76" s="659"/>
      <c r="AY76" s="712"/>
      <c r="AZ76" s="719"/>
      <c r="BA76" s="659"/>
      <c r="BB76" s="712"/>
      <c r="BC76" s="719"/>
      <c r="BD76" s="659"/>
      <c r="BE76" s="712"/>
      <c r="BF76" s="719"/>
      <c r="BG76" s="659"/>
      <c r="BH76" s="712"/>
      <c r="BI76" s="719"/>
      <c r="BJ76" s="659"/>
      <c r="BK76" s="712"/>
      <c r="BL76" s="719"/>
    </row>
    <row r="77" spans="2:64">
      <c r="B77" s="1290"/>
      <c r="C77" s="1276"/>
      <c r="D77" s="648" t="s">
        <v>1061</v>
      </c>
      <c r="E77" s="736">
        <v>7</v>
      </c>
      <c r="F77" s="712"/>
      <c r="G77" s="712"/>
      <c r="H77" s="915">
        <v>7</v>
      </c>
      <c r="I77" s="911"/>
      <c r="J77" s="911"/>
      <c r="K77" s="736">
        <v>7</v>
      </c>
      <c r="L77" s="712"/>
      <c r="M77" s="712"/>
      <c r="N77" s="915">
        <v>6</v>
      </c>
      <c r="O77" s="911"/>
      <c r="P77" s="927"/>
      <c r="Q77" s="743">
        <v>6</v>
      </c>
      <c r="R77" s="712"/>
      <c r="S77" s="712"/>
      <c r="T77" s="915">
        <v>5</v>
      </c>
      <c r="U77" s="911"/>
      <c r="V77" s="911"/>
      <c r="W77" s="736">
        <v>5</v>
      </c>
      <c r="X77" s="712"/>
      <c r="Y77" s="712"/>
      <c r="Z77" s="915">
        <v>5</v>
      </c>
      <c r="AA77" s="911"/>
      <c r="AB77" s="939"/>
      <c r="AC77" s="661">
        <v>5</v>
      </c>
      <c r="AD77" s="712"/>
      <c r="AE77" s="712"/>
      <c r="AF77" s="910">
        <v>5</v>
      </c>
      <c r="AG77" s="911"/>
      <c r="AH77" s="911"/>
      <c r="AI77" s="652">
        <v>4</v>
      </c>
      <c r="AJ77" s="712"/>
      <c r="AK77" s="728"/>
      <c r="AL77" s="956">
        <v>4</v>
      </c>
      <c r="AM77" s="911"/>
      <c r="AN77" s="957"/>
      <c r="AO77" s="659"/>
      <c r="AP77" s="712"/>
      <c r="AQ77" s="719"/>
      <c r="AR77" s="659"/>
      <c r="AS77" s="712"/>
      <c r="AT77" s="719"/>
      <c r="AU77" s="659"/>
      <c r="AV77" s="712"/>
      <c r="AW77" s="719"/>
      <c r="AX77" s="659"/>
      <c r="AY77" s="712"/>
      <c r="AZ77" s="719"/>
      <c r="BA77" s="659"/>
      <c r="BB77" s="712"/>
      <c r="BC77" s="719"/>
      <c r="BD77" s="659"/>
      <c r="BE77" s="712"/>
      <c r="BF77" s="719"/>
      <c r="BG77" s="659"/>
      <c r="BH77" s="712"/>
      <c r="BI77" s="719"/>
      <c r="BJ77" s="659"/>
      <c r="BK77" s="712"/>
      <c r="BL77" s="719"/>
    </row>
    <row r="78" spans="2:64" s="1222" customFormat="1">
      <c r="B78" s="1290"/>
      <c r="C78" s="1296" t="s">
        <v>1084</v>
      </c>
      <c r="D78" s="1103" t="s">
        <v>1086</v>
      </c>
      <c r="E78" s="1227">
        <v>20</v>
      </c>
      <c r="F78" s="1227">
        <f t="shared" ref="F78:AN78" si="3">F39</f>
        <v>0</v>
      </c>
      <c r="G78" s="1227">
        <f t="shared" si="3"/>
        <v>0</v>
      </c>
      <c r="H78" s="1227">
        <v>25</v>
      </c>
      <c r="I78" s="1227">
        <f t="shared" si="3"/>
        <v>0</v>
      </c>
      <c r="J78" s="1227">
        <f t="shared" si="3"/>
        <v>0</v>
      </c>
      <c r="K78" s="1227">
        <v>30</v>
      </c>
      <c r="L78" s="1227">
        <f t="shared" si="3"/>
        <v>0</v>
      </c>
      <c r="M78" s="1227">
        <f t="shared" si="3"/>
        <v>0</v>
      </c>
      <c r="N78" s="1227">
        <v>32</v>
      </c>
      <c r="O78" s="1227">
        <f t="shared" si="3"/>
        <v>0</v>
      </c>
      <c r="P78" s="1227">
        <f t="shared" si="3"/>
        <v>0</v>
      </c>
      <c r="Q78" s="1227">
        <v>40</v>
      </c>
      <c r="R78" s="1227">
        <f t="shared" si="3"/>
        <v>0</v>
      </c>
      <c r="S78" s="1227">
        <f t="shared" si="3"/>
        <v>0</v>
      </c>
      <c r="T78" s="1227">
        <v>44</v>
      </c>
      <c r="U78" s="1227">
        <f t="shared" si="3"/>
        <v>0</v>
      </c>
      <c r="V78" s="1227">
        <f t="shared" si="3"/>
        <v>0</v>
      </c>
      <c r="W78" s="1227">
        <v>50</v>
      </c>
      <c r="X78" s="1227">
        <f t="shared" si="3"/>
        <v>0</v>
      </c>
      <c r="Y78" s="1227">
        <f t="shared" si="3"/>
        <v>0</v>
      </c>
      <c r="Z78" s="1227">
        <v>55</v>
      </c>
      <c r="AA78" s="1227">
        <f t="shared" si="3"/>
        <v>0</v>
      </c>
      <c r="AB78" s="1227">
        <f t="shared" si="3"/>
        <v>0</v>
      </c>
      <c r="AC78" s="1227">
        <v>62</v>
      </c>
      <c r="AD78" s="1227">
        <f t="shared" si="3"/>
        <v>0</v>
      </c>
      <c r="AE78" s="1227">
        <f t="shared" si="3"/>
        <v>0</v>
      </c>
      <c r="AF78" s="1227">
        <v>65</v>
      </c>
      <c r="AG78" s="1227">
        <f t="shared" si="3"/>
        <v>0</v>
      </c>
      <c r="AH78" s="1227">
        <f t="shared" si="3"/>
        <v>0</v>
      </c>
      <c r="AI78" s="1227">
        <v>70</v>
      </c>
      <c r="AJ78" s="1227">
        <f t="shared" si="3"/>
        <v>0</v>
      </c>
      <c r="AK78" s="1227">
        <f t="shared" si="3"/>
        <v>0</v>
      </c>
      <c r="AL78" s="1227">
        <v>73</v>
      </c>
      <c r="AM78" s="1227">
        <f t="shared" si="3"/>
        <v>0</v>
      </c>
      <c r="AN78" s="1227">
        <f t="shared" si="3"/>
        <v>0</v>
      </c>
      <c r="AO78" s="1228"/>
      <c r="AP78" s="1229"/>
      <c r="AQ78" s="1230"/>
      <c r="AR78" s="1228"/>
      <c r="AS78" s="1229"/>
      <c r="AT78" s="1230"/>
      <c r="AU78" s="1228"/>
      <c r="AV78" s="1229"/>
      <c r="AW78" s="1230"/>
      <c r="AX78" s="1228"/>
      <c r="AY78" s="1229"/>
      <c r="AZ78" s="1230"/>
      <c r="BA78" s="1228"/>
      <c r="BB78" s="1229"/>
      <c r="BC78" s="1230"/>
      <c r="BD78" s="1228"/>
      <c r="BE78" s="1229"/>
      <c r="BF78" s="1230"/>
      <c r="BG78" s="1228"/>
      <c r="BH78" s="1229"/>
      <c r="BI78" s="1230"/>
      <c r="BJ78" s="1228"/>
      <c r="BK78" s="1229"/>
      <c r="BL78" s="1230"/>
    </row>
    <row r="79" spans="2:64" s="1222" customFormat="1" ht="17" thickBot="1">
      <c r="B79" s="1290"/>
      <c r="C79" s="1297"/>
      <c r="D79" s="1103" t="s">
        <v>1071</v>
      </c>
      <c r="E79" s="1231">
        <v>7</v>
      </c>
      <c r="F79" s="1231">
        <v>0</v>
      </c>
      <c r="G79" s="1231">
        <v>0</v>
      </c>
      <c r="H79" s="1231">
        <v>6</v>
      </c>
      <c r="I79" s="1231">
        <v>0</v>
      </c>
      <c r="J79" s="1231">
        <v>0</v>
      </c>
      <c r="K79" s="1231">
        <v>6</v>
      </c>
      <c r="L79" s="1231">
        <v>0</v>
      </c>
      <c r="M79" s="1231">
        <v>0</v>
      </c>
      <c r="N79" s="1231">
        <v>5</v>
      </c>
      <c r="O79" s="1231">
        <v>0</v>
      </c>
      <c r="P79" s="1232">
        <v>0</v>
      </c>
      <c r="Q79" s="1233">
        <v>5</v>
      </c>
      <c r="R79" s="1231">
        <v>0</v>
      </c>
      <c r="S79" s="1231">
        <v>0</v>
      </c>
      <c r="T79" s="1231">
        <v>5</v>
      </c>
      <c r="U79" s="1231">
        <v>0</v>
      </c>
      <c r="V79" s="1231">
        <v>0</v>
      </c>
      <c r="W79" s="1231">
        <v>5</v>
      </c>
      <c r="X79" s="1231">
        <v>0</v>
      </c>
      <c r="Y79" s="1231">
        <v>0</v>
      </c>
      <c r="Z79" s="1231">
        <v>5</v>
      </c>
      <c r="AA79" s="1231">
        <v>0</v>
      </c>
      <c r="AB79" s="1234">
        <v>0</v>
      </c>
      <c r="AC79" s="1235">
        <v>5</v>
      </c>
      <c r="AD79" s="1231">
        <v>0</v>
      </c>
      <c r="AE79" s="1231">
        <v>0</v>
      </c>
      <c r="AF79" s="1231">
        <v>4</v>
      </c>
      <c r="AG79" s="1231">
        <v>0</v>
      </c>
      <c r="AH79" s="1231">
        <v>0</v>
      </c>
      <c r="AI79" s="1231">
        <v>4</v>
      </c>
      <c r="AJ79" s="1231">
        <v>0</v>
      </c>
      <c r="AK79" s="1232">
        <v>0</v>
      </c>
      <c r="AL79" s="1228">
        <v>4</v>
      </c>
      <c r="AM79" s="1231">
        <v>0</v>
      </c>
      <c r="AN79" s="1236">
        <v>0</v>
      </c>
      <c r="AO79" s="1228"/>
      <c r="AP79" s="1229"/>
      <c r="AQ79" s="1230"/>
      <c r="AR79" s="1228"/>
      <c r="AS79" s="1229"/>
      <c r="AT79" s="1230"/>
      <c r="AU79" s="1228"/>
      <c r="AV79" s="1229"/>
      <c r="AW79" s="1230"/>
      <c r="AX79" s="1228"/>
      <c r="AY79" s="1229"/>
      <c r="AZ79" s="1230"/>
      <c r="BA79" s="1228"/>
      <c r="BB79" s="1229"/>
      <c r="BC79" s="1230"/>
      <c r="BD79" s="1228"/>
      <c r="BE79" s="1229"/>
      <c r="BF79" s="1230"/>
      <c r="BG79" s="1228"/>
      <c r="BH79" s="1229"/>
      <c r="BI79" s="1230"/>
      <c r="BJ79" s="1228"/>
      <c r="BK79" s="1229"/>
      <c r="BL79" s="1230"/>
    </row>
    <row r="80" spans="2:64" ht="17" thickTop="1">
      <c r="B80" s="1279" t="s">
        <v>684</v>
      </c>
      <c r="C80" s="683" t="s">
        <v>717</v>
      </c>
      <c r="D80" s="650" t="s">
        <v>859</v>
      </c>
      <c r="E80" s="701">
        <v>104</v>
      </c>
      <c r="F80" s="701">
        <v>56</v>
      </c>
      <c r="G80" s="701">
        <v>55</v>
      </c>
      <c r="H80" s="923">
        <v>122</v>
      </c>
      <c r="I80" s="923">
        <v>60</v>
      </c>
      <c r="J80" s="923">
        <v>58</v>
      </c>
      <c r="K80" s="701">
        <v>128</v>
      </c>
      <c r="L80" s="701">
        <v>65</v>
      </c>
      <c r="M80" s="701">
        <v>63</v>
      </c>
      <c r="N80" s="923">
        <v>145</v>
      </c>
      <c r="O80" s="923">
        <v>73</v>
      </c>
      <c r="P80" s="935">
        <v>74</v>
      </c>
      <c r="Q80" s="708">
        <v>168</v>
      </c>
      <c r="R80" s="701">
        <v>85</v>
      </c>
      <c r="S80" s="701">
        <v>84</v>
      </c>
      <c r="T80" s="923">
        <v>181</v>
      </c>
      <c r="U80" s="923">
        <v>94</v>
      </c>
      <c r="V80" s="923">
        <v>96</v>
      </c>
      <c r="W80" s="701">
        <v>193</v>
      </c>
      <c r="X80" s="701">
        <v>107</v>
      </c>
      <c r="Y80" s="701">
        <v>112</v>
      </c>
      <c r="Z80" s="923">
        <v>209</v>
      </c>
      <c r="AA80" s="923">
        <v>118</v>
      </c>
      <c r="AB80" s="947">
        <v>123</v>
      </c>
      <c r="AC80" s="705">
        <v>224</v>
      </c>
      <c r="AD80" s="701">
        <v>118</v>
      </c>
      <c r="AE80" s="701">
        <v>126</v>
      </c>
      <c r="AF80" s="923">
        <v>233</v>
      </c>
      <c r="AG80" s="923">
        <v>122</v>
      </c>
      <c r="AH80" s="923">
        <v>131</v>
      </c>
      <c r="AI80" s="701">
        <v>243</v>
      </c>
      <c r="AJ80" s="701">
        <v>126</v>
      </c>
      <c r="AK80" s="731">
        <v>128</v>
      </c>
      <c r="AL80" s="958">
        <v>250</v>
      </c>
      <c r="AM80" s="923">
        <v>130</v>
      </c>
      <c r="AN80" s="966">
        <v>130</v>
      </c>
      <c r="AO80" s="696"/>
      <c r="AP80" s="701"/>
      <c r="AQ80" s="723"/>
      <c r="AR80" s="696"/>
      <c r="AS80" s="701"/>
      <c r="AT80" s="723"/>
      <c r="AU80" s="696"/>
      <c r="AV80" s="701"/>
      <c r="AW80" s="723"/>
      <c r="AX80" s="696"/>
      <c r="AY80" s="701"/>
      <c r="AZ80" s="723"/>
      <c r="BA80" s="696"/>
      <c r="BB80" s="701"/>
      <c r="BC80" s="723"/>
      <c r="BD80" s="696"/>
      <c r="BE80" s="701"/>
      <c r="BF80" s="723"/>
      <c r="BG80" s="696"/>
      <c r="BH80" s="701"/>
      <c r="BI80" s="723"/>
      <c r="BJ80" s="696"/>
      <c r="BK80" s="701"/>
      <c r="BL80" s="723"/>
    </row>
    <row r="81" spans="2:64">
      <c r="B81" s="1275"/>
      <c r="C81" s="1277" t="s">
        <v>718</v>
      </c>
      <c r="D81" s="647" t="s">
        <v>860</v>
      </c>
      <c r="E81" s="652">
        <v>7</v>
      </c>
      <c r="F81" s="652">
        <v>0</v>
      </c>
      <c r="G81" s="652">
        <v>0</v>
      </c>
      <c r="H81" s="910">
        <v>6</v>
      </c>
      <c r="I81" s="910">
        <v>0</v>
      </c>
      <c r="J81" s="910">
        <v>0</v>
      </c>
      <c r="K81" s="652">
        <v>6</v>
      </c>
      <c r="L81" s="652">
        <v>0</v>
      </c>
      <c r="M81" s="652">
        <v>0</v>
      </c>
      <c r="N81" s="910">
        <v>5</v>
      </c>
      <c r="O81" s="910">
        <v>0</v>
      </c>
      <c r="P81" s="931">
        <v>0</v>
      </c>
      <c r="Q81" s="684">
        <v>5</v>
      </c>
      <c r="R81" s="652">
        <v>0</v>
      </c>
      <c r="S81" s="652">
        <v>0</v>
      </c>
      <c r="T81" s="910">
        <v>5</v>
      </c>
      <c r="U81" s="910">
        <v>0</v>
      </c>
      <c r="V81" s="910">
        <v>0</v>
      </c>
      <c r="W81" s="652">
        <v>5</v>
      </c>
      <c r="X81" s="652">
        <v>0</v>
      </c>
      <c r="Y81" s="652">
        <v>0</v>
      </c>
      <c r="Z81" s="910">
        <v>5</v>
      </c>
      <c r="AA81" s="910">
        <v>0</v>
      </c>
      <c r="AB81" s="943">
        <v>0</v>
      </c>
      <c r="AC81" s="661">
        <v>5</v>
      </c>
      <c r="AD81" s="652">
        <v>0</v>
      </c>
      <c r="AE81" s="652">
        <v>0</v>
      </c>
      <c r="AF81" s="910">
        <v>4</v>
      </c>
      <c r="AG81" s="910">
        <v>0</v>
      </c>
      <c r="AH81" s="910">
        <v>0</v>
      </c>
      <c r="AI81" s="652">
        <v>4</v>
      </c>
      <c r="AJ81" s="652">
        <v>0</v>
      </c>
      <c r="AK81" s="656">
        <v>0</v>
      </c>
      <c r="AL81" s="956">
        <v>4</v>
      </c>
      <c r="AM81" s="910">
        <v>0</v>
      </c>
      <c r="AN81" s="960">
        <v>0</v>
      </c>
      <c r="AO81" s="659"/>
      <c r="AP81" s="652"/>
      <c r="AQ81" s="660"/>
      <c r="AR81" s="659"/>
      <c r="AS81" s="652"/>
      <c r="AT81" s="660"/>
      <c r="AU81" s="659"/>
      <c r="AV81" s="652"/>
      <c r="AW81" s="660"/>
      <c r="AX81" s="659"/>
      <c r="AY81" s="652"/>
      <c r="AZ81" s="660"/>
      <c r="BA81" s="659"/>
      <c r="BB81" s="652"/>
      <c r="BC81" s="660"/>
      <c r="BD81" s="659"/>
      <c r="BE81" s="652"/>
      <c r="BF81" s="660"/>
      <c r="BG81" s="659"/>
      <c r="BH81" s="652"/>
      <c r="BI81" s="660"/>
      <c r="BJ81" s="659"/>
      <c r="BK81" s="652"/>
      <c r="BL81" s="660"/>
    </row>
    <row r="82" spans="2:64">
      <c r="B82" s="1275"/>
      <c r="C82" s="1277"/>
      <c r="D82" s="647" t="s">
        <v>861</v>
      </c>
      <c r="E82" s="652">
        <v>7</v>
      </c>
      <c r="F82" s="652">
        <v>0</v>
      </c>
      <c r="G82" s="652">
        <v>0</v>
      </c>
      <c r="H82" s="910">
        <v>7</v>
      </c>
      <c r="I82" s="910">
        <v>0</v>
      </c>
      <c r="J82" s="910">
        <v>0</v>
      </c>
      <c r="K82" s="652">
        <v>6</v>
      </c>
      <c r="L82" s="652">
        <v>0</v>
      </c>
      <c r="M82" s="652">
        <v>0</v>
      </c>
      <c r="N82" s="910">
        <v>6</v>
      </c>
      <c r="O82" s="910">
        <v>0</v>
      </c>
      <c r="P82" s="931">
        <v>0</v>
      </c>
      <c r="Q82" s="684">
        <v>6</v>
      </c>
      <c r="R82" s="652">
        <v>0</v>
      </c>
      <c r="S82" s="652">
        <v>0</v>
      </c>
      <c r="T82" s="910">
        <v>6</v>
      </c>
      <c r="U82" s="910">
        <v>0</v>
      </c>
      <c r="V82" s="910">
        <v>0</v>
      </c>
      <c r="W82" s="652">
        <v>5</v>
      </c>
      <c r="X82" s="652">
        <v>0</v>
      </c>
      <c r="Y82" s="652">
        <v>0</v>
      </c>
      <c r="Z82" s="910">
        <v>5</v>
      </c>
      <c r="AA82" s="910">
        <v>0</v>
      </c>
      <c r="AB82" s="943">
        <v>0</v>
      </c>
      <c r="AC82" s="661">
        <v>5</v>
      </c>
      <c r="AD82" s="652">
        <v>0</v>
      </c>
      <c r="AE82" s="652">
        <v>0</v>
      </c>
      <c r="AF82" s="910">
        <v>4</v>
      </c>
      <c r="AG82" s="910">
        <v>0</v>
      </c>
      <c r="AH82" s="910">
        <v>0</v>
      </c>
      <c r="AI82" s="652">
        <v>4</v>
      </c>
      <c r="AJ82" s="652">
        <v>0</v>
      </c>
      <c r="AK82" s="656">
        <v>0</v>
      </c>
      <c r="AL82" s="956">
        <v>4</v>
      </c>
      <c r="AM82" s="910">
        <v>0</v>
      </c>
      <c r="AN82" s="960">
        <v>0</v>
      </c>
      <c r="AO82" s="659"/>
      <c r="AP82" s="652"/>
      <c r="AQ82" s="660"/>
      <c r="AR82" s="659"/>
      <c r="AS82" s="652"/>
      <c r="AT82" s="660"/>
      <c r="AU82" s="659"/>
      <c r="AV82" s="652"/>
      <c r="AW82" s="660"/>
      <c r="AX82" s="659"/>
      <c r="AY82" s="652"/>
      <c r="AZ82" s="660"/>
      <c r="BA82" s="659"/>
      <c r="BB82" s="652"/>
      <c r="BC82" s="660"/>
      <c r="BD82" s="659"/>
      <c r="BE82" s="652"/>
      <c r="BF82" s="660"/>
      <c r="BG82" s="659"/>
      <c r="BH82" s="652"/>
      <c r="BI82" s="660"/>
      <c r="BJ82" s="659"/>
      <c r="BK82" s="652"/>
      <c r="BL82" s="660"/>
    </row>
    <row r="83" spans="2:64">
      <c r="B83" s="1275"/>
      <c r="C83" s="1287" t="s">
        <v>719</v>
      </c>
      <c r="D83" s="647" t="s">
        <v>862</v>
      </c>
      <c r="E83" s="652">
        <v>7</v>
      </c>
      <c r="F83" s="652">
        <v>7</v>
      </c>
      <c r="G83" s="652">
        <v>7</v>
      </c>
      <c r="H83" s="910">
        <v>6</v>
      </c>
      <c r="I83" s="910">
        <v>6</v>
      </c>
      <c r="J83" s="910">
        <v>6</v>
      </c>
      <c r="K83" s="652">
        <v>6</v>
      </c>
      <c r="L83" s="652">
        <v>6</v>
      </c>
      <c r="M83" s="652">
        <v>6</v>
      </c>
      <c r="N83" s="910">
        <v>5</v>
      </c>
      <c r="O83" s="910">
        <v>5</v>
      </c>
      <c r="P83" s="931">
        <v>5</v>
      </c>
      <c r="Q83" s="684">
        <v>5</v>
      </c>
      <c r="R83" s="652">
        <v>5</v>
      </c>
      <c r="S83" s="652">
        <v>5</v>
      </c>
      <c r="T83" s="910">
        <v>5</v>
      </c>
      <c r="U83" s="910">
        <v>5</v>
      </c>
      <c r="V83" s="910">
        <v>5</v>
      </c>
      <c r="W83" s="652">
        <v>5</v>
      </c>
      <c r="X83" s="652">
        <v>5</v>
      </c>
      <c r="Y83" s="652">
        <v>5</v>
      </c>
      <c r="Z83" s="910">
        <v>5</v>
      </c>
      <c r="AA83" s="910">
        <v>5</v>
      </c>
      <c r="AB83" s="943">
        <v>5</v>
      </c>
      <c r="AC83" s="661">
        <v>5</v>
      </c>
      <c r="AD83" s="652">
        <v>5</v>
      </c>
      <c r="AE83" s="652">
        <v>5</v>
      </c>
      <c r="AF83" s="910">
        <v>4</v>
      </c>
      <c r="AG83" s="910">
        <v>4</v>
      </c>
      <c r="AH83" s="910">
        <v>4</v>
      </c>
      <c r="AI83" s="652">
        <v>4</v>
      </c>
      <c r="AJ83" s="652">
        <v>4</v>
      </c>
      <c r="AK83" s="656">
        <v>4</v>
      </c>
      <c r="AL83" s="956">
        <v>4</v>
      </c>
      <c r="AM83" s="910">
        <v>4</v>
      </c>
      <c r="AN83" s="960">
        <v>4</v>
      </c>
      <c r="AO83" s="659"/>
      <c r="AP83" s="652"/>
      <c r="AQ83" s="660"/>
      <c r="AR83" s="659"/>
      <c r="AS83" s="652"/>
      <c r="AT83" s="660"/>
      <c r="AU83" s="659"/>
      <c r="AV83" s="652"/>
      <c r="AW83" s="660"/>
      <c r="AX83" s="659"/>
      <c r="AY83" s="652"/>
      <c r="AZ83" s="660"/>
      <c r="BA83" s="659"/>
      <c r="BB83" s="652"/>
      <c r="BC83" s="660"/>
      <c r="BD83" s="659"/>
      <c r="BE83" s="652"/>
      <c r="BF83" s="660"/>
      <c r="BG83" s="659"/>
      <c r="BH83" s="652"/>
      <c r="BI83" s="660"/>
      <c r="BJ83" s="659"/>
      <c r="BK83" s="652"/>
      <c r="BL83" s="660"/>
    </row>
    <row r="84" spans="2:64" ht="17" thickBot="1">
      <c r="B84" s="1280"/>
      <c r="C84" s="1288"/>
      <c r="D84" s="651" t="s">
        <v>863</v>
      </c>
      <c r="E84" s="703">
        <v>7</v>
      </c>
      <c r="F84" s="703">
        <v>7</v>
      </c>
      <c r="G84" s="703">
        <v>7</v>
      </c>
      <c r="H84" s="924">
        <v>7</v>
      </c>
      <c r="I84" s="924">
        <v>7</v>
      </c>
      <c r="J84" s="924">
        <v>7</v>
      </c>
      <c r="K84" s="703">
        <v>6</v>
      </c>
      <c r="L84" s="703">
        <v>6</v>
      </c>
      <c r="M84" s="703">
        <v>6</v>
      </c>
      <c r="N84" s="924">
        <v>6</v>
      </c>
      <c r="O84" s="924">
        <v>6</v>
      </c>
      <c r="P84" s="936">
        <v>6</v>
      </c>
      <c r="Q84" s="709">
        <v>6</v>
      </c>
      <c r="R84" s="703">
        <v>6</v>
      </c>
      <c r="S84" s="703">
        <v>6</v>
      </c>
      <c r="T84" s="924">
        <v>6</v>
      </c>
      <c r="U84" s="924">
        <v>6</v>
      </c>
      <c r="V84" s="924">
        <v>6</v>
      </c>
      <c r="W84" s="703">
        <v>5</v>
      </c>
      <c r="X84" s="703">
        <v>5</v>
      </c>
      <c r="Y84" s="703">
        <v>5</v>
      </c>
      <c r="Z84" s="924">
        <v>5</v>
      </c>
      <c r="AA84" s="924">
        <v>5</v>
      </c>
      <c r="AB84" s="948">
        <v>5</v>
      </c>
      <c r="AC84" s="750">
        <v>5</v>
      </c>
      <c r="AD84" s="703">
        <v>5</v>
      </c>
      <c r="AE84" s="703">
        <v>5</v>
      </c>
      <c r="AF84" s="924">
        <v>4</v>
      </c>
      <c r="AG84" s="924">
        <v>4</v>
      </c>
      <c r="AH84" s="924">
        <v>4</v>
      </c>
      <c r="AI84" s="703">
        <v>4</v>
      </c>
      <c r="AJ84" s="703">
        <v>4</v>
      </c>
      <c r="AK84" s="734">
        <v>4</v>
      </c>
      <c r="AL84" s="970">
        <v>4</v>
      </c>
      <c r="AM84" s="924">
        <v>4</v>
      </c>
      <c r="AN84" s="971">
        <v>4</v>
      </c>
      <c r="AO84" s="699"/>
      <c r="AP84" s="703"/>
      <c r="AQ84" s="726"/>
      <c r="AR84" s="699"/>
      <c r="AS84" s="703"/>
      <c r="AT84" s="726"/>
      <c r="AU84" s="699"/>
      <c r="AV84" s="703"/>
      <c r="AW84" s="726"/>
      <c r="AX84" s="699"/>
      <c r="AY84" s="703"/>
      <c r="AZ84" s="726"/>
      <c r="BA84" s="699"/>
      <c r="BB84" s="703"/>
      <c r="BC84" s="726"/>
      <c r="BD84" s="699"/>
      <c r="BE84" s="703"/>
      <c r="BF84" s="726"/>
      <c r="BG84" s="699"/>
      <c r="BH84" s="703"/>
      <c r="BI84" s="726"/>
      <c r="BJ84" s="699"/>
      <c r="BK84" s="703"/>
      <c r="BL84" s="726"/>
    </row>
    <row r="85" spans="2:64" ht="17" thickTop="1">
      <c r="B85" s="1274" t="s">
        <v>685</v>
      </c>
      <c r="C85" s="1276" t="s">
        <v>720</v>
      </c>
      <c r="D85" s="649" t="s">
        <v>864</v>
      </c>
      <c r="E85" s="702">
        <v>12875817150</v>
      </c>
      <c r="F85" s="702"/>
      <c r="G85" s="702"/>
      <c r="H85" s="925">
        <v>25961260320</v>
      </c>
      <c r="I85" s="925"/>
      <c r="J85" s="925"/>
      <c r="K85" s="702">
        <v>21342510370</v>
      </c>
      <c r="L85" s="702"/>
      <c r="M85" s="702"/>
      <c r="N85" s="925">
        <v>28911241950</v>
      </c>
      <c r="O85" s="925"/>
      <c r="P85" s="937"/>
      <c r="Q85" s="710">
        <v>18351018150</v>
      </c>
      <c r="R85" s="702"/>
      <c r="S85" s="702"/>
      <c r="T85" s="925">
        <v>33185481710</v>
      </c>
      <c r="U85" s="925"/>
      <c r="V85" s="925"/>
      <c r="W85" s="702">
        <v>32141471400</v>
      </c>
      <c r="X85" s="702"/>
      <c r="Y85" s="702"/>
      <c r="Z85" s="925">
        <v>42018733430</v>
      </c>
      <c r="AA85" s="925"/>
      <c r="AB85" s="949"/>
      <c r="AC85" s="706">
        <v>32995988400</v>
      </c>
      <c r="AD85" s="702"/>
      <c r="AE85" s="702"/>
      <c r="AF85" s="925">
        <v>46119710630</v>
      </c>
      <c r="AG85" s="925"/>
      <c r="AH85" s="925"/>
      <c r="AI85" s="702">
        <v>40790822160</v>
      </c>
      <c r="AJ85" s="702"/>
      <c r="AK85" s="730"/>
      <c r="AL85" s="963">
        <v>41707834071</v>
      </c>
      <c r="AM85" s="925"/>
      <c r="AN85" s="964"/>
      <c r="AO85" s="697"/>
      <c r="AP85" s="702"/>
      <c r="AQ85" s="722"/>
      <c r="AR85" s="697"/>
      <c r="AS85" s="702"/>
      <c r="AT85" s="722"/>
      <c r="AU85" s="697"/>
      <c r="AV85" s="702"/>
      <c r="AW85" s="722"/>
      <c r="AX85" s="697"/>
      <c r="AY85" s="702"/>
      <c r="AZ85" s="722"/>
      <c r="BA85" s="697"/>
      <c r="BB85" s="702"/>
      <c r="BC85" s="722"/>
      <c r="BD85" s="697"/>
      <c r="BE85" s="702"/>
      <c r="BF85" s="722"/>
      <c r="BG85" s="697"/>
      <c r="BH85" s="702"/>
      <c r="BI85" s="722"/>
      <c r="BJ85" s="697"/>
      <c r="BK85" s="702"/>
      <c r="BL85" s="722"/>
    </row>
    <row r="86" spans="2:64">
      <c r="B86" s="1275"/>
      <c r="C86" s="1277"/>
      <c r="D86" s="647" t="s">
        <v>721</v>
      </c>
      <c r="E86" s="652">
        <f>E64*1.1</f>
        <v>-401245284.00000006</v>
      </c>
      <c r="F86" s="652"/>
      <c r="G86" s="652"/>
      <c r="H86" s="910">
        <f>H64*1.24</f>
        <v>3793525950.04</v>
      </c>
      <c r="I86" s="910"/>
      <c r="J86" s="910"/>
      <c r="K86" s="652">
        <f>K64*1.24</f>
        <v>3700184430.48</v>
      </c>
      <c r="L86" s="652"/>
      <c r="M86" s="652"/>
      <c r="N86" s="910">
        <f>N64*1.24</f>
        <v>5771160919.6800003</v>
      </c>
      <c r="O86" s="910"/>
      <c r="P86" s="931"/>
      <c r="Q86" s="684">
        <f>Q64*1.24</f>
        <v>4285528971.2399998</v>
      </c>
      <c r="R86" s="652"/>
      <c r="S86" s="652"/>
      <c r="T86" s="910">
        <f>T64*1.24</f>
        <v>7329968454.9200001</v>
      </c>
      <c r="U86" s="910"/>
      <c r="V86" s="910"/>
      <c r="W86" s="652">
        <f>W64*1.24</f>
        <v>5386285565.6800003</v>
      </c>
      <c r="X86" s="652"/>
      <c r="Y86" s="652"/>
      <c r="Z86" s="910">
        <f>Z64*1.24</f>
        <v>3813767050.3600001</v>
      </c>
      <c r="AA86" s="910"/>
      <c r="AB86" s="943"/>
      <c r="AC86" s="661">
        <f>AC64*1.24</f>
        <v>3335053160</v>
      </c>
      <c r="AD86" s="652"/>
      <c r="AE86" s="652"/>
      <c r="AF86" s="910">
        <f>AF64*1.24</f>
        <v>6039893296.8400002</v>
      </c>
      <c r="AG86" s="910"/>
      <c r="AH86" s="910"/>
      <c r="AI86" s="652">
        <f>AI64*1.24</f>
        <v>6162209058.1599998</v>
      </c>
      <c r="AJ86" s="652"/>
      <c r="AK86" s="656"/>
      <c r="AL86" s="956">
        <v>5069504571</v>
      </c>
      <c r="AM86" s="910"/>
      <c r="AN86" s="960"/>
      <c r="AO86" s="659"/>
      <c r="AP86" s="652"/>
      <c r="AQ86" s="660"/>
      <c r="AR86" s="659"/>
      <c r="AS86" s="652"/>
      <c r="AT86" s="660"/>
      <c r="AU86" s="659"/>
      <c r="AV86" s="652"/>
      <c r="AW86" s="660"/>
      <c r="AX86" s="659"/>
      <c r="AY86" s="652"/>
      <c r="AZ86" s="660"/>
      <c r="BA86" s="659"/>
      <c r="BB86" s="652"/>
      <c r="BC86" s="660"/>
      <c r="BD86" s="659"/>
      <c r="BE86" s="652"/>
      <c r="BF86" s="660"/>
      <c r="BG86" s="659"/>
      <c r="BH86" s="652"/>
      <c r="BI86" s="660"/>
      <c r="BJ86" s="659"/>
      <c r="BK86" s="652"/>
      <c r="BL86" s="660"/>
    </row>
    <row r="87" spans="2:64">
      <c r="B87" s="1275"/>
      <c r="C87" s="1277" t="s">
        <v>722</v>
      </c>
      <c r="D87" s="647" t="s">
        <v>865</v>
      </c>
      <c r="E87" s="652">
        <v>-197123309.84999847</v>
      </c>
      <c r="F87" s="652" t="s">
        <v>7</v>
      </c>
      <c r="G87" s="652" t="s">
        <v>7</v>
      </c>
      <c r="H87" s="910">
        <v>715211533.06764901</v>
      </c>
      <c r="I87" s="910" t="s">
        <v>7</v>
      </c>
      <c r="J87" s="910" t="s">
        <v>7</v>
      </c>
      <c r="K87" s="652">
        <v>2815041371.558259</v>
      </c>
      <c r="L87" s="652" t="s">
        <v>7</v>
      </c>
      <c r="M87" s="652" t="s">
        <v>7</v>
      </c>
      <c r="N87" s="910">
        <v>2873605670.4532118</v>
      </c>
      <c r="O87" s="910" t="s">
        <v>7</v>
      </c>
      <c r="P87" s="931" t="s">
        <v>7</v>
      </c>
      <c r="Q87" s="684">
        <v>-4446242749.1581402</v>
      </c>
      <c r="R87" s="652" t="s">
        <v>7</v>
      </c>
      <c r="S87" s="652" t="s">
        <v>7</v>
      </c>
      <c r="T87" s="910">
        <v>-1232759000.7999489</v>
      </c>
      <c r="U87" s="910" t="s">
        <v>7</v>
      </c>
      <c r="V87" s="910" t="s">
        <v>7</v>
      </c>
      <c r="W87" s="652">
        <v>3241052486.0894747</v>
      </c>
      <c r="X87" s="652" t="s">
        <v>723</v>
      </c>
      <c r="Y87" s="652" t="s">
        <v>7</v>
      </c>
      <c r="Z87" s="910">
        <v>-2240397663.1199937</v>
      </c>
      <c r="AA87" s="910"/>
      <c r="AB87" s="943"/>
      <c r="AC87" s="661">
        <v>4121411731.8610897</v>
      </c>
      <c r="AD87" s="652"/>
      <c r="AE87" s="652"/>
      <c r="AF87" s="910">
        <v>2559711658.7199936</v>
      </c>
      <c r="AG87" s="910"/>
      <c r="AH87" s="910"/>
      <c r="AI87" s="652">
        <v>3008965883</v>
      </c>
      <c r="AJ87" s="652"/>
      <c r="AK87" s="656"/>
      <c r="AL87" s="956">
        <v>807246572</v>
      </c>
      <c r="AM87" s="910"/>
      <c r="AN87" s="960"/>
      <c r="AO87" s="659"/>
      <c r="AP87" s="652"/>
      <c r="AQ87" s="660"/>
      <c r="AR87" s="659"/>
      <c r="AS87" s="652"/>
      <c r="AT87" s="660"/>
      <c r="AU87" s="659"/>
      <c r="AV87" s="652"/>
      <c r="AW87" s="660"/>
      <c r="AX87" s="659"/>
      <c r="AY87" s="652"/>
      <c r="AZ87" s="660"/>
      <c r="BA87" s="659"/>
      <c r="BB87" s="652"/>
      <c r="BC87" s="660"/>
      <c r="BD87" s="659"/>
      <c r="BE87" s="652"/>
      <c r="BF87" s="660"/>
      <c r="BG87" s="659"/>
      <c r="BH87" s="652"/>
      <c r="BI87" s="660"/>
      <c r="BJ87" s="659"/>
      <c r="BK87" s="652"/>
      <c r="BL87" s="660"/>
    </row>
    <row r="88" spans="2:64">
      <c r="B88" s="1275"/>
      <c r="C88" s="1277"/>
      <c r="D88" s="647" t="s">
        <v>724</v>
      </c>
      <c r="E88" s="652">
        <v>2802876690.1500015</v>
      </c>
      <c r="F88" s="652"/>
      <c r="G88" s="652"/>
      <c r="H88" s="910">
        <v>3518088223.2176499</v>
      </c>
      <c r="I88" s="910"/>
      <c r="J88" s="910"/>
      <c r="K88" s="652">
        <v>6333129594.7759094</v>
      </c>
      <c r="L88" s="652"/>
      <c r="M88" s="652"/>
      <c r="N88" s="910">
        <v>9206735265.2291222</v>
      </c>
      <c r="O88" s="910"/>
      <c r="P88" s="931"/>
      <c r="Q88" s="684">
        <v>4760492516.070981</v>
      </c>
      <c r="R88" s="652"/>
      <c r="S88" s="652"/>
      <c r="T88" s="910">
        <v>3527733515.2710323</v>
      </c>
      <c r="U88" s="910"/>
      <c r="V88" s="910"/>
      <c r="W88" s="652">
        <v>6768786001.360507</v>
      </c>
      <c r="X88" s="652"/>
      <c r="Y88" s="652"/>
      <c r="Z88" s="910">
        <v>4528388338.2405128</v>
      </c>
      <c r="AA88" s="910"/>
      <c r="AB88" s="943"/>
      <c r="AC88" s="661">
        <v>8649800070.1016026</v>
      </c>
      <c r="AD88" s="652"/>
      <c r="AE88" s="652"/>
      <c r="AF88" s="910">
        <v>11209511728.821596</v>
      </c>
      <c r="AG88" s="910"/>
      <c r="AH88" s="910"/>
      <c r="AI88" s="652">
        <v>14218477611.821596</v>
      </c>
      <c r="AJ88" s="652"/>
      <c r="AK88" s="656"/>
      <c r="AL88" s="956">
        <v>15025724183</v>
      </c>
      <c r="AM88" s="910" t="s">
        <v>938</v>
      </c>
      <c r="AN88" s="960"/>
      <c r="AO88" s="659"/>
      <c r="AP88" s="652"/>
      <c r="AQ88" s="660"/>
      <c r="AR88" s="659"/>
      <c r="AS88" s="652"/>
      <c r="AT88" s="660"/>
      <c r="AU88" s="659"/>
      <c r="AV88" s="652"/>
      <c r="AW88" s="660"/>
      <c r="AX88" s="659"/>
      <c r="AY88" s="652"/>
      <c r="AZ88" s="660"/>
      <c r="BA88" s="659"/>
      <c r="BB88" s="652"/>
      <c r="BC88" s="660"/>
      <c r="BD88" s="659"/>
      <c r="BE88" s="652"/>
      <c r="BF88" s="660"/>
      <c r="BG88" s="659"/>
      <c r="BH88" s="652"/>
      <c r="BI88" s="660"/>
      <c r="BJ88" s="659"/>
      <c r="BK88" s="652"/>
      <c r="BL88" s="660"/>
    </row>
    <row r="89" spans="2:64">
      <c r="B89" s="1275"/>
      <c r="C89" s="1277" t="s">
        <v>725</v>
      </c>
      <c r="D89" s="647" t="s">
        <v>866</v>
      </c>
      <c r="E89" s="652">
        <v>1584858030</v>
      </c>
      <c r="F89" s="652"/>
      <c r="G89" s="652"/>
      <c r="H89" s="910">
        <v>0</v>
      </c>
      <c r="I89" s="910"/>
      <c r="J89" s="910"/>
      <c r="K89" s="652">
        <v>0</v>
      </c>
      <c r="L89" s="652"/>
      <c r="M89" s="652"/>
      <c r="N89" s="910">
        <v>0</v>
      </c>
      <c r="O89" s="910"/>
      <c r="P89" s="931"/>
      <c r="Q89" s="684">
        <v>0</v>
      </c>
      <c r="R89" s="652"/>
      <c r="S89" s="652"/>
      <c r="T89" s="910">
        <v>0</v>
      </c>
      <c r="U89" s="910"/>
      <c r="V89" s="910"/>
      <c r="W89" s="652">
        <v>0</v>
      </c>
      <c r="X89" s="652"/>
      <c r="Y89" s="652"/>
      <c r="Z89" s="910">
        <v>0</v>
      </c>
      <c r="AA89" s="910"/>
      <c r="AB89" s="943"/>
      <c r="AC89" s="661">
        <v>0</v>
      </c>
      <c r="AD89" s="652"/>
      <c r="AE89" s="652"/>
      <c r="AF89" s="910">
        <v>0</v>
      </c>
      <c r="AG89" s="910"/>
      <c r="AH89" s="910"/>
      <c r="AI89" s="652">
        <v>0</v>
      </c>
      <c r="AJ89" s="652"/>
      <c r="AK89" s="656"/>
      <c r="AL89" s="956">
        <v>0</v>
      </c>
      <c r="AM89" s="910"/>
      <c r="AN89" s="960"/>
      <c r="AO89" s="659"/>
      <c r="AP89" s="652"/>
      <c r="AQ89" s="660"/>
      <c r="AR89" s="659"/>
      <c r="AS89" s="652"/>
      <c r="AT89" s="660"/>
      <c r="AU89" s="659"/>
      <c r="AV89" s="652"/>
      <c r="AW89" s="660"/>
      <c r="AX89" s="659"/>
      <c r="AY89" s="652"/>
      <c r="AZ89" s="660"/>
      <c r="BA89" s="659"/>
      <c r="BB89" s="652"/>
      <c r="BC89" s="660"/>
      <c r="BD89" s="659"/>
      <c r="BE89" s="652"/>
      <c r="BF89" s="660"/>
      <c r="BG89" s="659"/>
      <c r="BH89" s="652"/>
      <c r="BI89" s="660"/>
      <c r="BJ89" s="659"/>
      <c r="BK89" s="652"/>
      <c r="BL89" s="660"/>
    </row>
    <row r="90" spans="2:64" ht="17" thickBot="1">
      <c r="B90" s="1275"/>
      <c r="C90" s="1277"/>
      <c r="D90" s="647" t="s">
        <v>726</v>
      </c>
      <c r="E90" s="652">
        <v>25000000000</v>
      </c>
      <c r="F90" s="652" t="s">
        <v>7</v>
      </c>
      <c r="G90" s="652"/>
      <c r="H90" s="910">
        <v>31001346043.600002</v>
      </c>
      <c r="I90" s="910"/>
      <c r="J90" s="910"/>
      <c r="K90" s="652">
        <v>33853563565.600002</v>
      </c>
      <c r="L90" s="652"/>
      <c r="M90" s="652"/>
      <c r="N90" s="910">
        <v>40939033855.600006</v>
      </c>
      <c r="O90" s="910"/>
      <c r="P90" s="931"/>
      <c r="Q90" s="684">
        <v>41534189221.600006</v>
      </c>
      <c r="R90" s="652"/>
      <c r="S90" s="652"/>
      <c r="T90" s="910">
        <v>48652222461.500008</v>
      </c>
      <c r="U90" s="910"/>
      <c r="V90" s="910"/>
      <c r="W90" s="652">
        <v>52647899289.500008</v>
      </c>
      <c r="X90" s="652"/>
      <c r="Y90" s="652"/>
      <c r="Z90" s="910">
        <v>57651137191.000008</v>
      </c>
      <c r="AA90" s="910"/>
      <c r="AB90" s="943"/>
      <c r="AC90" s="661">
        <v>58290502711.000008</v>
      </c>
      <c r="AD90" s="652"/>
      <c r="AE90" s="652"/>
      <c r="AF90" s="910">
        <v>66365014724.400009</v>
      </c>
      <c r="AG90" s="910"/>
      <c r="AH90" s="910"/>
      <c r="AI90" s="652">
        <v>68011535299</v>
      </c>
      <c r="AJ90" s="652"/>
      <c r="AK90" s="656"/>
      <c r="AL90" s="973">
        <v>74315106254.096008</v>
      </c>
      <c r="AM90" s="974"/>
      <c r="AN90" s="975"/>
      <c r="AO90" s="757"/>
      <c r="AP90" s="717"/>
      <c r="AQ90" s="727"/>
      <c r="AR90" s="757"/>
      <c r="AS90" s="717"/>
      <c r="AT90" s="727"/>
      <c r="AU90" s="757"/>
      <c r="AV90" s="717"/>
      <c r="AW90" s="727"/>
      <c r="AX90" s="757"/>
      <c r="AY90" s="717"/>
      <c r="AZ90" s="727"/>
      <c r="BA90" s="757"/>
      <c r="BB90" s="717"/>
      <c r="BC90" s="727"/>
      <c r="BD90" s="757"/>
      <c r="BE90" s="717"/>
      <c r="BF90" s="727"/>
      <c r="BG90" s="757"/>
      <c r="BH90" s="717"/>
      <c r="BI90" s="727"/>
      <c r="BJ90" s="757"/>
      <c r="BK90" s="717"/>
      <c r="BL90" s="727"/>
    </row>
    <row r="92" spans="2:64">
      <c r="AI92" s="976"/>
      <c r="AJ92" s="976"/>
      <c r="AK92" s="976"/>
    </row>
    <row r="93" spans="2:64">
      <c r="AF93" s="765"/>
      <c r="AI93" s="766"/>
    </row>
    <row r="94" spans="2:64">
      <c r="AF94" s="765"/>
      <c r="AI94" s="766"/>
    </row>
    <row r="95" spans="2:64">
      <c r="AG95" s="766"/>
      <c r="AI95" s="766"/>
    </row>
    <row r="96" spans="2:64">
      <c r="AF96" s="766"/>
      <c r="AI96" s="766"/>
    </row>
    <row r="97" spans="32:35">
      <c r="AI97" s="766"/>
    </row>
    <row r="98" spans="32:35">
      <c r="AF98" s="766"/>
    </row>
  </sheetData>
  <mergeCells count="109">
    <mergeCell ref="AO4:AQ4"/>
    <mergeCell ref="AO14:AQ14"/>
    <mergeCell ref="C83:C84"/>
    <mergeCell ref="B72:B75"/>
    <mergeCell ref="C72:C75"/>
    <mergeCell ref="B76:B79"/>
    <mergeCell ref="C76:C77"/>
    <mergeCell ref="C78:C79"/>
    <mergeCell ref="B16:B17"/>
    <mergeCell ref="C16:C17"/>
    <mergeCell ref="C39:C41"/>
    <mergeCell ref="B37:B41"/>
    <mergeCell ref="B42:B50"/>
    <mergeCell ref="C48:C50"/>
    <mergeCell ref="C42:C43"/>
    <mergeCell ref="B24:B36"/>
    <mergeCell ref="C37:C38"/>
    <mergeCell ref="B62:B67"/>
    <mergeCell ref="C62:C63"/>
    <mergeCell ref="C64:C65"/>
    <mergeCell ref="C66:C67"/>
    <mergeCell ref="B18:B23"/>
    <mergeCell ref="Q60:S60"/>
    <mergeCell ref="T60:V60"/>
    <mergeCell ref="AR4:AT4"/>
    <mergeCell ref="AR14:AT14"/>
    <mergeCell ref="AR60:AT60"/>
    <mergeCell ref="AU4:AW4"/>
    <mergeCell ref="AX4:AZ4"/>
    <mergeCell ref="AU14:AW14"/>
    <mergeCell ref="AX14:AZ14"/>
    <mergeCell ref="AU60:AW60"/>
    <mergeCell ref="AX60:AZ60"/>
    <mergeCell ref="B85:B90"/>
    <mergeCell ref="C85:C86"/>
    <mergeCell ref="C87:C88"/>
    <mergeCell ref="C89:C90"/>
    <mergeCell ref="B4:C5"/>
    <mergeCell ref="D4:D5"/>
    <mergeCell ref="B68:B71"/>
    <mergeCell ref="C68:C69"/>
    <mergeCell ref="B80:B84"/>
    <mergeCell ref="C81:C82"/>
    <mergeCell ref="B60:C61"/>
    <mergeCell ref="D60:D61"/>
    <mergeCell ref="C54:C55"/>
    <mergeCell ref="B14:B15"/>
    <mergeCell ref="C14:C15"/>
    <mergeCell ref="B6:C10"/>
    <mergeCell ref="B12:D12"/>
    <mergeCell ref="B58:D58"/>
    <mergeCell ref="C44:C45"/>
    <mergeCell ref="C46:C47"/>
    <mergeCell ref="C24:C27"/>
    <mergeCell ref="C28:C31"/>
    <mergeCell ref="C34:C36"/>
    <mergeCell ref="B51:B56"/>
    <mergeCell ref="W60:Y60"/>
    <mergeCell ref="Z60:AB60"/>
    <mergeCell ref="N60:P60"/>
    <mergeCell ref="K60:M60"/>
    <mergeCell ref="H60:J60"/>
    <mergeCell ref="E60:G60"/>
    <mergeCell ref="BJ60:BL60"/>
    <mergeCell ref="BA60:BC60"/>
    <mergeCell ref="AC60:AE60"/>
    <mergeCell ref="AF60:AH60"/>
    <mergeCell ref="AI60:AK60"/>
    <mergeCell ref="AL60:AN60"/>
    <mergeCell ref="BD60:BF60"/>
    <mergeCell ref="BG60:BI60"/>
    <mergeCell ref="AO60:AQ60"/>
    <mergeCell ref="BA4:BC4"/>
    <mergeCell ref="BD4:BF4"/>
    <mergeCell ref="BG4:BI4"/>
    <mergeCell ref="BJ4:BL4"/>
    <mergeCell ref="BA14:BC14"/>
    <mergeCell ref="BD14:BF14"/>
    <mergeCell ref="D14:D15"/>
    <mergeCell ref="E14:G14"/>
    <mergeCell ref="H14:J14"/>
    <mergeCell ref="AC14:AE14"/>
    <mergeCell ref="AF14:AH14"/>
    <mergeCell ref="AI14:AK14"/>
    <mergeCell ref="BJ14:BL14"/>
    <mergeCell ref="N14:P14"/>
    <mergeCell ref="Q14:S14"/>
    <mergeCell ref="T14:V14"/>
    <mergeCell ref="AC4:AE4"/>
    <mergeCell ref="AF4:AH4"/>
    <mergeCell ref="Q4:S4"/>
    <mergeCell ref="N4:P4"/>
    <mergeCell ref="K4:M4"/>
    <mergeCell ref="Z4:AB4"/>
    <mergeCell ref="W4:Y4"/>
    <mergeCell ref="BG14:BI14"/>
    <mergeCell ref="AI4:AK4"/>
    <mergeCell ref="AL4:AN4"/>
    <mergeCell ref="E12:J12"/>
    <mergeCell ref="E58:J58"/>
    <mergeCell ref="E4:G4"/>
    <mergeCell ref="H4:J4"/>
    <mergeCell ref="T4:V4"/>
    <mergeCell ref="C51:C53"/>
    <mergeCell ref="AL14:AN14"/>
    <mergeCell ref="C22:C23"/>
    <mergeCell ref="K14:M14"/>
    <mergeCell ref="W14:Y14"/>
    <mergeCell ref="Z14:AB14"/>
  </mergeCells>
  <phoneticPr fontId="57" type="noConversion"/>
  <pageMargins left="0.7" right="0.7" top="0.75" bottom="0.75" header="0.3" footer="0.3"/>
  <pageSetup paperSize="9" orientation="portrait" verticalDpi="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1:AT428"/>
  <sheetViews>
    <sheetView topLeftCell="A173" zoomScale="70" zoomScaleNormal="70" workbookViewId="0">
      <selection activeCell="J177" sqref="J177"/>
    </sheetView>
  </sheetViews>
  <sheetFormatPr defaultColWidth="9" defaultRowHeight="16.7"/>
  <cols>
    <col min="1" max="1" width="10.38671875" style="110" customWidth="1"/>
    <col min="2" max="2" width="21" style="110" bestFit="1" customWidth="1"/>
    <col min="3" max="14" width="16.71875" style="110" bestFit="1" customWidth="1"/>
    <col min="15" max="22" width="13.38671875" style="110" customWidth="1"/>
    <col min="23" max="16384" width="9" style="110"/>
  </cols>
  <sheetData>
    <row r="1" spans="1:23" ht="12.75" customHeight="1" thickBot="1">
      <c r="E1" s="584"/>
      <c r="F1" s="584"/>
      <c r="G1" s="584"/>
      <c r="H1" s="584"/>
      <c r="I1" s="584"/>
    </row>
    <row r="2" spans="1:23" ht="51.75" customHeight="1" thickBot="1">
      <c r="B2" s="1311" t="s">
        <v>731</v>
      </c>
      <c r="C2" s="1312"/>
      <c r="D2" s="1312"/>
      <c r="E2" s="1312"/>
      <c r="F2" s="1312"/>
      <c r="G2" s="1312"/>
      <c r="H2" s="1312"/>
      <c r="I2" s="1312"/>
      <c r="J2" s="1312"/>
      <c r="K2" s="1312"/>
    </row>
    <row r="3" spans="1:23" ht="11.25" customHeight="1">
      <c r="E3" s="584"/>
      <c r="F3" s="584"/>
      <c r="G3" s="584"/>
      <c r="H3" s="584"/>
      <c r="I3" s="584"/>
    </row>
    <row r="4" spans="1:23" ht="25.5" customHeight="1">
      <c r="A4" s="1313" t="s">
        <v>732</v>
      </c>
      <c r="B4" s="1313"/>
      <c r="C4" s="1313"/>
      <c r="D4" s="1313"/>
      <c r="E4" s="585"/>
    </row>
    <row r="5" spans="1:23" s="589" customFormat="1" ht="22.5" customHeight="1">
      <c r="A5" s="586"/>
      <c r="B5" s="587" t="s">
        <v>733</v>
      </c>
      <c r="C5" s="1314" t="s">
        <v>734</v>
      </c>
      <c r="D5" s="1314"/>
      <c r="E5" s="1314"/>
      <c r="F5" s="1314"/>
      <c r="G5" s="1314" t="s">
        <v>508</v>
      </c>
      <c r="H5" s="1314"/>
      <c r="I5" s="1314"/>
      <c r="J5" s="1314"/>
      <c r="K5" s="1314" t="s">
        <v>510</v>
      </c>
      <c r="L5" s="1314"/>
      <c r="M5" s="1314"/>
      <c r="N5" s="1314"/>
      <c r="O5" s="1314" t="s">
        <v>512</v>
      </c>
      <c r="P5" s="1314"/>
      <c r="Q5" s="1314"/>
      <c r="R5" s="1314"/>
      <c r="S5" s="1314" t="s">
        <v>516</v>
      </c>
      <c r="T5" s="1314"/>
      <c r="U5" s="1314"/>
      <c r="V5" s="1314"/>
    </row>
    <row r="6" spans="1:23" s="589" customFormat="1" ht="22.5" customHeight="1">
      <c r="A6" s="586"/>
      <c r="B6" s="587" t="s">
        <v>735</v>
      </c>
      <c r="C6" s="588" t="s">
        <v>736</v>
      </c>
      <c r="D6" s="588" t="s">
        <v>737</v>
      </c>
      <c r="E6" s="588" t="s">
        <v>738</v>
      </c>
      <c r="F6" s="588" t="s">
        <v>739</v>
      </c>
      <c r="G6" s="588" t="s">
        <v>736</v>
      </c>
      <c r="H6" s="588" t="s">
        <v>737</v>
      </c>
      <c r="I6" s="588" t="s">
        <v>738</v>
      </c>
      <c r="J6" s="588" t="s">
        <v>739</v>
      </c>
      <c r="K6" s="588" t="s">
        <v>736</v>
      </c>
      <c r="L6" s="588" t="s">
        <v>737</v>
      </c>
      <c r="M6" s="588" t="s">
        <v>738</v>
      </c>
      <c r="N6" s="588" t="s">
        <v>739</v>
      </c>
      <c r="O6" s="588" t="s">
        <v>736</v>
      </c>
      <c r="P6" s="588" t="s">
        <v>737</v>
      </c>
      <c r="Q6" s="588" t="s">
        <v>738</v>
      </c>
      <c r="R6" s="588" t="s">
        <v>739</v>
      </c>
      <c r="S6" s="588" t="s">
        <v>736</v>
      </c>
      <c r="T6" s="588" t="s">
        <v>737</v>
      </c>
      <c r="U6" s="588" t="s">
        <v>738</v>
      </c>
      <c r="V6" s="588" t="s">
        <v>739</v>
      </c>
    </row>
    <row r="7" spans="1:23" s="589" customFormat="1" ht="22.5" customHeight="1">
      <c r="A7" s="586"/>
      <c r="B7" s="587" t="s">
        <v>740</v>
      </c>
      <c r="C7" s="764">
        <f>'2. 의사결정 및 경영성과'!E62</f>
        <v>33151687950</v>
      </c>
      <c r="D7" s="764">
        <f>'2. 의사결정 및 경영성과'!H62</f>
        <v>47523605420</v>
      </c>
      <c r="E7" s="764">
        <f>'2. 의사결정 및 경영성과'!K62</f>
        <v>46225732120</v>
      </c>
      <c r="F7" s="764">
        <f>'2. 의사결정 및 경영성과'!N62</f>
        <v>54564429150</v>
      </c>
      <c r="G7" s="764">
        <f>'2. 의사결정 및 경영성과'!Q62</f>
        <v>43306982400</v>
      </c>
      <c r="H7" s="764">
        <f>'2. 의사결정 및 경영성과'!T62</f>
        <v>63579142610</v>
      </c>
      <c r="I7" s="764">
        <f>'2. 의사결정 및 경영성과'!W62</f>
        <v>61613796600</v>
      </c>
      <c r="J7" s="764">
        <f>'2. 의사결정 및 경영성과'!Z62</f>
        <v>82256656730</v>
      </c>
      <c r="K7" s="764">
        <f>'2. 의사결정 및 경영성과'!AC62</f>
        <v>71903606400</v>
      </c>
      <c r="L7" s="764">
        <f>'2. 의사결정 및 경영성과'!AF62</f>
        <v>90583806230</v>
      </c>
      <c r="M7" s="764">
        <f>'2. 의사결정 및 경영성과'!AI62</f>
        <v>88839553740</v>
      </c>
      <c r="N7" s="764">
        <f>'2. 의사결정 및 경영성과'!AL62</f>
        <v>88631620000</v>
      </c>
      <c r="O7" s="764">
        <f>'2. 의사결정 및 경영성과'!AO62</f>
        <v>0</v>
      </c>
      <c r="P7" s="764">
        <f>'2. 의사결정 및 경영성과'!AR62</f>
        <v>0</v>
      </c>
      <c r="Q7" s="764">
        <f>'2. 의사결정 및 경영성과'!AU62</f>
        <v>0</v>
      </c>
      <c r="R7" s="764">
        <f>'2. 의사결정 및 경영성과'!AX62</f>
        <v>0</v>
      </c>
      <c r="S7" s="764">
        <f>'2. 의사결정 및 경영성과'!BA62</f>
        <v>0</v>
      </c>
      <c r="T7" s="764">
        <f>'2. 의사결정 및 경영성과'!BD62</f>
        <v>0</v>
      </c>
      <c r="U7" s="764">
        <f>'2. 의사결정 및 경영성과'!BG62</f>
        <v>0</v>
      </c>
      <c r="V7" s="764">
        <f>'2. 의사결정 및 경영성과'!BJ62</f>
        <v>0</v>
      </c>
      <c r="W7" s="591"/>
    </row>
    <row r="8" spans="1:23" s="589" customFormat="1" ht="22.5" customHeight="1">
      <c r="A8" s="586"/>
      <c r="B8" s="587" t="s">
        <v>741</v>
      </c>
      <c r="C8" s="764">
        <f>'2. 의사결정 및 경영성과'!E64</f>
        <v>-364768440</v>
      </c>
      <c r="D8" s="764">
        <f>'2. 의사결정 및 경영성과'!H64</f>
        <v>3059295121</v>
      </c>
      <c r="E8" s="764">
        <f>'2. 의사결정 및 경영성과'!K64</f>
        <v>2984019702</v>
      </c>
      <c r="F8" s="764">
        <f>'2. 의사결정 및 경영성과'!N64</f>
        <v>4654162032</v>
      </c>
      <c r="G8" s="764">
        <f>'2. 의사결정 및 경영성과'!Q64</f>
        <v>3456071751</v>
      </c>
      <c r="H8" s="764">
        <f>'2. 의사결정 및 경영성과'!T64</f>
        <v>5911264883</v>
      </c>
      <c r="I8" s="764">
        <f>'2. 의사결정 및 경영성과'!W64</f>
        <v>4343778682</v>
      </c>
      <c r="J8" s="764">
        <f>'2. 의사결정 및 경영성과'!Z64</f>
        <v>3075618589</v>
      </c>
      <c r="K8" s="764">
        <f>'2. 의사결정 및 경영성과'!AC64</f>
        <v>2689559000</v>
      </c>
      <c r="L8" s="764">
        <f>'2. 의사결정 및 경영성과'!AF64</f>
        <v>4870881691</v>
      </c>
      <c r="M8" s="764">
        <f>'2. 의사결정 및 경영성과'!AI64</f>
        <v>4969523434</v>
      </c>
      <c r="N8" s="764">
        <f>'2. 의사결정 및 경영성과'!AL64</f>
        <v>4119883657</v>
      </c>
      <c r="O8" s="638">
        <f>'2. 의사결정 및 경영성과'!AO64</f>
        <v>0</v>
      </c>
      <c r="P8" s="639">
        <f>'2. 의사결정 및 경영성과'!AR64</f>
        <v>0</v>
      </c>
      <c r="Q8" s="639">
        <f>'2. 의사결정 및 경영성과'!AU64</f>
        <v>0</v>
      </c>
      <c r="R8" s="639">
        <f>'2. 의사결정 및 경영성과'!AX64</f>
        <v>0</v>
      </c>
      <c r="S8" s="639">
        <f>'2. 의사결정 및 경영성과'!BA64</f>
        <v>0</v>
      </c>
      <c r="T8" s="639">
        <f>'2. 의사결정 및 경영성과'!BD64</f>
        <v>0</v>
      </c>
      <c r="U8" s="639">
        <f>'2. 의사결정 및 경영성과'!BG64</f>
        <v>0</v>
      </c>
      <c r="V8" s="639">
        <f>'2. 의사결정 및 경영성과'!BJ64</f>
        <v>0</v>
      </c>
    </row>
    <row r="9" spans="1:23" s="589" customFormat="1" ht="22.5" customHeight="1">
      <c r="A9" s="586"/>
      <c r="B9" s="587" t="s">
        <v>742</v>
      </c>
      <c r="C9" s="764">
        <f>'2. 의사결정 및 경영성과'!E67</f>
        <v>7</v>
      </c>
      <c r="D9" s="764">
        <f>'2. 의사결정 및 경영성과'!H67</f>
        <v>4</v>
      </c>
      <c r="E9" s="764">
        <f>'2. 의사결정 및 경영성과'!K67</f>
        <v>7</v>
      </c>
      <c r="F9" s="764">
        <f>'2. 의사결정 및 경영성과'!N67</f>
        <v>3</v>
      </c>
      <c r="G9" s="764">
        <f>'2. 의사결정 및 경영성과'!Q67</f>
        <v>7</v>
      </c>
      <c r="H9" s="764">
        <f>'2. 의사결정 및 경영성과'!T67</f>
        <v>3</v>
      </c>
      <c r="I9" s="764">
        <f>'2. 의사결정 및 경영성과'!W67</f>
        <v>3</v>
      </c>
      <c r="J9" s="764">
        <f>'2. 의사결정 및 경영성과'!Z67</f>
        <v>2</v>
      </c>
      <c r="K9" s="764">
        <f>'2. 의사결정 및 경영성과'!AC67</f>
        <v>4</v>
      </c>
      <c r="L9" s="764">
        <f>'2. 의사결정 및 경영성과'!AF67</f>
        <v>2</v>
      </c>
      <c r="M9" s="764">
        <f>'2. 의사결정 및 경영성과'!AI67</f>
        <v>3</v>
      </c>
      <c r="N9" s="764">
        <f>'2. 의사결정 및 경영성과'!AL67</f>
        <v>4</v>
      </c>
      <c r="O9" s="638">
        <f>'2. 의사결정 및 경영성과'!AO67</f>
        <v>0</v>
      </c>
      <c r="P9" s="638">
        <f>'2. 의사결정 및 경영성과'!AR67</f>
        <v>0</v>
      </c>
      <c r="Q9" s="638">
        <f>'2. 의사결정 및 경영성과'!AU67</f>
        <v>0</v>
      </c>
      <c r="R9" s="638">
        <f>'2. 의사결정 및 경영성과'!AX67</f>
        <v>0</v>
      </c>
      <c r="S9" s="638">
        <f>'2. 의사결정 및 경영성과'!BA67</f>
        <v>0</v>
      </c>
      <c r="T9" s="638">
        <f>'2. 의사결정 및 경영성과'!BD67</f>
        <v>0</v>
      </c>
      <c r="U9" s="638">
        <f>'2. 의사결정 및 경영성과'!BG67</f>
        <v>0</v>
      </c>
      <c r="V9" s="638">
        <f>'2. 의사결정 및 경영성과'!BJ67</f>
        <v>0</v>
      </c>
    </row>
    <row r="10" spans="1:23" ht="25.5" customHeight="1">
      <c r="B10" s="587" t="s">
        <v>743</v>
      </c>
      <c r="C10" s="764">
        <f>'2. 의사결정 및 경영성과'!E65</f>
        <v>4583</v>
      </c>
      <c r="D10" s="764">
        <f>'2. 의사결정 및 경영성과'!H65</f>
        <v>5252</v>
      </c>
      <c r="E10" s="764">
        <f>'2. 의사결정 및 경영성과'!K65</f>
        <v>5056</v>
      </c>
      <c r="F10" s="764">
        <f>'2. 의사결정 및 경영성과'!N65</f>
        <v>6097</v>
      </c>
      <c r="G10" s="764">
        <f>'2. 의사결정 및 경영성과'!Q65</f>
        <v>4878</v>
      </c>
      <c r="H10" s="764">
        <f>'2. 의사결정 및 경영성과'!T65</f>
        <v>6389</v>
      </c>
      <c r="I10" s="764">
        <f>'2. 의사결정 및 경영성과'!W65</f>
        <v>6251</v>
      </c>
      <c r="J10" s="764">
        <f>'2. 의사결정 및 경영성과'!Z65</f>
        <v>6547</v>
      </c>
      <c r="K10" s="764">
        <f>'2. 의사결정 및 경영성과'!AC65</f>
        <v>5724</v>
      </c>
      <c r="L10" s="764">
        <f>'2. 의사결정 및 경영성과'!AF65</f>
        <v>6839</v>
      </c>
      <c r="M10" s="764">
        <f>'2. 의사결정 및 경영성과'!AI65</f>
        <v>6142</v>
      </c>
      <c r="N10" s="764">
        <f>'2. 의사결정 및 경영성과'!AL65</f>
        <v>5774</v>
      </c>
      <c r="O10" s="638">
        <f>'2. 의사결정 및 경영성과'!AO65</f>
        <v>0</v>
      </c>
      <c r="P10" s="638">
        <f>'2. 의사결정 및 경영성과'!AR65</f>
        <v>0</v>
      </c>
      <c r="Q10" s="638">
        <f>'2. 의사결정 및 경영성과'!AU65</f>
        <v>0</v>
      </c>
      <c r="R10" s="638">
        <f>'2. 의사결정 및 경영성과'!AX65</f>
        <v>0</v>
      </c>
      <c r="S10" s="638">
        <f>'2. 의사결정 및 경영성과'!BA65</f>
        <v>0</v>
      </c>
      <c r="T10" s="638">
        <f>'2. 의사결정 및 경영성과'!BD65</f>
        <v>0</v>
      </c>
      <c r="U10" s="638">
        <f>'2. 의사결정 및 경영성과'!BG65</f>
        <v>0</v>
      </c>
      <c r="V10" s="638">
        <f>'2. 의사결정 및 경영성과'!BJ65</f>
        <v>0</v>
      </c>
    </row>
    <row r="11" spans="1:23" ht="25.5" customHeight="1">
      <c r="B11" s="587" t="s">
        <v>744</v>
      </c>
      <c r="C11" s="764">
        <f>'2. 의사결정 및 경영성과'!E88</f>
        <v>2802876690.1500015</v>
      </c>
      <c r="D11" s="764">
        <f>'2. 의사결정 및 경영성과'!H88</f>
        <v>3518088223.2176499</v>
      </c>
      <c r="E11" s="764">
        <f>'2. 의사결정 및 경영성과'!K88</f>
        <v>6333129594.7759094</v>
      </c>
      <c r="F11" s="764">
        <f>'2. 의사결정 및 경영성과'!N88</f>
        <v>9206735265.2291222</v>
      </c>
      <c r="G11" s="764">
        <f>'2. 의사결정 및 경영성과'!Q88</f>
        <v>4760492516.070981</v>
      </c>
      <c r="H11" s="764">
        <f>'2. 의사결정 및 경영성과'!T88</f>
        <v>3527733515.2710323</v>
      </c>
      <c r="I11" s="764">
        <f>'2. 의사결정 및 경영성과'!W88</f>
        <v>6768786001.360507</v>
      </c>
      <c r="J11" s="764">
        <f>'2. 의사결정 및 경영성과'!Z88</f>
        <v>4528388338.2405128</v>
      </c>
      <c r="K11" s="764">
        <f>'2. 의사결정 및 경영성과'!AC88</f>
        <v>8649800070.1016026</v>
      </c>
      <c r="L11" s="764">
        <f>'2. 의사결정 및 경영성과'!AF88</f>
        <v>11209511728.821596</v>
      </c>
      <c r="M11" s="764">
        <f>'2. 의사결정 및 경영성과'!AI88</f>
        <v>14218477611.821596</v>
      </c>
      <c r="N11" s="764">
        <f>'2. 의사결정 및 경영성과'!AL88</f>
        <v>15025724183</v>
      </c>
      <c r="O11" s="638">
        <f>'2. 의사결정 및 경영성과'!AO88</f>
        <v>0</v>
      </c>
      <c r="P11" s="638">
        <f>'2. 의사결정 및 경영성과'!AR88</f>
        <v>0</v>
      </c>
      <c r="Q11" s="638">
        <f>'2. 의사결정 및 경영성과'!AU88</f>
        <v>0</v>
      </c>
      <c r="R11" s="638">
        <f>'2. 의사결정 및 경영성과'!AX88</f>
        <v>0</v>
      </c>
      <c r="S11" s="638">
        <f>'2. 의사결정 및 경영성과'!BA88</f>
        <v>0</v>
      </c>
      <c r="T11" s="638">
        <f>'2. 의사결정 및 경영성과'!BD88</f>
        <v>0</v>
      </c>
      <c r="U11" s="638">
        <f>'2. 의사결정 및 경영성과'!BG88</f>
        <v>0</v>
      </c>
      <c r="V11" s="638">
        <f>'2. 의사결정 및 경영성과'!BJ88</f>
        <v>0</v>
      </c>
    </row>
    <row r="12" spans="1:23" ht="25.5" customHeight="1"/>
    <row r="13" spans="1:23" ht="25.5" customHeight="1"/>
    <row r="14" spans="1:23" ht="25.5" customHeight="1"/>
    <row r="22" spans="8:8">
      <c r="H22" s="592"/>
    </row>
    <row r="35" spans="1:46" ht="27" customHeight="1">
      <c r="A35" s="1313" t="s">
        <v>745</v>
      </c>
      <c r="B35" s="1313"/>
      <c r="C35" s="1313"/>
      <c r="D35" s="593"/>
    </row>
    <row r="36" spans="1:46" s="594" customFormat="1" ht="22.5" customHeight="1">
      <c r="A36" s="1315" t="s">
        <v>746</v>
      </c>
      <c r="B36" s="1314" t="s">
        <v>747</v>
      </c>
      <c r="C36" s="1314" t="s">
        <v>734</v>
      </c>
      <c r="D36" s="1314"/>
      <c r="E36" s="1314"/>
      <c r="F36" s="1314"/>
      <c r="G36" s="1314" t="s">
        <v>508</v>
      </c>
      <c r="H36" s="1314"/>
      <c r="I36" s="1314"/>
      <c r="J36" s="1314"/>
      <c r="K36" s="1314" t="s">
        <v>510</v>
      </c>
      <c r="L36" s="1314"/>
      <c r="M36" s="1314"/>
      <c r="N36" s="1314"/>
      <c r="O36" s="1314" t="s">
        <v>512</v>
      </c>
      <c r="P36" s="1314"/>
      <c r="Q36" s="1314"/>
      <c r="R36" s="1314"/>
      <c r="S36" s="1314" t="s">
        <v>516</v>
      </c>
      <c r="T36" s="1314"/>
      <c r="U36" s="1314"/>
      <c r="V36" s="1314"/>
      <c r="X36" s="595"/>
    </row>
    <row r="37" spans="1:46" s="594" customFormat="1" ht="22.5" customHeight="1">
      <c r="A37" s="1315"/>
      <c r="B37" s="1314"/>
      <c r="C37" s="588" t="s">
        <v>736</v>
      </c>
      <c r="D37" s="588" t="s">
        <v>737</v>
      </c>
      <c r="E37" s="588" t="s">
        <v>738</v>
      </c>
      <c r="F37" s="588" t="s">
        <v>739</v>
      </c>
      <c r="G37" s="588" t="s">
        <v>736</v>
      </c>
      <c r="H37" s="588" t="s">
        <v>737</v>
      </c>
      <c r="I37" s="588" t="s">
        <v>738</v>
      </c>
      <c r="J37" s="588" t="s">
        <v>739</v>
      </c>
      <c r="K37" s="588" t="s">
        <v>736</v>
      </c>
      <c r="L37" s="588" t="s">
        <v>737</v>
      </c>
      <c r="M37" s="588" t="s">
        <v>738</v>
      </c>
      <c r="N37" s="588" t="s">
        <v>739</v>
      </c>
      <c r="O37" s="588" t="s">
        <v>736</v>
      </c>
      <c r="P37" s="588" t="s">
        <v>737</v>
      </c>
      <c r="Q37" s="588" t="s">
        <v>738</v>
      </c>
      <c r="R37" s="588" t="s">
        <v>739</v>
      </c>
      <c r="S37" s="588" t="s">
        <v>736</v>
      </c>
      <c r="T37" s="588" t="s">
        <v>737</v>
      </c>
      <c r="U37" s="588" t="s">
        <v>738</v>
      </c>
      <c r="V37" s="588" t="s">
        <v>739</v>
      </c>
      <c r="X37" s="595"/>
    </row>
    <row r="38" spans="1:46" s="594" customFormat="1" ht="22.5" customHeight="1">
      <c r="A38" s="1316" t="s">
        <v>748</v>
      </c>
      <c r="B38" s="179" t="s">
        <v>749</v>
      </c>
      <c r="C38" s="596">
        <f>'2. 의사결정 및 경영성과'!E6</f>
        <v>88.672675507503769</v>
      </c>
      <c r="D38" s="596">
        <f>'2. 의사결정 및 경영성과'!H6</f>
        <v>89.155316469878997</v>
      </c>
      <c r="E38" s="596">
        <f>'2. 의사결정 및 경영성과'!K6</f>
        <v>88.91026610108355</v>
      </c>
      <c r="F38" s="596">
        <f>'2. 의사결정 및 경영성과'!N6</f>
        <v>89.525241002106654</v>
      </c>
      <c r="G38" s="596">
        <f>'2. 의사결정 및 경영성과'!Q6</f>
        <v>91.198832284330294</v>
      </c>
      <c r="H38" s="596">
        <f>'2. 의사결정 및 경영성과'!T6</f>
        <v>96.499413399858895</v>
      </c>
      <c r="I38" s="596">
        <f>'2. 의사결정 및 경영성과'!W6</f>
        <v>99.917648709510956</v>
      </c>
      <c r="J38" s="596">
        <f>'2. 의사결정 및 경영성과'!Z6</f>
        <v>102.05692573895008</v>
      </c>
      <c r="K38" s="596">
        <f>'2. 의사결정 및 경영성과'!AC6</f>
        <v>103.70162838249377</v>
      </c>
      <c r="L38" s="596">
        <f>'2. 의사결정 및 경영성과'!AF6</f>
        <v>105.04171651859393</v>
      </c>
      <c r="M38" s="596">
        <f>'2. 의사결정 및 경영성과'!AI6</f>
        <v>103.454328261732</v>
      </c>
      <c r="N38" s="596">
        <f>'2. 의사결정 및 경영성과'!AL6</f>
        <v>100</v>
      </c>
      <c r="O38" s="596">
        <f>'2. 의사결정 및 경영성과'!AO6</f>
        <v>0</v>
      </c>
      <c r="P38" s="596">
        <f>'2. 의사결정 및 경영성과'!AR6</f>
        <v>0</v>
      </c>
      <c r="Q38" s="596">
        <f>'2. 의사결정 및 경영성과'!AU6</f>
        <v>0</v>
      </c>
      <c r="R38" s="596">
        <f>'2. 의사결정 및 경영성과'!AX6</f>
        <v>0</v>
      </c>
      <c r="S38" s="596">
        <f>'2. 의사결정 및 경영성과'!BA6</f>
        <v>0</v>
      </c>
      <c r="T38" s="596">
        <f>'2. 의사결정 및 경영성과'!BD6</f>
        <v>0</v>
      </c>
      <c r="U38" s="596">
        <f>'2. 의사결정 및 경영성과'!BG6</f>
        <v>0</v>
      </c>
      <c r="V38" s="596">
        <f>'2. 의사결정 및 경영성과'!BJ6</f>
        <v>0</v>
      </c>
    </row>
    <row r="39" spans="1:46" s="594" customFormat="1" ht="22.5" customHeight="1">
      <c r="A39" s="1317"/>
      <c r="B39" s="179" t="s">
        <v>1163</v>
      </c>
      <c r="C39" s="596">
        <f>'2. 의사결정 및 경영성과'!F6</f>
        <v>89.344150690720568</v>
      </c>
      <c r="D39" s="596">
        <f>'2. 의사결정 및 경영성과'!I6</f>
        <v>93.833407702695908</v>
      </c>
      <c r="E39" s="596">
        <f>'2. 의사결정 및 경영성과'!L6</f>
        <v>96.447938367848167</v>
      </c>
      <c r="F39" s="596">
        <f>'2. 의사결정 및 경영성과'!O6</f>
        <v>98.434206978534107</v>
      </c>
      <c r="G39" s="596">
        <f>'2. 의사결정 및 경영성과'!R6</f>
        <v>100.57402294509015</v>
      </c>
      <c r="H39" s="596">
        <f>'2. 의사결정 및 경영성과'!U6</f>
        <v>103.54890773053327</v>
      </c>
      <c r="I39" s="596">
        <f>'2. 의사결정 및 경영성과'!X6</f>
        <v>105.19742686420128</v>
      </c>
      <c r="J39" s="596">
        <f>'2. 의사결정 및 경영성과'!AA6</f>
        <v>104.18727732147035</v>
      </c>
      <c r="K39" s="596">
        <f>'2. 의사결정 및 경영성과'!AD6</f>
        <v>103.86804741004315</v>
      </c>
      <c r="L39" s="596">
        <f>'2. 의사결정 및 경영성과'!AG6</f>
        <v>104.15265817142053</v>
      </c>
      <c r="M39" s="596">
        <f>'2. 의사결정 및 경영성과'!AJ6</f>
        <v>102.21242240817328</v>
      </c>
      <c r="N39" s="596">
        <f>'2. 의사결정 및 경영성과'!AM6</f>
        <v>100</v>
      </c>
      <c r="O39" s="596">
        <f>'2. 의사결정 및 경영성과'!AP6</f>
        <v>0</v>
      </c>
      <c r="P39" s="596">
        <f>'2. 의사결정 및 경영성과'!AS6</f>
        <v>0</v>
      </c>
      <c r="Q39" s="596">
        <f>'2. 의사결정 및 경영성과'!AV6</f>
        <v>0</v>
      </c>
      <c r="R39" s="596">
        <f>'2. 의사결정 및 경영성과'!AY6</f>
        <v>0</v>
      </c>
      <c r="S39" s="596">
        <f>'2. 의사결정 및 경영성과'!BB6</f>
        <v>0</v>
      </c>
      <c r="T39" s="596">
        <f>'2. 의사결정 및 경영성과'!BE6</f>
        <v>0</v>
      </c>
      <c r="U39" s="596">
        <f>'2. 의사결정 및 경영성과'!BH6</f>
        <v>0</v>
      </c>
      <c r="V39" s="596">
        <f>'2. 의사결정 및 경영성과'!BK6</f>
        <v>0</v>
      </c>
    </row>
    <row r="40" spans="1:46" s="594" customFormat="1" ht="22.5" customHeight="1" thickBot="1">
      <c r="A40" s="1318"/>
      <c r="B40" s="598" t="s">
        <v>1206</v>
      </c>
      <c r="C40" s="599">
        <f>'2. 의사결정 및 경영성과'!G6</f>
        <v>82.612313860287912</v>
      </c>
      <c r="D40" s="599">
        <f>'2. 의사결정 및 경영성과'!J6</f>
        <v>82.572931673092597</v>
      </c>
      <c r="E40" s="599">
        <f>'2. 의사결정 및 경영성과'!M6</f>
        <v>82.760083779583923</v>
      </c>
      <c r="F40" s="599">
        <f>'2. 의사결정 및 경영성과'!P6</f>
        <v>81.361394316122954</v>
      </c>
      <c r="G40" s="599">
        <f>'2. 의사결정 및 경영성과'!S6</f>
        <v>82.219089547104346</v>
      </c>
      <c r="H40" s="599">
        <f>'2. 의사결정 및 경영성과'!V6</f>
        <v>86.109986910755495</v>
      </c>
      <c r="I40" s="599">
        <f>'2. 의사결정 및 경영성과'!Y6</f>
        <v>88.185343773765098</v>
      </c>
      <c r="J40" s="599">
        <f>'2. 의사결정 및 경영성과'!AB6</f>
        <v>88.67893851478506</v>
      </c>
      <c r="K40" s="599">
        <f>'2. 의사결정 및 경영성과'!AE6</f>
        <v>92.097320115192204</v>
      </c>
      <c r="L40" s="599">
        <f>'2. 의사결정 및 경영성과'!AH6</f>
        <v>96.48398014058796</v>
      </c>
      <c r="M40" s="599">
        <f>'2. 의사결정 및 경영성과'!AK6</f>
        <v>99.220696732016776</v>
      </c>
      <c r="N40" s="599">
        <f>'2. 의사결정 및 경영성과'!AN6</f>
        <v>100</v>
      </c>
      <c r="O40" s="599">
        <f>'2. 의사결정 및 경영성과'!AQ6</f>
        <v>0</v>
      </c>
      <c r="P40" s="599">
        <f>'2. 의사결정 및 경영성과'!AT6</f>
        <v>0</v>
      </c>
      <c r="Q40" s="599">
        <f>'2. 의사결정 및 경영성과'!AW6</f>
        <v>0</v>
      </c>
      <c r="R40" s="599">
        <f>'2. 의사결정 및 경영성과'!AZ6</f>
        <v>0</v>
      </c>
      <c r="S40" s="599">
        <f>'2. 의사결정 및 경영성과'!BC6</f>
        <v>0</v>
      </c>
      <c r="T40" s="599">
        <f>'2. 의사결정 및 경영성과'!BF6</f>
        <v>0</v>
      </c>
      <c r="U40" s="599">
        <f>'2. 의사결정 및 경영성과'!BI6</f>
        <v>0</v>
      </c>
      <c r="V40" s="599">
        <f>'2. 의사결정 및 경영성과'!BL6</f>
        <v>0</v>
      </c>
    </row>
    <row r="41" spans="1:46" s="594" customFormat="1" ht="22.5" customHeight="1" thickTop="1">
      <c r="A41" s="1321" t="s">
        <v>750</v>
      </c>
      <c r="B41" s="600" t="s">
        <v>749</v>
      </c>
      <c r="C41" s="601">
        <f>'2. 의사결정 및 경영성과'!E7</f>
        <v>91.3</v>
      </c>
      <c r="D41" s="601">
        <f>'2. 의사결정 및 경영성과'!H7</f>
        <v>92.1</v>
      </c>
      <c r="E41" s="601">
        <f>'2. 의사결정 및 경영성과'!K7</f>
        <v>92.9</v>
      </c>
      <c r="F41" s="601">
        <f>'2. 의사결정 및 경영성과'!N7</f>
        <v>94.1</v>
      </c>
      <c r="G41" s="601">
        <f>'2. 의사결정 및 경영성과'!Q7</f>
        <v>94.9</v>
      </c>
      <c r="H41" s="601">
        <f>'2. 의사결정 및 경영성과'!T7</f>
        <v>95.7</v>
      </c>
      <c r="I41" s="601">
        <f>'2. 의사결정 및 경영성과'!W7</f>
        <v>96.4</v>
      </c>
      <c r="J41" s="601">
        <f>'2. 의사결정 및 경영성과'!Z7</f>
        <v>97</v>
      </c>
      <c r="K41" s="601">
        <f>'2. 의사결정 및 경영성과'!AC7</f>
        <v>97.7</v>
      </c>
      <c r="L41" s="601">
        <f>'2. 의사결정 및 경영성과'!AF7</f>
        <v>98.5</v>
      </c>
      <c r="M41" s="601">
        <f>'2. 의사결정 및 경영성과'!AI7</f>
        <v>99.2</v>
      </c>
      <c r="N41" s="601">
        <f>'2. 의사결정 및 경영성과'!AL7</f>
        <v>100</v>
      </c>
      <c r="O41" s="601">
        <f>'2. 의사결정 및 경영성과'!AO7</f>
        <v>0</v>
      </c>
      <c r="P41" s="601">
        <f>'2. 의사결정 및 경영성과'!AR7</f>
        <v>0</v>
      </c>
      <c r="Q41" s="601">
        <f>'2. 의사결정 및 경영성과'!AU7</f>
        <v>0</v>
      </c>
      <c r="R41" s="601">
        <f>'2. 의사결정 및 경영성과'!AX7</f>
        <v>0</v>
      </c>
      <c r="S41" s="601">
        <f>'2. 의사결정 및 경영성과'!BA7</f>
        <v>0</v>
      </c>
      <c r="T41" s="601">
        <f>'2. 의사결정 및 경영성과'!BD7</f>
        <v>0</v>
      </c>
      <c r="U41" s="601">
        <f>'2. 의사결정 및 경영성과'!BG7</f>
        <v>0</v>
      </c>
      <c r="V41" s="601">
        <f>'2. 의사결정 및 경영성과'!BJ7</f>
        <v>0</v>
      </c>
    </row>
    <row r="42" spans="1:46" s="594" customFormat="1" ht="22.5" customHeight="1">
      <c r="A42" s="1317"/>
      <c r="B42" s="179" t="s">
        <v>1163</v>
      </c>
      <c r="C42" s="596">
        <f>'2. 의사결정 및 경영성과'!F7</f>
        <v>92.9</v>
      </c>
      <c r="D42" s="596">
        <f>'2. 의사결정 및 경영성과'!I7</f>
        <v>93.4</v>
      </c>
      <c r="E42" s="596">
        <f>'2. 의사결정 및 경영성과'!L7</f>
        <v>94.2</v>
      </c>
      <c r="F42" s="596">
        <f>'2. 의사결정 및 경영성과'!O7</f>
        <v>95</v>
      </c>
      <c r="G42" s="596">
        <f>'2. 의사결정 및 경영성과'!R7</f>
        <v>95.6</v>
      </c>
      <c r="H42" s="596">
        <f>'2. 의사결정 및 경영성과'!U7</f>
        <v>96.2</v>
      </c>
      <c r="I42" s="596">
        <f>'2. 의사결정 및 경영성과'!X7</f>
        <v>97</v>
      </c>
      <c r="J42" s="596">
        <f>'2. 의사결정 및 경영성과'!AA7</f>
        <v>97.5</v>
      </c>
      <c r="K42" s="596">
        <f>'2. 의사결정 및 경영성과'!AD7</f>
        <v>98.1</v>
      </c>
      <c r="L42" s="596">
        <f>'2. 의사결정 및 경영성과'!AG7</f>
        <v>98.8</v>
      </c>
      <c r="M42" s="596">
        <f>'2. 의사결정 및 경영성과'!AJ7</f>
        <v>99.4</v>
      </c>
      <c r="N42" s="596">
        <f>'2. 의사결정 및 경영성과'!AM7</f>
        <v>100</v>
      </c>
      <c r="O42" s="596">
        <f>'2. 의사결정 및 경영성과'!AP7</f>
        <v>0</v>
      </c>
      <c r="P42" s="596">
        <f>'2. 의사결정 및 경영성과'!AS7</f>
        <v>0</v>
      </c>
      <c r="Q42" s="596">
        <f>'2. 의사결정 및 경영성과'!AV7</f>
        <v>0</v>
      </c>
      <c r="R42" s="596">
        <f>'2. 의사결정 및 경영성과'!AY7</f>
        <v>0</v>
      </c>
      <c r="S42" s="596">
        <f>'2. 의사결정 및 경영성과'!BB7</f>
        <v>0</v>
      </c>
      <c r="T42" s="596">
        <f>'2. 의사결정 및 경영성과'!BE7</f>
        <v>0</v>
      </c>
      <c r="U42" s="596">
        <f>'2. 의사결정 및 경영성과'!BH7</f>
        <v>0</v>
      </c>
      <c r="V42" s="596">
        <f>'2. 의사결정 및 경영성과'!BK7</f>
        <v>0</v>
      </c>
    </row>
    <row r="43" spans="1:46" s="594" customFormat="1" ht="22.5" customHeight="1" thickBot="1">
      <c r="A43" s="1320"/>
      <c r="B43" s="602" t="s">
        <v>1206</v>
      </c>
      <c r="C43" s="603">
        <f>'2. 의사결정 및 경영성과'!G7</f>
        <v>90.5</v>
      </c>
      <c r="D43" s="603">
        <f>'2. 의사결정 및 경영성과'!J7</f>
        <v>91.2</v>
      </c>
      <c r="E43" s="603">
        <f>'2. 의사결정 및 경영성과'!M7</f>
        <v>92.1</v>
      </c>
      <c r="F43" s="603">
        <f>'2. 의사결정 및 경영성과'!P7</f>
        <v>93</v>
      </c>
      <c r="G43" s="603">
        <f>'2. 의사결정 및 경영성과'!S7</f>
        <v>94</v>
      </c>
      <c r="H43" s="603">
        <f>'2. 의사결정 및 경영성과'!V7</f>
        <v>94.9</v>
      </c>
      <c r="I43" s="603">
        <f>'2. 의사결정 및 경영성과'!Y7</f>
        <v>95.7</v>
      </c>
      <c r="J43" s="603">
        <f>'2. 의사결정 및 경영성과'!AB7</f>
        <v>96.5</v>
      </c>
      <c r="K43" s="603">
        <f>'2. 의사결정 및 경영성과'!AE7</f>
        <v>97.3</v>
      </c>
      <c r="L43" s="603">
        <f>'2. 의사결정 및 경영성과'!AH7</f>
        <v>98.1</v>
      </c>
      <c r="M43" s="603">
        <f>'2. 의사결정 및 경영성과'!AK7</f>
        <v>99</v>
      </c>
      <c r="N43" s="603">
        <f>'2. 의사결정 및 경영성과'!AN7</f>
        <v>100</v>
      </c>
      <c r="O43" s="603">
        <f>'2. 의사결정 및 경영성과'!AQ7</f>
        <v>0</v>
      </c>
      <c r="P43" s="603">
        <f>'2. 의사결정 및 경영성과'!AT7</f>
        <v>0</v>
      </c>
      <c r="Q43" s="603">
        <f>'2. 의사결정 및 경영성과'!AW7</f>
        <v>0</v>
      </c>
      <c r="R43" s="603">
        <f>'2. 의사결정 및 경영성과'!AZ7</f>
        <v>0</v>
      </c>
      <c r="S43" s="603">
        <f>'2. 의사결정 및 경영성과'!BC7</f>
        <v>0</v>
      </c>
      <c r="T43" s="603">
        <f>'2. 의사결정 및 경영성과'!BF7</f>
        <v>0</v>
      </c>
      <c r="U43" s="603">
        <f>'2. 의사결정 및 경영성과'!BI7</f>
        <v>0</v>
      </c>
      <c r="V43" s="603">
        <f>'2. 의사결정 및 경영성과'!BL7</f>
        <v>0</v>
      </c>
    </row>
    <row r="44" spans="1:46" s="594" customFormat="1" ht="22.5" customHeight="1" thickTop="1">
      <c r="A44" s="1319" t="s">
        <v>668</v>
      </c>
      <c r="B44" s="600" t="s">
        <v>749</v>
      </c>
      <c r="C44" s="601">
        <v>1</v>
      </c>
      <c r="D44" s="601">
        <v>1</v>
      </c>
      <c r="E44" s="601">
        <v>1</v>
      </c>
      <c r="F44" s="601">
        <v>1</v>
      </c>
      <c r="G44" s="601">
        <v>1</v>
      </c>
      <c r="H44" s="601">
        <v>1</v>
      </c>
      <c r="I44" s="601">
        <v>1</v>
      </c>
      <c r="J44" s="601">
        <v>1</v>
      </c>
      <c r="K44" s="601">
        <v>1</v>
      </c>
      <c r="L44" s="601">
        <v>1</v>
      </c>
      <c r="M44" s="601">
        <v>1</v>
      </c>
      <c r="N44" s="601">
        <v>1</v>
      </c>
      <c r="O44" s="601">
        <f>'2. 의사결정 및 경영성과'!AO8</f>
        <v>0</v>
      </c>
      <c r="P44" s="601">
        <f>'2. 의사결정 및 경영성과'!AR8</f>
        <v>0</v>
      </c>
      <c r="Q44" s="601">
        <f>'2. 의사결정 및 경영성과'!AU8</f>
        <v>0</v>
      </c>
      <c r="R44" s="601">
        <f>'2. 의사결정 및 경영성과'!AX8</f>
        <v>0</v>
      </c>
      <c r="S44" s="601">
        <f>'2. 의사결정 및 경영성과'!BA8</f>
        <v>0</v>
      </c>
      <c r="T44" s="601">
        <f>'2. 의사결정 및 경영성과'!BD8</f>
        <v>0</v>
      </c>
      <c r="U44" s="601">
        <f>'2. 의사결정 및 경영성과'!BG8</f>
        <v>0</v>
      </c>
      <c r="V44" s="601">
        <f>'2. 의사결정 및 경영성과'!BJ8</f>
        <v>0</v>
      </c>
    </row>
    <row r="45" spans="1:46" s="594" customFormat="1" ht="22.5" customHeight="1">
      <c r="A45" s="1317"/>
      <c r="B45" s="179" t="s">
        <v>1163</v>
      </c>
      <c r="C45" s="596">
        <f>'2. 의사결정 및 경영성과'!F8</f>
        <v>1050</v>
      </c>
      <c r="D45" s="596">
        <f>'2. 의사결정 및 경영성과'!I8</f>
        <v>1060</v>
      </c>
      <c r="E45" s="596">
        <f>'2. 의사결정 및 경영성과'!L8</f>
        <v>1072</v>
      </c>
      <c r="F45" s="596">
        <f>'2. 의사결정 및 경영성과'!O8</f>
        <v>1080</v>
      </c>
      <c r="G45" s="596">
        <f>'2. 의사결정 및 경영성과'!R8</f>
        <v>1082</v>
      </c>
      <c r="H45" s="596">
        <f>'2. 의사결정 및 경영성과'!U8</f>
        <v>1083</v>
      </c>
      <c r="I45" s="596">
        <f>'2. 의사결정 및 경영성과'!X8</f>
        <v>1090</v>
      </c>
      <c r="J45" s="596">
        <f>'2. 의사결정 및 경영성과'!AA8</f>
        <v>1098</v>
      </c>
      <c r="K45" s="596">
        <f>'2. 의사결정 및 경영성과'!AD8</f>
        <v>1104</v>
      </c>
      <c r="L45" s="596">
        <f>'2. 의사결정 및 경영성과'!AG8</f>
        <v>1106</v>
      </c>
      <c r="M45" s="596">
        <f>'2. 의사결정 및 경영성과'!AJ8</f>
        <v>1102</v>
      </c>
      <c r="N45" s="596">
        <f>'2. 의사결정 및 경영성과'!AM8</f>
        <v>1100</v>
      </c>
      <c r="O45" s="596">
        <f>'2. 의사결정 및 경영성과'!AP8</f>
        <v>0</v>
      </c>
      <c r="P45" s="596">
        <f>'2. 의사결정 및 경영성과'!AS8</f>
        <v>0</v>
      </c>
      <c r="Q45" s="596">
        <f>'2. 의사결정 및 경영성과'!AV8</f>
        <v>0</v>
      </c>
      <c r="R45" s="596">
        <f>'2. 의사결정 및 경영성과'!AY8</f>
        <v>0</v>
      </c>
      <c r="S45" s="596">
        <f>'2. 의사결정 및 경영성과'!BB8</f>
        <v>0</v>
      </c>
      <c r="T45" s="596">
        <f>'2. 의사결정 및 경영성과'!BE8</f>
        <v>0</v>
      </c>
      <c r="U45" s="596">
        <f>'2. 의사결정 및 경영성과'!BH8</f>
        <v>0</v>
      </c>
      <c r="V45" s="596">
        <f>'2. 의사결정 및 경영성과'!BK8</f>
        <v>0</v>
      </c>
    </row>
    <row r="46" spans="1:46" s="594" customFormat="1" ht="22.5" customHeight="1" thickBot="1">
      <c r="A46" s="1320"/>
      <c r="B46" s="602" t="s">
        <v>1206</v>
      </c>
      <c r="C46" s="603">
        <f>'2. 의사결정 및 경영성과'!G8</f>
        <v>199</v>
      </c>
      <c r="D46" s="603">
        <f>'2. 의사결정 및 경영성과'!J8</f>
        <v>197</v>
      </c>
      <c r="E46" s="603">
        <f>'2. 의사결정 및 경영성과'!M8</f>
        <v>195</v>
      </c>
      <c r="F46" s="603">
        <f>'2. 의사결정 및 경영성과'!P8</f>
        <v>193</v>
      </c>
      <c r="G46" s="603">
        <f>'2. 의사결정 및 경영성과'!S8</f>
        <v>189</v>
      </c>
      <c r="H46" s="603">
        <f>'2. 의사결정 및 경영성과'!V8</f>
        <v>188</v>
      </c>
      <c r="I46" s="603">
        <f>'2. 의사결정 및 경영성과'!Y8</f>
        <v>187</v>
      </c>
      <c r="J46" s="603">
        <f>'2. 의사결정 및 경영성과'!AB8</f>
        <v>185</v>
      </c>
      <c r="K46" s="603">
        <f>'2. 의사결정 및 경영성과'!AE8</f>
        <v>179</v>
      </c>
      <c r="L46" s="603">
        <f>'2. 의사결정 및 경영성과'!AH8</f>
        <v>176</v>
      </c>
      <c r="M46" s="603">
        <f>'2. 의사결정 및 경영성과'!AK8</f>
        <v>175.3</v>
      </c>
      <c r="N46" s="603">
        <f>'2. 의사결정 및 경영성과'!AN8</f>
        <v>175</v>
      </c>
      <c r="O46" s="603">
        <f>'2. 의사결정 및 경영성과'!AQ8</f>
        <v>0</v>
      </c>
      <c r="P46" s="603">
        <f>'2. 의사결정 및 경영성과'!AT8</f>
        <v>0</v>
      </c>
      <c r="Q46" s="603">
        <f>'2. 의사결정 및 경영성과'!AW8</f>
        <v>0</v>
      </c>
      <c r="R46" s="603">
        <f>'2. 의사결정 및 경영성과'!AZ8</f>
        <v>0</v>
      </c>
      <c r="S46" s="603">
        <f>'2. 의사결정 및 경영성과'!BC8</f>
        <v>0</v>
      </c>
      <c r="T46" s="603">
        <f>'2. 의사결정 및 경영성과'!BF8</f>
        <v>0</v>
      </c>
      <c r="U46" s="603">
        <f>'2. 의사결정 및 경영성과'!BI8</f>
        <v>0</v>
      </c>
      <c r="V46" s="603">
        <f>'2. 의사결정 및 경영성과'!BL8</f>
        <v>0</v>
      </c>
    </row>
    <row r="47" spans="1:46" s="609" customFormat="1" ht="22.5" customHeight="1" thickTop="1">
      <c r="A47" s="1322" t="s">
        <v>751</v>
      </c>
      <c r="B47" s="604" t="s">
        <v>749</v>
      </c>
      <c r="C47" s="605">
        <f>'2. 의사결정 및 경영성과'!E68</f>
        <v>38739</v>
      </c>
      <c r="D47" s="605">
        <f>'2. 의사결정 및 경영성과'!H68</f>
        <v>49455</v>
      </c>
      <c r="E47" s="606">
        <f>'2. 의사결정 및 경영성과'!K68</f>
        <v>46095</v>
      </c>
      <c r="F47" s="607">
        <f>'2. 의사결정 및 경영성과'!N68</f>
        <v>53923</v>
      </c>
      <c r="G47" s="607">
        <f>'2. 의사결정 및 경영성과'!Q68</f>
        <v>38959</v>
      </c>
      <c r="H47" s="607">
        <f>'2. 의사결정 및 경영성과'!T68</f>
        <v>59451</v>
      </c>
      <c r="I47" s="607">
        <f>'2. 의사결정 및 경영성과'!W68</f>
        <v>53746</v>
      </c>
      <c r="J47" s="607">
        <f>'2. 의사결정 및 경영성과'!Z68</f>
        <v>73267</v>
      </c>
      <c r="K47" s="607">
        <f>'2. 의사결정 및 경영성과'!AC68</f>
        <v>65552</v>
      </c>
      <c r="L47" s="607">
        <f>'2. 의사결정 및 경영성과'!AF68</f>
        <v>80232</v>
      </c>
      <c r="M47" s="607">
        <f>'2. 의사결정 및 경영성과'!AI68</f>
        <v>69981</v>
      </c>
      <c r="N47" s="607">
        <f>'2. 의사결정 및 경영성과'!AL68</f>
        <v>66680</v>
      </c>
      <c r="O47" s="607">
        <f>'2. 의사결정 및 경영성과'!AO68</f>
        <v>0</v>
      </c>
      <c r="P47" s="607">
        <f>'2. 의사결정 및 경영성과'!AR68</f>
        <v>0</v>
      </c>
      <c r="Q47" s="607">
        <f>'2. 의사결정 및 경영성과'!AU68</f>
        <v>0</v>
      </c>
      <c r="R47" s="607">
        <f>'2. 의사결정 및 경영성과'!AX68</f>
        <v>0</v>
      </c>
      <c r="S47" s="607">
        <f>'2. 의사결정 및 경영성과'!BA68</f>
        <v>0</v>
      </c>
      <c r="T47" s="607">
        <f>'2. 의사결정 및 경영성과'!BD68</f>
        <v>0</v>
      </c>
      <c r="U47" s="607">
        <f>'2. 의사결정 및 경영성과'!BG68</f>
        <v>0</v>
      </c>
      <c r="V47" s="607">
        <f>'2. 의사결정 및 경영성과'!BJ68</f>
        <v>0</v>
      </c>
      <c r="W47" s="608"/>
      <c r="X47" s="608"/>
      <c r="Y47" s="608"/>
      <c r="Z47" s="608"/>
      <c r="AA47" s="608"/>
      <c r="AB47" s="608"/>
      <c r="AC47" s="608"/>
      <c r="AD47" s="608"/>
      <c r="AE47" s="608"/>
      <c r="AF47" s="608"/>
      <c r="AG47" s="608"/>
      <c r="AH47" s="608"/>
      <c r="AI47" s="608"/>
      <c r="AJ47" s="608"/>
      <c r="AK47" s="608"/>
      <c r="AL47" s="608"/>
      <c r="AM47" s="608"/>
      <c r="AN47" s="608"/>
      <c r="AO47" s="608"/>
      <c r="AP47" s="608"/>
      <c r="AQ47" s="608"/>
      <c r="AR47" s="608"/>
      <c r="AS47" s="608"/>
      <c r="AT47" s="608"/>
    </row>
    <row r="48" spans="1:46" s="609" customFormat="1" ht="22.5" customHeight="1">
      <c r="A48" s="1323"/>
      <c r="B48" s="610" t="s">
        <v>1163</v>
      </c>
      <c r="C48" s="610">
        <f>'2. 의사결정 및 경영성과'!F68</f>
        <v>23963</v>
      </c>
      <c r="D48" s="610">
        <f>'2. 의사결정 및 경영성과'!I68</f>
        <v>32381</v>
      </c>
      <c r="E48" s="597">
        <f>'2. 의사결정 및 경영성과'!L68</f>
        <v>34739</v>
      </c>
      <c r="F48" s="597">
        <f>'2. 의사결정 및 경영성과'!O68</f>
        <v>39025</v>
      </c>
      <c r="G48" s="597">
        <f>'2. 의사결정 및 경영성과'!R68</f>
        <v>34074</v>
      </c>
      <c r="H48" s="597">
        <f>'2. 의사결정 및 경영성과'!U68</f>
        <v>39074</v>
      </c>
      <c r="I48" s="597">
        <f>'2. 의사결정 및 경영성과'!X68</f>
        <v>39354</v>
      </c>
      <c r="J48" s="597">
        <f>'2. 의사결정 및 경영성과'!AA68</f>
        <v>40033</v>
      </c>
      <c r="K48" s="597">
        <f>'2. 의사결정 및 경영성과'!AD68</f>
        <v>33564</v>
      </c>
      <c r="L48" s="597">
        <f>'2. 의사결정 및 경영성과'!AG68</f>
        <v>36277</v>
      </c>
      <c r="M48" s="597">
        <f>'2. 의사결정 및 경영성과'!AJ68</f>
        <v>33702</v>
      </c>
      <c r="N48" s="597">
        <f>'2. 의사결정 및 경영성과'!AM68</f>
        <v>32680</v>
      </c>
      <c r="O48" s="597">
        <f>'2. 의사결정 및 경영성과'!AP68</f>
        <v>0</v>
      </c>
      <c r="P48" s="597">
        <f>'2. 의사결정 및 경영성과'!AS68</f>
        <v>0</v>
      </c>
      <c r="Q48" s="597">
        <f>'2. 의사결정 및 경영성과'!AV68</f>
        <v>0</v>
      </c>
      <c r="R48" s="597">
        <f>'2. 의사결정 및 경영성과'!AY68</f>
        <v>0</v>
      </c>
      <c r="S48" s="597">
        <f>'2. 의사결정 및 경영성과'!BB68</f>
        <v>0</v>
      </c>
      <c r="T48" s="597">
        <f>'2. 의사결정 및 경영성과'!BE68</f>
        <v>0</v>
      </c>
      <c r="U48" s="597">
        <f>'2. 의사결정 및 경영성과'!BH68</f>
        <v>0</v>
      </c>
      <c r="V48" s="597">
        <f>'2. 의사결정 및 경영성과'!BK68</f>
        <v>0</v>
      </c>
      <c r="W48" s="608"/>
      <c r="X48" s="608"/>
      <c r="Y48" s="608"/>
      <c r="Z48" s="608"/>
      <c r="AA48" s="608"/>
      <c r="AB48" s="608"/>
      <c r="AC48" s="608"/>
      <c r="AD48" s="608"/>
      <c r="AE48" s="608"/>
      <c r="AF48" s="608"/>
      <c r="AG48" s="608"/>
      <c r="AH48" s="608"/>
      <c r="AI48" s="608"/>
      <c r="AJ48" s="608"/>
      <c r="AK48" s="608"/>
      <c r="AL48" s="608"/>
      <c r="AM48" s="608"/>
      <c r="AN48" s="608"/>
      <c r="AO48" s="608"/>
      <c r="AP48" s="608"/>
      <c r="AQ48" s="608"/>
      <c r="AR48" s="608"/>
      <c r="AS48" s="608"/>
      <c r="AT48" s="608"/>
    </row>
    <row r="49" spans="1:46" s="609" customFormat="1" ht="22.5" customHeight="1">
      <c r="A49" s="1323"/>
      <c r="B49" s="610" t="s">
        <v>1206</v>
      </c>
      <c r="C49" s="604">
        <f>'2. 의사결정 및 경영성과'!G68</f>
        <v>5497</v>
      </c>
      <c r="D49" s="604">
        <f>'2. 의사결정 및 경영성과'!J68</f>
        <v>13894</v>
      </c>
      <c r="E49" s="607">
        <f>'2. 의사결정 및 경영성과'!M68</f>
        <v>10568</v>
      </c>
      <c r="F49" s="597">
        <f>'2. 의사결정 및 경영성과'!P68</f>
        <v>13227</v>
      </c>
      <c r="G49" s="597">
        <f>'2. 의사결정 및 경영성과'!S68</f>
        <v>4700</v>
      </c>
      <c r="H49" s="597">
        <f>'2. 의사결정 및 경영성과'!V68</f>
        <v>15478</v>
      </c>
      <c r="I49" s="597">
        <f>'2. 의사결정 및 경영성과'!Y68</f>
        <v>15275</v>
      </c>
      <c r="J49" s="597">
        <f>'2. 의사결정 및 경영성과'!AB68</f>
        <v>21414</v>
      </c>
      <c r="K49" s="597">
        <f>'2. 의사결정 및 경영성과'!AE68</f>
        <v>17504</v>
      </c>
      <c r="L49" s="597">
        <f>'2. 의사결정 및 경영성과'!AH68</f>
        <v>28354</v>
      </c>
      <c r="M49" s="597">
        <f>'2. 의사결정 및 경영성과'!AK68</f>
        <v>28320</v>
      </c>
      <c r="N49" s="597">
        <f>'2. 의사결정 및 경영성과'!AN68</f>
        <v>30500</v>
      </c>
      <c r="O49" s="597">
        <f>'2. 의사결정 및 경영성과'!AQ68</f>
        <v>0</v>
      </c>
      <c r="P49" s="597">
        <f>'2. 의사결정 및 경영성과'!AT68</f>
        <v>0</v>
      </c>
      <c r="Q49" s="597">
        <f>'2. 의사결정 및 경영성과'!AW68</f>
        <v>0</v>
      </c>
      <c r="R49" s="597">
        <f>'2. 의사결정 및 경영성과'!AZ68</f>
        <v>0</v>
      </c>
      <c r="S49" s="597">
        <f>'2. 의사결정 및 경영성과'!BC68</f>
        <v>0</v>
      </c>
      <c r="T49" s="597">
        <f>'2. 의사결정 및 경영성과'!BF68</f>
        <v>0</v>
      </c>
      <c r="U49" s="597">
        <f>'2. 의사결정 및 경영성과'!BI68</f>
        <v>0</v>
      </c>
      <c r="V49" s="597">
        <f>'2. 의사결정 및 경영성과'!BL68</f>
        <v>0</v>
      </c>
      <c r="W49" s="608"/>
      <c r="X49" s="608"/>
      <c r="Y49" s="608"/>
      <c r="Z49" s="608"/>
      <c r="AA49" s="608"/>
      <c r="AB49" s="608"/>
      <c r="AC49" s="608"/>
      <c r="AD49" s="608"/>
      <c r="AE49" s="608"/>
      <c r="AF49" s="608"/>
      <c r="AG49" s="608"/>
      <c r="AH49" s="608"/>
      <c r="AI49" s="608"/>
      <c r="AJ49" s="608"/>
      <c r="AK49" s="608"/>
      <c r="AL49" s="608"/>
      <c r="AM49" s="608"/>
      <c r="AN49" s="608"/>
      <c r="AO49" s="608"/>
      <c r="AP49" s="608"/>
      <c r="AQ49" s="608"/>
      <c r="AR49" s="608"/>
      <c r="AS49" s="608"/>
      <c r="AT49" s="608"/>
    </row>
    <row r="50" spans="1:46" s="609" customFormat="1" ht="22.5" customHeight="1">
      <c r="A50" s="1324"/>
      <c r="B50" s="610" t="s">
        <v>752</v>
      </c>
      <c r="C50" s="597">
        <f>SUM(C47:C49)</f>
        <v>68199</v>
      </c>
      <c r="D50" s="597">
        <f t="shared" ref="D50:N50" si="0">SUM(D47:D49)</f>
        <v>95730</v>
      </c>
      <c r="E50" s="597">
        <f t="shared" si="0"/>
        <v>91402</v>
      </c>
      <c r="F50" s="597">
        <f t="shared" si="0"/>
        <v>106175</v>
      </c>
      <c r="G50" s="597">
        <f t="shared" si="0"/>
        <v>77733</v>
      </c>
      <c r="H50" s="597">
        <f t="shared" si="0"/>
        <v>114003</v>
      </c>
      <c r="I50" s="597">
        <f t="shared" si="0"/>
        <v>108375</v>
      </c>
      <c r="J50" s="597">
        <f t="shared" si="0"/>
        <v>134714</v>
      </c>
      <c r="K50" s="597">
        <f t="shared" si="0"/>
        <v>116620</v>
      </c>
      <c r="L50" s="597">
        <f t="shared" si="0"/>
        <v>144863</v>
      </c>
      <c r="M50" s="597">
        <f t="shared" si="0"/>
        <v>132003</v>
      </c>
      <c r="N50" s="597">
        <f t="shared" si="0"/>
        <v>129860</v>
      </c>
      <c r="O50" s="597">
        <f t="shared" ref="O50:V50" si="1">SUM(O47:O49)</f>
        <v>0</v>
      </c>
      <c r="P50" s="597">
        <f t="shared" si="1"/>
        <v>0</v>
      </c>
      <c r="Q50" s="597">
        <f t="shared" si="1"/>
        <v>0</v>
      </c>
      <c r="R50" s="597">
        <f t="shared" si="1"/>
        <v>0</v>
      </c>
      <c r="S50" s="597">
        <f t="shared" si="1"/>
        <v>0</v>
      </c>
      <c r="T50" s="597">
        <f t="shared" si="1"/>
        <v>0</v>
      </c>
      <c r="U50" s="597">
        <f t="shared" si="1"/>
        <v>0</v>
      </c>
      <c r="V50" s="597">
        <f t="shared" si="1"/>
        <v>0</v>
      </c>
      <c r="W50" s="608"/>
      <c r="X50" s="608"/>
      <c r="Y50" s="608"/>
      <c r="Z50" s="608"/>
      <c r="AA50" s="608"/>
      <c r="AB50" s="608"/>
      <c r="AC50" s="608"/>
      <c r="AD50" s="608"/>
      <c r="AE50" s="608"/>
      <c r="AF50" s="608"/>
      <c r="AG50" s="608"/>
      <c r="AH50" s="608"/>
      <c r="AI50" s="608"/>
      <c r="AJ50" s="608"/>
      <c r="AK50" s="608"/>
      <c r="AL50" s="608"/>
      <c r="AM50" s="608"/>
      <c r="AN50" s="608"/>
      <c r="AO50" s="608"/>
      <c r="AP50" s="608"/>
      <c r="AQ50" s="608"/>
      <c r="AR50" s="608"/>
      <c r="AS50" s="608"/>
      <c r="AT50" s="608"/>
    </row>
    <row r="51" spans="1:46" ht="22.5" customHeight="1"/>
    <row r="52" spans="1:46" ht="22.5" customHeight="1"/>
    <row r="53" spans="1:46" ht="22.5" customHeight="1"/>
    <row r="54" spans="1:46" ht="22.5" customHeight="1"/>
    <row r="55" spans="1:46" ht="22.5" customHeight="1"/>
    <row r="56" spans="1:46" ht="22.5" customHeight="1"/>
    <row r="57" spans="1:46" ht="22.5" customHeight="1"/>
    <row r="58" spans="1:46" ht="22.5" customHeight="1"/>
    <row r="59" spans="1:46" ht="22.5" customHeight="1"/>
    <row r="60" spans="1:46" ht="22.5" customHeight="1"/>
    <row r="61" spans="1:46" ht="22.5" customHeight="1"/>
    <row r="62" spans="1:46" ht="22.5" customHeight="1"/>
    <row r="63" spans="1:46" ht="22.5" customHeight="1"/>
    <row r="64" spans="1:46" ht="22.5" customHeight="1"/>
    <row r="65" spans="1:22" s="64" customFormat="1" ht="22.5" customHeight="1">
      <c r="A65" s="1313" t="s">
        <v>753</v>
      </c>
      <c r="B65" s="1313"/>
      <c r="C65" s="1313"/>
      <c r="D65" s="593"/>
      <c r="E65" s="110"/>
      <c r="F65" s="110"/>
      <c r="G65" s="110"/>
      <c r="H65" s="110"/>
      <c r="I65" s="110"/>
      <c r="J65" s="110"/>
      <c r="K65" s="110"/>
      <c r="L65" s="110"/>
      <c r="M65" s="110"/>
      <c r="N65" s="110"/>
      <c r="O65" s="110"/>
      <c r="P65" s="110"/>
      <c r="Q65" s="110"/>
      <c r="R65" s="110"/>
      <c r="S65" s="110"/>
      <c r="T65" s="110"/>
      <c r="U65" s="110"/>
      <c r="V65" s="110"/>
    </row>
    <row r="66" spans="1:22" s="64" customFormat="1" ht="22.5" customHeight="1">
      <c r="A66" s="110"/>
      <c r="B66" s="110"/>
      <c r="C66" s="110"/>
      <c r="D66" s="110"/>
      <c r="E66" s="110"/>
      <c r="F66" s="110"/>
      <c r="G66" s="110"/>
      <c r="H66" s="110"/>
      <c r="I66" s="110"/>
      <c r="J66" s="110"/>
      <c r="K66" s="110"/>
      <c r="L66" s="110"/>
      <c r="M66" s="110"/>
      <c r="N66" s="110"/>
      <c r="O66" s="110"/>
      <c r="P66" s="110"/>
      <c r="Q66" s="110"/>
      <c r="R66" s="110"/>
      <c r="S66" s="110"/>
      <c r="T66" s="110"/>
      <c r="U66" s="110"/>
      <c r="V66" s="110"/>
    </row>
    <row r="67" spans="1:22" s="64" customFormat="1" ht="22.5" customHeight="1">
      <c r="A67" s="110"/>
      <c r="B67" s="110"/>
      <c r="C67" s="110"/>
      <c r="D67" s="110"/>
      <c r="E67" s="110"/>
      <c r="F67" s="110"/>
      <c r="G67" s="110"/>
      <c r="H67" s="110"/>
      <c r="I67" s="110"/>
      <c r="J67" s="110"/>
      <c r="K67" s="110"/>
      <c r="L67" s="110"/>
      <c r="M67" s="110"/>
      <c r="N67" s="110"/>
      <c r="O67" s="110"/>
      <c r="P67" s="110"/>
      <c r="Q67" s="110"/>
      <c r="R67" s="110"/>
      <c r="S67" s="110"/>
      <c r="T67" s="110"/>
      <c r="U67" s="110"/>
      <c r="V67" s="110"/>
    </row>
    <row r="68" spans="1:22" s="64" customFormat="1" ht="22.5" customHeight="1">
      <c r="A68" s="110"/>
      <c r="B68" s="110"/>
      <c r="C68" s="110"/>
      <c r="D68" s="110"/>
      <c r="E68" s="110"/>
      <c r="F68" s="110"/>
      <c r="G68" s="110"/>
      <c r="H68" s="110"/>
      <c r="I68" s="110"/>
      <c r="J68" s="110"/>
      <c r="K68" s="110"/>
      <c r="L68" s="110"/>
      <c r="M68" s="110"/>
      <c r="N68" s="110"/>
      <c r="O68" s="110"/>
      <c r="P68" s="110"/>
      <c r="Q68" s="110"/>
      <c r="R68" s="110"/>
      <c r="S68" s="110"/>
      <c r="T68" s="110"/>
      <c r="U68" s="110"/>
      <c r="V68" s="110"/>
    </row>
    <row r="69" spans="1:22" s="64" customFormat="1" ht="22.5" customHeight="1">
      <c r="A69" s="110"/>
      <c r="B69" s="110"/>
      <c r="C69" s="110"/>
      <c r="D69" s="110"/>
      <c r="E69" s="110"/>
      <c r="F69" s="110"/>
      <c r="G69" s="110"/>
      <c r="H69" s="110"/>
      <c r="I69" s="110"/>
      <c r="J69" s="110"/>
      <c r="K69" s="110"/>
      <c r="L69" s="110"/>
      <c r="M69" s="110"/>
      <c r="N69" s="110"/>
      <c r="O69" s="110"/>
      <c r="P69" s="110"/>
      <c r="Q69" s="110"/>
      <c r="R69" s="110"/>
      <c r="S69" s="110"/>
      <c r="T69" s="110"/>
      <c r="U69" s="110"/>
      <c r="V69" s="110"/>
    </row>
    <row r="70" spans="1:22" s="64" customFormat="1" ht="22.5" customHeight="1">
      <c r="A70" s="110"/>
      <c r="B70" s="110"/>
      <c r="C70" s="110"/>
      <c r="D70" s="110"/>
      <c r="E70" s="110"/>
      <c r="F70" s="110"/>
      <c r="G70" s="110"/>
      <c r="H70" s="110"/>
      <c r="I70" s="110"/>
      <c r="J70" s="110"/>
      <c r="K70" s="110"/>
      <c r="L70" s="110"/>
      <c r="M70" s="110"/>
      <c r="N70" s="110"/>
      <c r="O70" s="110"/>
      <c r="P70" s="110"/>
      <c r="Q70" s="110"/>
      <c r="R70" s="110"/>
      <c r="S70" s="110"/>
      <c r="T70" s="110"/>
      <c r="U70" s="110"/>
      <c r="V70" s="110"/>
    </row>
    <row r="71" spans="1:22" s="64" customFormat="1" ht="22.5" customHeight="1">
      <c r="A71" s="110"/>
      <c r="B71" s="110"/>
      <c r="C71" s="110"/>
      <c r="D71" s="110"/>
      <c r="E71" s="110"/>
      <c r="F71" s="110"/>
      <c r="G71" s="110"/>
      <c r="H71" s="110"/>
      <c r="I71" s="110"/>
      <c r="J71" s="110"/>
      <c r="K71" s="110"/>
      <c r="L71" s="110"/>
      <c r="M71" s="110"/>
      <c r="N71" s="110"/>
      <c r="O71" s="110"/>
      <c r="P71" s="110"/>
      <c r="Q71" s="110"/>
      <c r="R71" s="110"/>
      <c r="S71" s="110"/>
      <c r="T71" s="110"/>
      <c r="U71" s="110"/>
      <c r="V71" s="110"/>
    </row>
    <row r="72" spans="1:22" s="64" customFormat="1" ht="22.5" customHeight="1">
      <c r="A72" s="110"/>
      <c r="B72" s="110"/>
      <c r="C72" s="110"/>
      <c r="D72" s="110"/>
      <c r="E72" s="110"/>
      <c r="F72" s="110"/>
      <c r="G72" s="110"/>
      <c r="H72" s="110"/>
      <c r="I72" s="110"/>
      <c r="J72" s="110"/>
      <c r="K72" s="110"/>
      <c r="L72" s="110"/>
      <c r="M72" s="110"/>
      <c r="N72" s="110"/>
      <c r="O72" s="110"/>
      <c r="P72" s="110"/>
      <c r="Q72" s="110"/>
      <c r="R72" s="110"/>
      <c r="S72" s="110"/>
      <c r="T72" s="110"/>
      <c r="U72" s="110"/>
      <c r="V72" s="110"/>
    </row>
    <row r="73" spans="1:22" s="64" customFormat="1" ht="22.5" customHeight="1">
      <c r="A73" s="110"/>
      <c r="B73" s="110"/>
      <c r="C73" s="110"/>
      <c r="D73" s="110"/>
      <c r="E73" s="110"/>
      <c r="F73" s="110"/>
      <c r="G73" s="110"/>
      <c r="H73" s="110"/>
      <c r="I73" s="110"/>
      <c r="J73" s="110"/>
      <c r="K73" s="110"/>
      <c r="L73" s="110"/>
      <c r="M73" s="110"/>
      <c r="N73" s="110"/>
      <c r="O73" s="110"/>
      <c r="P73" s="110"/>
      <c r="Q73" s="110"/>
      <c r="R73" s="110"/>
      <c r="S73" s="110"/>
      <c r="T73" s="110"/>
      <c r="U73" s="110"/>
      <c r="V73" s="110"/>
    </row>
    <row r="74" spans="1:22" s="64" customFormat="1" ht="22.5" customHeight="1">
      <c r="A74" s="110"/>
      <c r="B74" s="110"/>
      <c r="C74" s="110"/>
      <c r="D74" s="110"/>
      <c r="E74" s="110"/>
      <c r="F74" s="110"/>
      <c r="G74" s="110"/>
      <c r="H74" s="110"/>
      <c r="I74" s="110"/>
      <c r="J74" s="110"/>
      <c r="K74" s="110"/>
      <c r="L74" s="110"/>
      <c r="M74" s="110"/>
      <c r="N74" s="110"/>
      <c r="O74" s="110"/>
      <c r="P74" s="110"/>
      <c r="Q74" s="110"/>
      <c r="R74" s="110"/>
      <c r="S74" s="110"/>
      <c r="T74" s="110"/>
      <c r="U74" s="110"/>
      <c r="V74" s="110"/>
    </row>
    <row r="75" spans="1:22" s="64" customFormat="1" ht="22.5" customHeight="1">
      <c r="A75" s="110"/>
      <c r="B75" s="110"/>
      <c r="C75" s="110"/>
      <c r="D75" s="110"/>
      <c r="E75" s="110"/>
      <c r="F75" s="110"/>
      <c r="G75" s="110"/>
      <c r="H75" s="110"/>
      <c r="I75" s="110"/>
      <c r="J75" s="110"/>
      <c r="K75" s="110"/>
      <c r="L75" s="110"/>
      <c r="M75" s="110"/>
      <c r="N75" s="110"/>
      <c r="O75" s="110"/>
      <c r="P75" s="110"/>
      <c r="Q75" s="110"/>
      <c r="R75" s="110"/>
      <c r="S75" s="110"/>
      <c r="T75" s="110"/>
      <c r="U75" s="110"/>
      <c r="V75" s="110"/>
    </row>
    <row r="76" spans="1:22" s="64" customFormat="1" ht="22.5" customHeight="1">
      <c r="A76" s="110"/>
      <c r="B76" s="110"/>
      <c r="C76" s="110"/>
      <c r="D76" s="110"/>
      <c r="E76" s="110"/>
      <c r="F76" s="110"/>
      <c r="G76" s="110"/>
      <c r="H76" s="110"/>
      <c r="I76" s="110"/>
      <c r="J76" s="110"/>
      <c r="K76" s="110"/>
      <c r="L76" s="110"/>
      <c r="M76" s="110"/>
      <c r="N76" s="110"/>
      <c r="O76" s="110"/>
      <c r="P76" s="110"/>
      <c r="Q76" s="110"/>
      <c r="R76" s="110"/>
      <c r="S76" s="110"/>
      <c r="T76" s="110"/>
      <c r="U76" s="110"/>
      <c r="V76" s="110"/>
    </row>
    <row r="77" spans="1:22" s="64" customFormat="1" ht="22.5" customHeight="1">
      <c r="A77" s="110"/>
      <c r="B77" s="110"/>
      <c r="C77" s="110"/>
      <c r="D77" s="110"/>
      <c r="E77" s="110"/>
      <c r="F77" s="110"/>
      <c r="G77" s="110"/>
      <c r="H77" s="110"/>
      <c r="I77" s="110"/>
      <c r="J77" s="110"/>
      <c r="K77" s="110"/>
      <c r="L77" s="110"/>
      <c r="M77" s="110"/>
      <c r="N77" s="110"/>
      <c r="O77" s="110"/>
      <c r="P77" s="110"/>
      <c r="Q77" s="110"/>
      <c r="R77" s="110"/>
      <c r="S77" s="110"/>
      <c r="T77" s="110"/>
      <c r="U77" s="110"/>
      <c r="V77" s="110"/>
    </row>
    <row r="78" spans="1:22" s="64" customFormat="1" ht="18" customHeight="1">
      <c r="A78" s="110"/>
      <c r="B78" s="110"/>
      <c r="C78" s="110"/>
      <c r="D78" s="110"/>
      <c r="E78" s="110"/>
      <c r="F78" s="110"/>
      <c r="G78" s="110"/>
      <c r="H78" s="110"/>
      <c r="I78" s="110"/>
      <c r="J78" s="110"/>
      <c r="K78" s="110"/>
      <c r="L78" s="110"/>
      <c r="M78" s="110"/>
      <c r="N78" s="110"/>
      <c r="O78" s="110"/>
      <c r="P78" s="110"/>
      <c r="Q78" s="110"/>
      <c r="R78" s="110"/>
      <c r="S78" s="110"/>
      <c r="T78" s="110"/>
      <c r="U78" s="110"/>
      <c r="V78" s="110"/>
    </row>
    <row r="79" spans="1:22" s="64" customFormat="1" ht="22.5" customHeight="1">
      <c r="A79" s="110"/>
      <c r="B79" s="110"/>
      <c r="C79" s="110"/>
      <c r="D79" s="110"/>
      <c r="E79" s="110"/>
      <c r="F79" s="110"/>
      <c r="G79" s="110"/>
      <c r="H79" s="110"/>
      <c r="I79" s="110"/>
      <c r="J79" s="110"/>
      <c r="K79" s="110"/>
      <c r="L79" s="110"/>
      <c r="M79" s="110"/>
      <c r="N79" s="110"/>
      <c r="O79" s="110"/>
      <c r="P79" s="110"/>
      <c r="Q79" s="110"/>
      <c r="R79" s="110"/>
      <c r="S79" s="110"/>
      <c r="T79" s="110"/>
      <c r="U79" s="110"/>
      <c r="V79" s="110"/>
    </row>
    <row r="80" spans="1:22" s="64" customFormat="1" ht="22.5" customHeight="1">
      <c r="A80" s="110"/>
      <c r="B80" s="110"/>
      <c r="C80" s="110"/>
      <c r="D80" s="110"/>
      <c r="E80" s="110"/>
      <c r="F80" s="110"/>
      <c r="G80" s="110"/>
      <c r="H80" s="110"/>
      <c r="I80" s="110"/>
      <c r="J80" s="110"/>
      <c r="K80" s="110"/>
      <c r="L80" s="110"/>
      <c r="M80" s="110"/>
      <c r="N80" s="110"/>
      <c r="O80" s="110"/>
      <c r="P80" s="110"/>
      <c r="Q80" s="110"/>
      <c r="R80" s="110"/>
      <c r="S80" s="110"/>
      <c r="T80" s="110"/>
      <c r="U80" s="110"/>
      <c r="V80" s="110"/>
    </row>
    <row r="81" spans="1:46" s="64" customFormat="1" ht="22.5" customHeight="1">
      <c r="A81" s="1313" t="s">
        <v>754</v>
      </c>
      <c r="B81" s="1313"/>
      <c r="C81" s="1313"/>
      <c r="D81" s="593"/>
      <c r="E81" s="110"/>
      <c r="F81" s="110"/>
      <c r="G81" s="110"/>
      <c r="H81" s="110"/>
      <c r="I81" s="110"/>
      <c r="J81" s="110"/>
      <c r="K81" s="110"/>
      <c r="L81" s="110"/>
      <c r="M81" s="110"/>
      <c r="N81" s="110"/>
      <c r="O81" s="110"/>
      <c r="P81" s="110"/>
      <c r="Q81" s="110"/>
      <c r="R81" s="110"/>
      <c r="S81" s="110"/>
      <c r="T81" s="110"/>
      <c r="U81" s="110"/>
      <c r="V81" s="110"/>
    </row>
    <row r="82" spans="1:46" s="594" customFormat="1" ht="22.5" customHeight="1">
      <c r="A82" s="110"/>
      <c r="B82" s="1314" t="s">
        <v>747</v>
      </c>
      <c r="C82" s="1314" t="s">
        <v>734</v>
      </c>
      <c r="D82" s="1314"/>
      <c r="E82" s="1314"/>
      <c r="F82" s="1314"/>
      <c r="G82" s="1314" t="s">
        <v>508</v>
      </c>
      <c r="H82" s="1314"/>
      <c r="I82" s="1314"/>
      <c r="J82" s="1314"/>
      <c r="K82" s="1314" t="s">
        <v>510</v>
      </c>
      <c r="L82" s="1314"/>
      <c r="M82" s="1314"/>
      <c r="N82" s="1314"/>
      <c r="O82" s="1314" t="s">
        <v>512</v>
      </c>
      <c r="P82" s="1314"/>
      <c r="Q82" s="1314"/>
      <c r="R82" s="1314"/>
      <c r="S82" s="1314" t="s">
        <v>516</v>
      </c>
      <c r="T82" s="1314"/>
      <c r="U82" s="1314"/>
      <c r="V82" s="1314"/>
      <c r="X82" s="595"/>
    </row>
    <row r="83" spans="1:46" s="594" customFormat="1" ht="22.5" customHeight="1">
      <c r="A83" s="110"/>
      <c r="B83" s="1314"/>
      <c r="C83" s="588" t="s">
        <v>736</v>
      </c>
      <c r="D83" s="588" t="s">
        <v>737</v>
      </c>
      <c r="E83" s="588" t="s">
        <v>738</v>
      </c>
      <c r="F83" s="588" t="s">
        <v>739</v>
      </c>
      <c r="G83" s="588" t="s">
        <v>736</v>
      </c>
      <c r="H83" s="588" t="s">
        <v>737</v>
      </c>
      <c r="I83" s="588" t="s">
        <v>738</v>
      </c>
      <c r="J83" s="588" t="s">
        <v>739</v>
      </c>
      <c r="K83" s="588" t="s">
        <v>736</v>
      </c>
      <c r="L83" s="588" t="s">
        <v>737</v>
      </c>
      <c r="M83" s="588" t="s">
        <v>738</v>
      </c>
      <c r="N83" s="588" t="s">
        <v>739</v>
      </c>
      <c r="O83" s="588" t="s">
        <v>736</v>
      </c>
      <c r="P83" s="588" t="s">
        <v>737</v>
      </c>
      <c r="Q83" s="588" t="s">
        <v>738</v>
      </c>
      <c r="R83" s="588" t="s">
        <v>739</v>
      </c>
      <c r="S83" s="588" t="s">
        <v>736</v>
      </c>
      <c r="T83" s="588" t="s">
        <v>737</v>
      </c>
      <c r="U83" s="588" t="s">
        <v>738</v>
      </c>
      <c r="V83" s="588" t="s">
        <v>739</v>
      </c>
      <c r="X83" s="595"/>
    </row>
    <row r="84" spans="1:46" s="609" customFormat="1" ht="22.5" customHeight="1">
      <c r="A84" s="110"/>
      <c r="B84" s="611" t="s">
        <v>755</v>
      </c>
      <c r="C84" s="610">
        <f>C$47</f>
        <v>38739</v>
      </c>
      <c r="D84" s="610">
        <f t="shared" ref="D84:V84" si="2">D$47</f>
        <v>49455</v>
      </c>
      <c r="E84" s="610">
        <f t="shared" si="2"/>
        <v>46095</v>
      </c>
      <c r="F84" s="610">
        <f t="shared" si="2"/>
        <v>53923</v>
      </c>
      <c r="G84" s="610">
        <f t="shared" si="2"/>
        <v>38959</v>
      </c>
      <c r="H84" s="610">
        <f t="shared" si="2"/>
        <v>59451</v>
      </c>
      <c r="I84" s="610">
        <f t="shared" si="2"/>
        <v>53746</v>
      </c>
      <c r="J84" s="610">
        <f t="shared" si="2"/>
        <v>73267</v>
      </c>
      <c r="K84" s="610">
        <f t="shared" si="2"/>
        <v>65552</v>
      </c>
      <c r="L84" s="610">
        <f t="shared" si="2"/>
        <v>80232</v>
      </c>
      <c r="M84" s="610">
        <f t="shared" si="2"/>
        <v>69981</v>
      </c>
      <c r="N84" s="610">
        <f t="shared" si="2"/>
        <v>66680</v>
      </c>
      <c r="O84" s="610">
        <f t="shared" si="2"/>
        <v>0</v>
      </c>
      <c r="P84" s="610">
        <f t="shared" si="2"/>
        <v>0</v>
      </c>
      <c r="Q84" s="610">
        <f t="shared" si="2"/>
        <v>0</v>
      </c>
      <c r="R84" s="610">
        <f t="shared" si="2"/>
        <v>0</v>
      </c>
      <c r="S84" s="610">
        <f t="shared" si="2"/>
        <v>0</v>
      </c>
      <c r="T84" s="610">
        <f t="shared" si="2"/>
        <v>0</v>
      </c>
      <c r="U84" s="610">
        <f t="shared" si="2"/>
        <v>0</v>
      </c>
      <c r="V84" s="610">
        <f t="shared" si="2"/>
        <v>0</v>
      </c>
      <c r="W84" s="608"/>
      <c r="X84" s="608"/>
      <c r="Y84" s="608"/>
      <c r="Z84" s="608"/>
      <c r="AA84" s="608"/>
      <c r="AB84" s="608"/>
      <c r="AC84" s="608"/>
      <c r="AD84" s="608"/>
      <c r="AE84" s="608"/>
      <c r="AF84" s="608"/>
      <c r="AG84" s="608"/>
      <c r="AH84" s="608"/>
      <c r="AI84" s="608"/>
      <c r="AJ84" s="608"/>
      <c r="AK84" s="608"/>
      <c r="AL84" s="608"/>
      <c r="AM84" s="608"/>
      <c r="AN84" s="608"/>
      <c r="AO84" s="608"/>
      <c r="AP84" s="608"/>
      <c r="AQ84" s="608"/>
      <c r="AR84" s="608"/>
      <c r="AS84" s="608"/>
      <c r="AT84" s="608"/>
    </row>
    <row r="85" spans="1:46" s="609" customFormat="1" ht="22.5" customHeight="1">
      <c r="A85" s="110"/>
      <c r="B85" s="611" t="s">
        <v>1201</v>
      </c>
      <c r="C85" s="610">
        <f>C$48</f>
        <v>23963</v>
      </c>
      <c r="D85" s="610">
        <f t="shared" ref="D85:V85" si="3">D$48</f>
        <v>32381</v>
      </c>
      <c r="E85" s="610">
        <f t="shared" si="3"/>
        <v>34739</v>
      </c>
      <c r="F85" s="610">
        <f t="shared" si="3"/>
        <v>39025</v>
      </c>
      <c r="G85" s="610">
        <f t="shared" si="3"/>
        <v>34074</v>
      </c>
      <c r="H85" s="610">
        <f t="shared" si="3"/>
        <v>39074</v>
      </c>
      <c r="I85" s="610">
        <f t="shared" si="3"/>
        <v>39354</v>
      </c>
      <c r="J85" s="610">
        <f t="shared" si="3"/>
        <v>40033</v>
      </c>
      <c r="K85" s="610">
        <f t="shared" si="3"/>
        <v>33564</v>
      </c>
      <c r="L85" s="610">
        <f t="shared" si="3"/>
        <v>36277</v>
      </c>
      <c r="M85" s="610">
        <f t="shared" si="3"/>
        <v>33702</v>
      </c>
      <c r="N85" s="610">
        <f t="shared" si="3"/>
        <v>32680</v>
      </c>
      <c r="O85" s="610">
        <f t="shared" si="3"/>
        <v>0</v>
      </c>
      <c r="P85" s="610">
        <f t="shared" si="3"/>
        <v>0</v>
      </c>
      <c r="Q85" s="610">
        <f t="shared" si="3"/>
        <v>0</v>
      </c>
      <c r="R85" s="610">
        <f t="shared" si="3"/>
        <v>0</v>
      </c>
      <c r="S85" s="610">
        <f t="shared" si="3"/>
        <v>0</v>
      </c>
      <c r="T85" s="610">
        <f t="shared" si="3"/>
        <v>0</v>
      </c>
      <c r="U85" s="610">
        <f t="shared" si="3"/>
        <v>0</v>
      </c>
      <c r="V85" s="610">
        <f t="shared" si="3"/>
        <v>0</v>
      </c>
      <c r="W85" s="608"/>
      <c r="X85" s="608"/>
      <c r="Y85" s="608"/>
      <c r="Z85" s="608"/>
      <c r="AA85" s="608"/>
      <c r="AB85" s="608"/>
      <c r="AC85" s="608"/>
      <c r="AD85" s="608"/>
      <c r="AE85" s="608"/>
      <c r="AF85" s="608"/>
      <c r="AG85" s="608"/>
      <c r="AH85" s="608"/>
      <c r="AI85" s="608"/>
      <c r="AJ85" s="608"/>
      <c r="AK85" s="608"/>
      <c r="AL85" s="608"/>
      <c r="AM85" s="608"/>
      <c r="AN85" s="608"/>
      <c r="AO85" s="608"/>
      <c r="AP85" s="608"/>
      <c r="AQ85" s="608"/>
      <c r="AR85" s="608"/>
      <c r="AS85" s="608"/>
      <c r="AT85" s="608"/>
    </row>
    <row r="86" spans="1:46" s="609" customFormat="1" ht="22.5" customHeight="1">
      <c r="A86" s="110"/>
      <c r="B86" s="611" t="s">
        <v>1207</v>
      </c>
      <c r="C86" s="610">
        <f>C$49</f>
        <v>5497</v>
      </c>
      <c r="D86" s="610">
        <f t="shared" ref="D86:V86" si="4">D$49</f>
        <v>13894</v>
      </c>
      <c r="E86" s="610">
        <f t="shared" si="4"/>
        <v>10568</v>
      </c>
      <c r="F86" s="610">
        <f t="shared" si="4"/>
        <v>13227</v>
      </c>
      <c r="G86" s="610">
        <f t="shared" si="4"/>
        <v>4700</v>
      </c>
      <c r="H86" s="610">
        <f t="shared" si="4"/>
        <v>15478</v>
      </c>
      <c r="I86" s="610">
        <f t="shared" si="4"/>
        <v>15275</v>
      </c>
      <c r="J86" s="610">
        <f t="shared" si="4"/>
        <v>21414</v>
      </c>
      <c r="K86" s="610">
        <f t="shared" si="4"/>
        <v>17504</v>
      </c>
      <c r="L86" s="610">
        <f t="shared" si="4"/>
        <v>28354</v>
      </c>
      <c r="M86" s="610">
        <f t="shared" si="4"/>
        <v>28320</v>
      </c>
      <c r="N86" s="610">
        <f t="shared" si="4"/>
        <v>30500</v>
      </c>
      <c r="O86" s="610">
        <f t="shared" si="4"/>
        <v>0</v>
      </c>
      <c r="P86" s="610">
        <f t="shared" si="4"/>
        <v>0</v>
      </c>
      <c r="Q86" s="610">
        <f t="shared" si="4"/>
        <v>0</v>
      </c>
      <c r="R86" s="610">
        <f t="shared" si="4"/>
        <v>0</v>
      </c>
      <c r="S86" s="610">
        <f t="shared" si="4"/>
        <v>0</v>
      </c>
      <c r="T86" s="610">
        <f t="shared" si="4"/>
        <v>0</v>
      </c>
      <c r="U86" s="610">
        <f t="shared" si="4"/>
        <v>0</v>
      </c>
      <c r="V86" s="610">
        <f t="shared" si="4"/>
        <v>0</v>
      </c>
      <c r="W86" s="608"/>
      <c r="X86" s="608"/>
      <c r="Y86" s="608"/>
      <c r="Z86" s="608"/>
      <c r="AA86" s="608"/>
      <c r="AB86" s="608"/>
      <c r="AC86" s="608"/>
      <c r="AD86" s="608"/>
      <c r="AE86" s="608"/>
      <c r="AF86" s="608"/>
      <c r="AG86" s="608"/>
      <c r="AH86" s="608"/>
      <c r="AI86" s="608"/>
      <c r="AJ86" s="608"/>
      <c r="AK86" s="608"/>
      <c r="AL86" s="608"/>
      <c r="AM86" s="608"/>
      <c r="AN86" s="608"/>
      <c r="AO86" s="608"/>
      <c r="AP86" s="608"/>
      <c r="AQ86" s="608"/>
      <c r="AR86" s="608"/>
      <c r="AS86" s="608"/>
      <c r="AT86" s="608"/>
    </row>
    <row r="87" spans="1:46" s="609" customFormat="1" ht="22.5" customHeight="1">
      <c r="A87" s="110"/>
      <c r="B87" s="611" t="s">
        <v>756</v>
      </c>
      <c r="C87" s="610">
        <f>C$50</f>
        <v>68199</v>
      </c>
      <c r="D87" s="610">
        <f t="shared" ref="D87:V87" si="5">D$50</f>
        <v>95730</v>
      </c>
      <c r="E87" s="610">
        <f t="shared" si="5"/>
        <v>91402</v>
      </c>
      <c r="F87" s="610">
        <f t="shared" si="5"/>
        <v>106175</v>
      </c>
      <c r="G87" s="610">
        <f t="shared" si="5"/>
        <v>77733</v>
      </c>
      <c r="H87" s="610">
        <f t="shared" si="5"/>
        <v>114003</v>
      </c>
      <c r="I87" s="610">
        <f t="shared" si="5"/>
        <v>108375</v>
      </c>
      <c r="J87" s="610">
        <f t="shared" si="5"/>
        <v>134714</v>
      </c>
      <c r="K87" s="610">
        <f t="shared" si="5"/>
        <v>116620</v>
      </c>
      <c r="L87" s="610">
        <f t="shared" si="5"/>
        <v>144863</v>
      </c>
      <c r="M87" s="610">
        <f t="shared" si="5"/>
        <v>132003</v>
      </c>
      <c r="N87" s="610">
        <f t="shared" si="5"/>
        <v>129860</v>
      </c>
      <c r="O87" s="610">
        <f t="shared" si="5"/>
        <v>0</v>
      </c>
      <c r="P87" s="610">
        <f t="shared" si="5"/>
        <v>0</v>
      </c>
      <c r="Q87" s="610">
        <f t="shared" si="5"/>
        <v>0</v>
      </c>
      <c r="R87" s="610">
        <f t="shared" si="5"/>
        <v>0</v>
      </c>
      <c r="S87" s="610">
        <f t="shared" si="5"/>
        <v>0</v>
      </c>
      <c r="T87" s="610">
        <f t="shared" si="5"/>
        <v>0</v>
      </c>
      <c r="U87" s="610">
        <f t="shared" si="5"/>
        <v>0</v>
      </c>
      <c r="V87" s="610">
        <f t="shared" si="5"/>
        <v>0</v>
      </c>
      <c r="W87" s="608"/>
      <c r="X87" s="608"/>
      <c r="Y87" s="608"/>
      <c r="Z87" s="608"/>
      <c r="AA87" s="608"/>
      <c r="AB87" s="608"/>
      <c r="AC87" s="608"/>
      <c r="AD87" s="608"/>
      <c r="AE87" s="608"/>
      <c r="AF87" s="608"/>
      <c r="AG87" s="608"/>
      <c r="AH87" s="608"/>
      <c r="AI87" s="608"/>
      <c r="AJ87" s="608"/>
      <c r="AK87" s="608"/>
      <c r="AL87" s="608"/>
      <c r="AM87" s="608"/>
      <c r="AN87" s="608"/>
      <c r="AO87" s="608"/>
      <c r="AP87" s="608"/>
      <c r="AQ87" s="608"/>
      <c r="AR87" s="608"/>
      <c r="AS87" s="608"/>
      <c r="AT87" s="608"/>
    </row>
    <row r="88" spans="1:46" s="64" customFormat="1" ht="22.5" customHeight="1">
      <c r="A88" s="110"/>
      <c r="B88" s="110"/>
      <c r="C88" s="110"/>
      <c r="D88" s="110"/>
      <c r="E88" s="110"/>
      <c r="F88" s="110"/>
      <c r="G88" s="110"/>
      <c r="H88" s="110"/>
      <c r="I88" s="110"/>
      <c r="J88" s="110"/>
      <c r="K88" s="110"/>
      <c r="L88" s="110"/>
      <c r="M88" s="110"/>
      <c r="N88" s="110"/>
      <c r="O88" s="110"/>
      <c r="P88" s="110"/>
      <c r="Q88" s="110"/>
      <c r="R88" s="110"/>
      <c r="S88" s="110"/>
      <c r="T88" s="110"/>
      <c r="U88" s="110"/>
      <c r="V88" s="110"/>
    </row>
    <row r="89" spans="1:46" s="64" customFormat="1" ht="22.5" customHeight="1">
      <c r="A89" s="110"/>
      <c r="B89" s="110"/>
      <c r="C89" s="110"/>
      <c r="D89" s="110"/>
      <c r="E89" s="110"/>
      <c r="F89" s="110"/>
      <c r="G89" s="110"/>
      <c r="H89" s="110"/>
      <c r="I89" s="110"/>
      <c r="J89" s="110"/>
      <c r="K89" s="110"/>
      <c r="L89" s="110"/>
      <c r="M89" s="110"/>
      <c r="N89" s="110"/>
      <c r="O89" s="110"/>
      <c r="P89" s="110"/>
      <c r="Q89" s="110"/>
      <c r="R89" s="110"/>
      <c r="S89" s="110"/>
      <c r="T89" s="110"/>
      <c r="U89" s="110"/>
      <c r="V89" s="110"/>
    </row>
    <row r="90" spans="1:46" s="64" customFormat="1" ht="22.5" customHeight="1">
      <c r="A90" s="110"/>
      <c r="B90" s="110"/>
      <c r="C90" s="110"/>
      <c r="D90" s="110"/>
      <c r="E90" s="110"/>
      <c r="F90" s="110"/>
      <c r="G90" s="110"/>
      <c r="H90" s="110"/>
      <c r="I90" s="110"/>
      <c r="J90" s="110"/>
      <c r="K90" s="110"/>
      <c r="L90" s="110"/>
      <c r="M90" s="110"/>
      <c r="N90" s="110"/>
      <c r="O90" s="110"/>
      <c r="P90" s="110"/>
      <c r="Q90" s="110"/>
      <c r="R90" s="110"/>
      <c r="S90" s="110"/>
      <c r="T90" s="110"/>
      <c r="U90" s="110"/>
      <c r="V90" s="110"/>
    </row>
    <row r="91" spans="1:46" s="64" customFormat="1" ht="22.5" customHeight="1">
      <c r="A91" s="110"/>
      <c r="B91" s="110"/>
      <c r="C91" s="110"/>
      <c r="D91" s="110"/>
      <c r="E91" s="110"/>
      <c r="F91" s="110"/>
      <c r="G91" s="110"/>
      <c r="H91" s="110"/>
      <c r="I91" s="110"/>
      <c r="J91" s="110"/>
      <c r="K91" s="110"/>
      <c r="L91" s="110"/>
      <c r="M91" s="110"/>
      <c r="N91" s="110"/>
      <c r="O91" s="110"/>
      <c r="P91" s="110"/>
      <c r="Q91" s="110"/>
      <c r="R91" s="110"/>
      <c r="S91" s="110"/>
      <c r="T91" s="110"/>
      <c r="U91" s="110"/>
      <c r="V91" s="110"/>
    </row>
    <row r="92" spans="1:46" s="64" customFormat="1" ht="22.5" customHeight="1">
      <c r="A92" s="110"/>
      <c r="B92" s="110"/>
      <c r="C92" s="110"/>
      <c r="D92" s="110"/>
      <c r="E92" s="110"/>
      <c r="F92" s="110"/>
      <c r="G92" s="110"/>
      <c r="H92" s="110"/>
      <c r="I92" s="110"/>
      <c r="J92" s="110"/>
      <c r="K92" s="110"/>
      <c r="L92" s="110"/>
      <c r="M92" s="110"/>
      <c r="N92" s="110"/>
      <c r="O92" s="110"/>
      <c r="P92" s="110"/>
      <c r="Q92" s="110"/>
      <c r="R92" s="110"/>
      <c r="S92" s="110"/>
      <c r="T92" s="110"/>
      <c r="U92" s="110"/>
      <c r="V92" s="110"/>
    </row>
    <row r="93" spans="1:46" s="64" customFormat="1" ht="22.5" customHeight="1">
      <c r="A93" s="110"/>
      <c r="B93" s="110"/>
      <c r="C93" s="110"/>
      <c r="D93" s="110"/>
      <c r="E93" s="110"/>
      <c r="F93" s="110"/>
      <c r="G93" s="110"/>
      <c r="H93" s="110"/>
      <c r="I93" s="110"/>
      <c r="J93" s="110"/>
      <c r="K93" s="110"/>
      <c r="L93" s="110"/>
      <c r="M93" s="110"/>
      <c r="N93" s="110"/>
      <c r="O93" s="110"/>
      <c r="P93" s="110"/>
      <c r="Q93" s="110"/>
      <c r="R93" s="110"/>
      <c r="S93" s="110"/>
      <c r="T93" s="110"/>
      <c r="U93" s="110"/>
      <c r="V93" s="110"/>
    </row>
    <row r="94" spans="1:46" s="64" customFormat="1" ht="22.5" customHeight="1">
      <c r="A94" s="110"/>
      <c r="B94" s="110"/>
      <c r="C94" s="110"/>
      <c r="D94" s="110"/>
      <c r="E94" s="110"/>
      <c r="F94" s="110"/>
      <c r="G94" s="110"/>
      <c r="H94" s="110"/>
      <c r="I94" s="110"/>
      <c r="J94" s="110"/>
      <c r="K94" s="110"/>
      <c r="L94" s="110"/>
      <c r="M94" s="110"/>
      <c r="N94" s="110"/>
      <c r="O94" s="110"/>
      <c r="P94" s="110"/>
      <c r="Q94" s="110"/>
      <c r="R94" s="110"/>
      <c r="S94" s="110"/>
      <c r="T94" s="110"/>
      <c r="U94" s="110"/>
      <c r="V94" s="110"/>
    </row>
    <row r="95" spans="1:46" s="64" customFormat="1" ht="22.5" customHeight="1">
      <c r="A95" s="110"/>
      <c r="B95" s="110"/>
      <c r="C95" s="110"/>
      <c r="D95" s="110"/>
      <c r="E95" s="110"/>
      <c r="F95" s="110"/>
      <c r="G95" s="110"/>
      <c r="H95" s="110"/>
      <c r="I95" s="110"/>
      <c r="J95" s="110"/>
      <c r="K95" s="110"/>
      <c r="L95" s="110"/>
      <c r="M95" s="110"/>
      <c r="N95" s="110"/>
      <c r="O95" s="110"/>
      <c r="P95" s="110"/>
      <c r="Q95" s="110"/>
      <c r="R95" s="110"/>
      <c r="S95" s="110"/>
      <c r="T95" s="110"/>
      <c r="U95" s="110"/>
      <c r="V95" s="110"/>
    </row>
    <row r="96" spans="1:46" s="64" customFormat="1" ht="22.5" customHeight="1">
      <c r="A96" s="110"/>
      <c r="B96" s="110"/>
      <c r="C96" s="110"/>
      <c r="D96" s="110"/>
      <c r="E96" s="110"/>
      <c r="F96" s="110"/>
      <c r="G96" s="110"/>
      <c r="H96" s="110"/>
      <c r="I96" s="110"/>
      <c r="J96" s="110"/>
      <c r="K96" s="110"/>
      <c r="L96" s="110"/>
      <c r="M96" s="110"/>
      <c r="N96" s="110"/>
      <c r="O96" s="110"/>
      <c r="P96" s="110"/>
      <c r="Q96" s="110"/>
      <c r="R96" s="110"/>
      <c r="S96" s="110"/>
      <c r="T96" s="110"/>
      <c r="U96" s="110"/>
      <c r="V96" s="110"/>
    </row>
    <row r="97" spans="1:46" s="64" customFormat="1" ht="22.5" customHeight="1">
      <c r="A97" s="110"/>
      <c r="B97" s="110"/>
      <c r="C97" s="110"/>
      <c r="D97" s="110"/>
      <c r="E97" s="110"/>
      <c r="F97" s="110"/>
      <c r="G97" s="110"/>
      <c r="H97" s="110"/>
      <c r="I97" s="110"/>
      <c r="J97" s="110"/>
      <c r="K97" s="110"/>
      <c r="L97" s="110"/>
      <c r="M97" s="110"/>
      <c r="N97" s="110"/>
      <c r="O97" s="110"/>
      <c r="P97" s="110"/>
      <c r="Q97" s="110"/>
      <c r="R97" s="110"/>
      <c r="S97" s="110"/>
      <c r="T97" s="110"/>
      <c r="U97" s="110"/>
      <c r="V97" s="110"/>
    </row>
    <row r="98" spans="1:46" s="64" customFormat="1" ht="22.5" customHeight="1">
      <c r="A98" s="110"/>
      <c r="B98" s="110"/>
      <c r="C98" s="110"/>
      <c r="D98" s="110"/>
      <c r="E98" s="110"/>
      <c r="F98" s="110"/>
      <c r="G98" s="110"/>
      <c r="H98" s="110"/>
      <c r="I98" s="110"/>
      <c r="J98" s="110"/>
      <c r="K98" s="110"/>
      <c r="L98" s="110"/>
      <c r="M98" s="110"/>
      <c r="N98" s="110"/>
      <c r="O98" s="110"/>
      <c r="P98" s="110"/>
      <c r="Q98" s="110"/>
      <c r="R98" s="110"/>
      <c r="S98" s="110"/>
      <c r="T98" s="110"/>
      <c r="U98" s="110"/>
      <c r="V98" s="110"/>
    </row>
    <row r="99" spans="1:46" s="64" customFormat="1" ht="22.5" customHeight="1">
      <c r="A99" s="110"/>
      <c r="B99" s="110"/>
      <c r="C99" s="110"/>
      <c r="D99" s="110"/>
      <c r="E99" s="110"/>
      <c r="F99" s="110"/>
      <c r="G99" s="110"/>
      <c r="H99" s="110"/>
      <c r="I99" s="110"/>
      <c r="J99" s="110"/>
      <c r="K99" s="110"/>
      <c r="L99" s="110"/>
      <c r="M99" s="110"/>
      <c r="N99" s="110"/>
      <c r="O99" s="110"/>
      <c r="P99" s="110"/>
      <c r="Q99" s="110"/>
      <c r="R99" s="110"/>
      <c r="S99" s="110"/>
      <c r="T99" s="110"/>
      <c r="U99" s="110"/>
      <c r="V99" s="110"/>
    </row>
    <row r="100" spans="1:46" s="64" customFormat="1" ht="22.5" customHeight="1">
      <c r="A100" s="110"/>
      <c r="B100" s="110"/>
      <c r="C100" s="110"/>
      <c r="D100" s="110"/>
      <c r="E100" s="110"/>
      <c r="F100" s="110"/>
      <c r="G100" s="110"/>
      <c r="H100" s="110"/>
      <c r="I100" s="110"/>
      <c r="J100" s="110"/>
      <c r="K100" s="110"/>
      <c r="L100" s="110"/>
      <c r="M100" s="110"/>
      <c r="N100" s="110"/>
      <c r="O100" s="110"/>
      <c r="P100" s="110"/>
      <c r="Q100" s="110"/>
      <c r="R100" s="110"/>
      <c r="S100" s="110"/>
      <c r="T100" s="110"/>
      <c r="U100" s="110"/>
      <c r="V100" s="110"/>
    </row>
    <row r="101" spans="1:46" s="64" customFormat="1" ht="22.5" customHeight="1">
      <c r="A101" s="110"/>
      <c r="B101" s="110"/>
      <c r="C101" s="110"/>
      <c r="D101" s="110"/>
      <c r="E101" s="110"/>
      <c r="F101" s="110"/>
      <c r="G101" s="110"/>
      <c r="H101" s="110"/>
      <c r="I101" s="110"/>
      <c r="J101" s="110"/>
      <c r="K101" s="110"/>
      <c r="L101" s="110"/>
      <c r="M101" s="110"/>
      <c r="N101" s="110"/>
      <c r="O101" s="110"/>
      <c r="P101" s="110"/>
      <c r="Q101" s="110"/>
      <c r="R101" s="110"/>
      <c r="S101" s="110"/>
      <c r="T101" s="110"/>
      <c r="U101" s="110"/>
      <c r="V101" s="110"/>
    </row>
    <row r="102" spans="1:46" s="64" customFormat="1" ht="22.5" customHeight="1">
      <c r="A102" s="110"/>
      <c r="B102" s="110"/>
      <c r="C102" s="110"/>
      <c r="D102" s="110"/>
      <c r="E102" s="110"/>
      <c r="F102" s="110"/>
      <c r="G102" s="110"/>
      <c r="H102" s="110"/>
      <c r="I102" s="110"/>
      <c r="J102" s="110"/>
      <c r="K102" s="110"/>
      <c r="L102" s="110"/>
      <c r="M102" s="110"/>
      <c r="N102" s="110"/>
      <c r="O102" s="110"/>
      <c r="P102" s="110"/>
      <c r="Q102" s="110"/>
      <c r="R102" s="110"/>
      <c r="S102" s="110"/>
      <c r="T102" s="110"/>
      <c r="U102" s="110"/>
      <c r="V102" s="110"/>
    </row>
    <row r="103" spans="1:46" s="64" customFormat="1" ht="22.5" customHeight="1">
      <c r="A103" s="110"/>
      <c r="B103" s="110"/>
      <c r="C103" s="110"/>
      <c r="D103" s="110"/>
      <c r="E103" s="110"/>
      <c r="F103" s="110"/>
      <c r="G103" s="110"/>
      <c r="H103" s="110"/>
      <c r="I103" s="110"/>
      <c r="J103" s="110"/>
      <c r="K103" s="110"/>
      <c r="L103" s="110"/>
      <c r="M103" s="110"/>
      <c r="N103" s="110"/>
      <c r="O103" s="110"/>
      <c r="P103" s="110"/>
      <c r="Q103" s="110"/>
      <c r="R103" s="110"/>
      <c r="S103" s="110"/>
      <c r="T103" s="110"/>
      <c r="U103" s="110"/>
      <c r="V103" s="110"/>
    </row>
    <row r="104" spans="1:46" s="64" customFormat="1" ht="22.5" customHeight="1">
      <c r="A104" s="110"/>
      <c r="B104" s="110"/>
      <c r="C104" s="110"/>
      <c r="D104" s="110"/>
      <c r="E104" s="110"/>
      <c r="F104" s="110"/>
      <c r="G104" s="110"/>
      <c r="H104" s="110"/>
      <c r="I104" s="110"/>
      <c r="J104" s="110"/>
      <c r="K104" s="110"/>
      <c r="L104" s="110"/>
      <c r="M104" s="110"/>
      <c r="N104" s="110"/>
      <c r="O104" s="110"/>
      <c r="P104" s="110"/>
      <c r="Q104" s="110"/>
      <c r="R104" s="110"/>
      <c r="S104" s="110"/>
      <c r="T104" s="110"/>
      <c r="U104" s="110"/>
      <c r="V104" s="110"/>
    </row>
    <row r="105" spans="1:46" s="64" customFormat="1" ht="22.5" customHeight="1">
      <c r="A105" s="1313" t="s">
        <v>757</v>
      </c>
      <c r="B105" s="1313"/>
      <c r="C105" s="1313"/>
      <c r="D105" s="1313"/>
      <c r="E105" s="110"/>
      <c r="F105" s="110"/>
      <c r="G105" s="110"/>
      <c r="H105" s="110"/>
      <c r="I105" s="110"/>
      <c r="J105" s="110"/>
      <c r="K105" s="110"/>
      <c r="L105" s="110"/>
      <c r="M105" s="110"/>
      <c r="N105" s="110"/>
      <c r="O105" s="110"/>
      <c r="P105" s="110"/>
      <c r="Q105" s="110"/>
      <c r="R105" s="110"/>
      <c r="S105" s="110"/>
      <c r="T105" s="110"/>
      <c r="U105" s="110"/>
      <c r="V105" s="110"/>
    </row>
    <row r="106" spans="1:46" s="594" customFormat="1" ht="22.5" customHeight="1">
      <c r="A106" s="110"/>
      <c r="B106" s="1314" t="s">
        <v>747</v>
      </c>
      <c r="C106" s="1314" t="s">
        <v>734</v>
      </c>
      <c r="D106" s="1314"/>
      <c r="E106" s="1314"/>
      <c r="F106" s="1314"/>
      <c r="G106" s="1314" t="s">
        <v>508</v>
      </c>
      <c r="H106" s="1314"/>
      <c r="I106" s="1314"/>
      <c r="J106" s="1314"/>
      <c r="K106" s="1314" t="s">
        <v>510</v>
      </c>
      <c r="L106" s="1314"/>
      <c r="M106" s="1314"/>
      <c r="N106" s="1314"/>
      <c r="O106" s="1314" t="s">
        <v>512</v>
      </c>
      <c r="P106" s="1314"/>
      <c r="Q106" s="1314"/>
      <c r="R106" s="1314"/>
      <c r="S106" s="1314" t="s">
        <v>516</v>
      </c>
      <c r="T106" s="1314"/>
      <c r="U106" s="1314"/>
      <c r="V106" s="1314"/>
      <c r="X106" s="595"/>
    </row>
    <row r="107" spans="1:46" s="594" customFormat="1" ht="22.5" customHeight="1">
      <c r="A107" s="110"/>
      <c r="B107" s="1314"/>
      <c r="C107" s="588" t="s">
        <v>736</v>
      </c>
      <c r="D107" s="588" t="s">
        <v>737</v>
      </c>
      <c r="E107" s="588" t="s">
        <v>738</v>
      </c>
      <c r="F107" s="588" t="s">
        <v>739</v>
      </c>
      <c r="G107" s="588" t="s">
        <v>736</v>
      </c>
      <c r="H107" s="588" t="s">
        <v>737</v>
      </c>
      <c r="I107" s="588" t="s">
        <v>738</v>
      </c>
      <c r="J107" s="588" t="s">
        <v>739</v>
      </c>
      <c r="K107" s="588" t="s">
        <v>736</v>
      </c>
      <c r="L107" s="588" t="s">
        <v>737</v>
      </c>
      <c r="M107" s="588" t="s">
        <v>738</v>
      </c>
      <c r="N107" s="588" t="s">
        <v>739</v>
      </c>
      <c r="O107" s="588" t="s">
        <v>736</v>
      </c>
      <c r="P107" s="588" t="s">
        <v>737</v>
      </c>
      <c r="Q107" s="588" t="s">
        <v>738</v>
      </c>
      <c r="R107" s="588" t="s">
        <v>739</v>
      </c>
      <c r="S107" s="588" t="s">
        <v>736</v>
      </c>
      <c r="T107" s="588" t="s">
        <v>737</v>
      </c>
      <c r="U107" s="588" t="s">
        <v>738</v>
      </c>
      <c r="V107" s="588" t="s">
        <v>739</v>
      </c>
      <c r="X107" s="595"/>
    </row>
    <row r="108" spans="1:46" s="594" customFormat="1" ht="22.5" customHeight="1">
      <c r="A108" s="110"/>
      <c r="B108" s="179" t="str">
        <f>'2. 의사결정 및 경영성과'!$D$37</f>
        <v>1. 선행기술R&amp;D투자비</v>
      </c>
      <c r="C108" s="612">
        <f>'2. 의사결정 및 경영성과'!$E$37</f>
        <v>1120000000</v>
      </c>
      <c r="D108" s="612">
        <f>'2. 의사결정 및 경영성과'!$H$37</f>
        <v>1400000000.0000002</v>
      </c>
      <c r="E108" s="612">
        <f>'2. 의사결정 및 경영성과'!$E$37</f>
        <v>1120000000</v>
      </c>
      <c r="F108" s="612">
        <f>'2. 의사결정 및 경영성과'!$H$37</f>
        <v>1400000000.0000002</v>
      </c>
      <c r="G108" s="612">
        <f>'2. 의사결정 및 경영성과'!$E$37</f>
        <v>1120000000</v>
      </c>
      <c r="H108" s="612">
        <f>'2. 의사결정 및 경영성과'!$H$37</f>
        <v>1400000000.0000002</v>
      </c>
      <c r="I108" s="612">
        <f>'2. 의사결정 및 경영성과'!$E$37</f>
        <v>1120000000</v>
      </c>
      <c r="J108" s="612">
        <f>'2. 의사결정 및 경영성과'!$H$37</f>
        <v>1400000000.0000002</v>
      </c>
      <c r="K108" s="612">
        <f>'2. 의사결정 및 경영성과'!$E$37</f>
        <v>1120000000</v>
      </c>
      <c r="L108" s="612">
        <f>'2. 의사결정 및 경영성과'!$H$37</f>
        <v>1400000000.0000002</v>
      </c>
      <c r="M108" s="612">
        <f>'2. 의사결정 및 경영성과'!$E$37</f>
        <v>1120000000</v>
      </c>
      <c r="N108" s="612">
        <f>'2. 의사결정 및 경영성과'!$H$37</f>
        <v>1400000000.0000002</v>
      </c>
      <c r="O108" s="612">
        <f>'2. 의사결정 및 경영성과'!$E$37</f>
        <v>1120000000</v>
      </c>
      <c r="P108" s="612">
        <f>'2. 의사결정 및 경영성과'!$H$37</f>
        <v>1400000000.0000002</v>
      </c>
      <c r="Q108" s="612">
        <f>'2. 의사결정 및 경영성과'!$E$37</f>
        <v>1120000000</v>
      </c>
      <c r="R108" s="612">
        <f>'2. 의사결정 및 경영성과'!$H$37</f>
        <v>1400000000.0000002</v>
      </c>
      <c r="S108" s="612">
        <f>'2. 의사결정 및 경영성과'!$E$37</f>
        <v>1120000000</v>
      </c>
      <c r="T108" s="612">
        <f>'2. 의사결정 및 경영성과'!$H$37</f>
        <v>1400000000.0000002</v>
      </c>
      <c r="U108" s="612">
        <f>'2. 의사결정 및 경영성과'!$E$37</f>
        <v>1120000000</v>
      </c>
      <c r="V108" s="612">
        <f>'2. 의사결정 및 경영성과'!$H$37</f>
        <v>1400000000.0000002</v>
      </c>
      <c r="X108" s="595"/>
    </row>
    <row r="109" spans="1:46" s="64" customFormat="1" ht="22.5" customHeight="1">
      <c r="A109" s="110"/>
      <c r="B109" s="179" t="s">
        <v>758</v>
      </c>
      <c r="C109" s="614">
        <f>'2. 의사결정 및 경영성과'!E18</f>
        <v>1</v>
      </c>
      <c r="D109" s="614">
        <f>'2. 의사결정 및 경영성과'!H18</f>
        <v>1</v>
      </c>
      <c r="E109" s="614">
        <f>'2. 의사결정 및 경영성과'!K18</f>
        <v>1</v>
      </c>
      <c r="F109" s="614">
        <f>'2. 의사결정 및 경영성과'!N18</f>
        <v>1</v>
      </c>
      <c r="G109" s="614">
        <f>'2. 의사결정 및 경영성과'!Q18</f>
        <v>2</v>
      </c>
      <c r="H109" s="614">
        <f>'2. 의사결정 및 경영성과'!T18</f>
        <v>2</v>
      </c>
      <c r="I109" s="614">
        <f>'2. 의사결정 및 경영성과'!W18</f>
        <v>2</v>
      </c>
      <c r="J109" s="614">
        <f>'2. 의사결정 및 경영성과'!Z18</f>
        <v>2</v>
      </c>
      <c r="K109" s="614">
        <f>'2. 의사결정 및 경영성과'!AC18</f>
        <v>3</v>
      </c>
      <c r="L109" s="614">
        <f>'2. 의사결정 및 경영성과'!AF18</f>
        <v>3</v>
      </c>
      <c r="M109" s="614">
        <f>'2. 의사결정 및 경영성과'!AI18</f>
        <v>4</v>
      </c>
      <c r="N109" s="614">
        <f>'2. 의사결정 및 경영성과'!AL18</f>
        <v>4</v>
      </c>
      <c r="O109" s="764">
        <f>'2. 의사결정 및 경영성과'!AO18</f>
        <v>0</v>
      </c>
      <c r="P109" s="764">
        <f>'2. 의사결정 및 경영성과'!AR18</f>
        <v>0</v>
      </c>
      <c r="Q109" s="764">
        <f>'2. 의사결정 및 경영성과'!AU18</f>
        <v>0</v>
      </c>
      <c r="R109" s="764">
        <f>'2. 의사결정 및 경영성과'!AX18</f>
        <v>0</v>
      </c>
      <c r="S109" s="615">
        <f>'2. 의사결정 및 경영성과'!BA18</f>
        <v>0</v>
      </c>
      <c r="T109" s="615">
        <f>'2. 의사결정 및 경영성과'!BD18</f>
        <v>0</v>
      </c>
      <c r="U109" s="615">
        <f>'2. 의사결정 및 경영성과'!BG18</f>
        <v>0</v>
      </c>
      <c r="V109" s="615">
        <f>'2. 의사결정 및 경영성과'!BJ18</f>
        <v>0</v>
      </c>
    </row>
    <row r="110" spans="1:46" s="609" customFormat="1" ht="22.5" customHeight="1">
      <c r="A110" s="110"/>
      <c r="B110" s="610" t="s">
        <v>755</v>
      </c>
      <c r="C110" s="610">
        <f>C$47</f>
        <v>38739</v>
      </c>
      <c r="D110" s="610">
        <f t="shared" ref="D110:V110" si="6">D$47</f>
        <v>49455</v>
      </c>
      <c r="E110" s="610">
        <f t="shared" si="6"/>
        <v>46095</v>
      </c>
      <c r="F110" s="610">
        <f t="shared" si="6"/>
        <v>53923</v>
      </c>
      <c r="G110" s="610">
        <f t="shared" si="6"/>
        <v>38959</v>
      </c>
      <c r="H110" s="610">
        <f t="shared" si="6"/>
        <v>59451</v>
      </c>
      <c r="I110" s="610">
        <f t="shared" si="6"/>
        <v>53746</v>
      </c>
      <c r="J110" s="610">
        <f t="shared" si="6"/>
        <v>73267</v>
      </c>
      <c r="K110" s="610">
        <f t="shared" si="6"/>
        <v>65552</v>
      </c>
      <c r="L110" s="610">
        <f t="shared" si="6"/>
        <v>80232</v>
      </c>
      <c r="M110" s="610">
        <f t="shared" si="6"/>
        <v>69981</v>
      </c>
      <c r="N110" s="610">
        <f t="shared" si="6"/>
        <v>66680</v>
      </c>
      <c r="O110" s="610">
        <f t="shared" si="6"/>
        <v>0</v>
      </c>
      <c r="P110" s="610">
        <f t="shared" si="6"/>
        <v>0</v>
      </c>
      <c r="Q110" s="610">
        <f t="shared" si="6"/>
        <v>0</v>
      </c>
      <c r="R110" s="610">
        <f t="shared" si="6"/>
        <v>0</v>
      </c>
      <c r="S110" s="610">
        <f t="shared" si="6"/>
        <v>0</v>
      </c>
      <c r="T110" s="610">
        <f t="shared" si="6"/>
        <v>0</v>
      </c>
      <c r="U110" s="610">
        <f t="shared" si="6"/>
        <v>0</v>
      </c>
      <c r="V110" s="610">
        <f t="shared" si="6"/>
        <v>0</v>
      </c>
      <c r="W110" s="608"/>
      <c r="X110" s="608"/>
      <c r="Y110" s="608"/>
      <c r="Z110" s="608"/>
      <c r="AA110" s="608"/>
      <c r="AB110" s="608"/>
      <c r="AC110" s="608"/>
      <c r="AD110" s="608"/>
      <c r="AE110" s="608"/>
      <c r="AF110" s="608"/>
      <c r="AG110" s="608"/>
      <c r="AH110" s="608"/>
      <c r="AI110" s="608"/>
      <c r="AJ110" s="608"/>
      <c r="AK110" s="608"/>
      <c r="AL110" s="608"/>
      <c r="AM110" s="608"/>
      <c r="AN110" s="608"/>
      <c r="AO110" s="608"/>
      <c r="AP110" s="608"/>
      <c r="AQ110" s="608"/>
      <c r="AR110" s="608"/>
      <c r="AS110" s="608"/>
      <c r="AT110" s="608"/>
    </row>
    <row r="111" spans="1:46" s="609" customFormat="1" ht="22.5" customHeight="1">
      <c r="A111" s="110"/>
      <c r="B111" s="610" t="s">
        <v>1201</v>
      </c>
      <c r="C111" s="610">
        <f>C$48</f>
        <v>23963</v>
      </c>
      <c r="D111" s="610">
        <f t="shared" ref="D111:V111" si="7">D$48</f>
        <v>32381</v>
      </c>
      <c r="E111" s="610">
        <f t="shared" si="7"/>
        <v>34739</v>
      </c>
      <c r="F111" s="610">
        <f t="shared" si="7"/>
        <v>39025</v>
      </c>
      <c r="G111" s="610">
        <f t="shared" si="7"/>
        <v>34074</v>
      </c>
      <c r="H111" s="610">
        <f t="shared" si="7"/>
        <v>39074</v>
      </c>
      <c r="I111" s="610">
        <f t="shared" si="7"/>
        <v>39354</v>
      </c>
      <c r="J111" s="610">
        <f t="shared" si="7"/>
        <v>40033</v>
      </c>
      <c r="K111" s="610">
        <f t="shared" si="7"/>
        <v>33564</v>
      </c>
      <c r="L111" s="610">
        <f t="shared" si="7"/>
        <v>36277</v>
      </c>
      <c r="M111" s="610">
        <f t="shared" si="7"/>
        <v>33702</v>
      </c>
      <c r="N111" s="610">
        <f t="shared" si="7"/>
        <v>32680</v>
      </c>
      <c r="O111" s="610">
        <f t="shared" si="7"/>
        <v>0</v>
      </c>
      <c r="P111" s="610">
        <f t="shared" si="7"/>
        <v>0</v>
      </c>
      <c r="Q111" s="610">
        <f t="shared" si="7"/>
        <v>0</v>
      </c>
      <c r="R111" s="610">
        <f t="shared" si="7"/>
        <v>0</v>
      </c>
      <c r="S111" s="610">
        <f t="shared" si="7"/>
        <v>0</v>
      </c>
      <c r="T111" s="610">
        <f t="shared" si="7"/>
        <v>0</v>
      </c>
      <c r="U111" s="610">
        <f t="shared" si="7"/>
        <v>0</v>
      </c>
      <c r="V111" s="610">
        <f t="shared" si="7"/>
        <v>0</v>
      </c>
      <c r="W111" s="608"/>
      <c r="X111" s="608"/>
      <c r="Y111" s="608"/>
      <c r="Z111" s="608"/>
      <c r="AA111" s="608"/>
      <c r="AB111" s="608"/>
      <c r="AC111" s="608"/>
      <c r="AD111" s="608"/>
      <c r="AE111" s="608"/>
      <c r="AF111" s="608"/>
      <c r="AG111" s="608"/>
      <c r="AH111" s="608"/>
      <c r="AI111" s="608"/>
      <c r="AJ111" s="608"/>
      <c r="AK111" s="608"/>
      <c r="AL111" s="608"/>
      <c r="AM111" s="608"/>
      <c r="AN111" s="608"/>
      <c r="AO111" s="608"/>
      <c r="AP111" s="608"/>
      <c r="AQ111" s="608"/>
      <c r="AR111" s="608"/>
      <c r="AS111" s="608"/>
      <c r="AT111" s="608"/>
    </row>
    <row r="112" spans="1:46" s="609" customFormat="1" ht="22.5" customHeight="1">
      <c r="A112" s="110"/>
      <c r="B112" s="610" t="s">
        <v>1207</v>
      </c>
      <c r="C112" s="610">
        <f>C$49</f>
        <v>5497</v>
      </c>
      <c r="D112" s="610">
        <f t="shared" ref="D112:V112" si="8">D$49</f>
        <v>13894</v>
      </c>
      <c r="E112" s="610">
        <f t="shared" si="8"/>
        <v>10568</v>
      </c>
      <c r="F112" s="610">
        <f t="shared" si="8"/>
        <v>13227</v>
      </c>
      <c r="G112" s="610">
        <f t="shared" si="8"/>
        <v>4700</v>
      </c>
      <c r="H112" s="610">
        <f t="shared" si="8"/>
        <v>15478</v>
      </c>
      <c r="I112" s="610">
        <f t="shared" si="8"/>
        <v>15275</v>
      </c>
      <c r="J112" s="610">
        <f t="shared" si="8"/>
        <v>21414</v>
      </c>
      <c r="K112" s="610">
        <f t="shared" si="8"/>
        <v>17504</v>
      </c>
      <c r="L112" s="610">
        <f t="shared" si="8"/>
        <v>28354</v>
      </c>
      <c r="M112" s="610">
        <f t="shared" si="8"/>
        <v>28320</v>
      </c>
      <c r="N112" s="610">
        <f t="shared" si="8"/>
        <v>30500</v>
      </c>
      <c r="O112" s="610">
        <f t="shared" si="8"/>
        <v>0</v>
      </c>
      <c r="P112" s="610">
        <f t="shared" si="8"/>
        <v>0</v>
      </c>
      <c r="Q112" s="610">
        <f t="shared" si="8"/>
        <v>0</v>
      </c>
      <c r="R112" s="610">
        <f t="shared" si="8"/>
        <v>0</v>
      </c>
      <c r="S112" s="610">
        <f t="shared" si="8"/>
        <v>0</v>
      </c>
      <c r="T112" s="610">
        <f t="shared" si="8"/>
        <v>0</v>
      </c>
      <c r="U112" s="610">
        <f t="shared" si="8"/>
        <v>0</v>
      </c>
      <c r="V112" s="610">
        <f t="shared" si="8"/>
        <v>0</v>
      </c>
      <c r="W112" s="608"/>
      <c r="X112" s="608"/>
      <c r="Y112" s="608"/>
      <c r="Z112" s="608"/>
      <c r="AA112" s="608"/>
      <c r="AB112" s="608"/>
      <c r="AC112" s="608"/>
      <c r="AD112" s="608"/>
      <c r="AE112" s="608"/>
      <c r="AF112" s="608"/>
      <c r="AG112" s="608"/>
      <c r="AH112" s="608"/>
      <c r="AI112" s="608"/>
      <c r="AJ112" s="608"/>
      <c r="AK112" s="608"/>
      <c r="AL112" s="608"/>
      <c r="AM112" s="608"/>
      <c r="AN112" s="608"/>
      <c r="AO112" s="608"/>
      <c r="AP112" s="608"/>
      <c r="AQ112" s="608"/>
      <c r="AR112" s="608"/>
      <c r="AS112" s="608"/>
      <c r="AT112" s="608"/>
    </row>
    <row r="113" spans="1:46" s="609" customFormat="1" ht="22.5" customHeight="1">
      <c r="A113" s="110"/>
      <c r="B113" s="610" t="s">
        <v>756</v>
      </c>
      <c r="C113" s="610">
        <f>C$50</f>
        <v>68199</v>
      </c>
      <c r="D113" s="610">
        <f t="shared" ref="D113:V113" si="9">D$50</f>
        <v>95730</v>
      </c>
      <c r="E113" s="610">
        <f t="shared" si="9"/>
        <v>91402</v>
      </c>
      <c r="F113" s="610">
        <f t="shared" si="9"/>
        <v>106175</v>
      </c>
      <c r="G113" s="610">
        <f t="shared" si="9"/>
        <v>77733</v>
      </c>
      <c r="H113" s="610">
        <f t="shared" si="9"/>
        <v>114003</v>
      </c>
      <c r="I113" s="610">
        <f t="shared" si="9"/>
        <v>108375</v>
      </c>
      <c r="J113" s="610">
        <f t="shared" si="9"/>
        <v>134714</v>
      </c>
      <c r="K113" s="610">
        <f t="shared" si="9"/>
        <v>116620</v>
      </c>
      <c r="L113" s="610">
        <f t="shared" si="9"/>
        <v>144863</v>
      </c>
      <c r="M113" s="610">
        <f t="shared" si="9"/>
        <v>132003</v>
      </c>
      <c r="N113" s="610">
        <f t="shared" si="9"/>
        <v>129860</v>
      </c>
      <c r="O113" s="610">
        <f t="shared" si="9"/>
        <v>0</v>
      </c>
      <c r="P113" s="610">
        <f t="shared" si="9"/>
        <v>0</v>
      </c>
      <c r="Q113" s="610">
        <f t="shared" si="9"/>
        <v>0</v>
      </c>
      <c r="R113" s="610">
        <f t="shared" si="9"/>
        <v>0</v>
      </c>
      <c r="S113" s="610">
        <f t="shared" si="9"/>
        <v>0</v>
      </c>
      <c r="T113" s="610">
        <f t="shared" si="9"/>
        <v>0</v>
      </c>
      <c r="U113" s="610">
        <f t="shared" si="9"/>
        <v>0</v>
      </c>
      <c r="V113" s="610">
        <f t="shared" si="9"/>
        <v>0</v>
      </c>
      <c r="W113" s="608"/>
      <c r="X113" s="608"/>
      <c r="Y113" s="608"/>
      <c r="Z113" s="608"/>
      <c r="AA113" s="608"/>
      <c r="AB113" s="608"/>
      <c r="AC113" s="608"/>
      <c r="AD113" s="608"/>
      <c r="AE113" s="608"/>
      <c r="AF113" s="608"/>
      <c r="AG113" s="608"/>
      <c r="AH113" s="608"/>
      <c r="AI113" s="608"/>
      <c r="AJ113" s="608"/>
      <c r="AK113" s="608"/>
      <c r="AL113" s="608"/>
      <c r="AM113" s="608"/>
      <c r="AN113" s="608"/>
      <c r="AO113" s="608"/>
      <c r="AP113" s="608"/>
      <c r="AQ113" s="608"/>
      <c r="AR113" s="608"/>
      <c r="AS113" s="608"/>
      <c r="AT113" s="608"/>
    </row>
    <row r="114" spans="1:46" s="64" customFormat="1" ht="22.5" customHeight="1">
      <c r="A114" s="110"/>
      <c r="B114" s="110"/>
      <c r="C114" s="110"/>
      <c r="D114" s="110"/>
      <c r="E114" s="110"/>
      <c r="F114" s="110"/>
      <c r="G114" s="110"/>
      <c r="H114" s="110"/>
      <c r="I114" s="110"/>
      <c r="J114" s="110"/>
      <c r="K114" s="110"/>
      <c r="L114" s="110"/>
      <c r="M114" s="110"/>
      <c r="N114" s="110"/>
      <c r="O114" s="110"/>
      <c r="P114" s="110"/>
      <c r="Q114" s="110"/>
      <c r="R114" s="110"/>
      <c r="S114" s="616"/>
      <c r="T114" s="616"/>
      <c r="U114" s="616"/>
      <c r="V114" s="616"/>
    </row>
    <row r="115" spans="1:46" s="64" customFormat="1" ht="22.5" customHeight="1">
      <c r="A115" s="110"/>
      <c r="B115" s="110"/>
      <c r="C115" s="110"/>
      <c r="D115" s="110"/>
      <c r="E115" s="110"/>
      <c r="F115" s="110"/>
      <c r="G115" s="110"/>
      <c r="H115" s="110"/>
      <c r="I115" s="110"/>
      <c r="J115" s="110"/>
      <c r="K115" s="110"/>
      <c r="L115" s="110"/>
      <c r="M115" s="110"/>
      <c r="N115" s="110"/>
      <c r="O115" s="110"/>
      <c r="P115" s="110"/>
      <c r="Q115" s="110"/>
      <c r="R115" s="110"/>
      <c r="S115" s="616"/>
      <c r="T115" s="616"/>
      <c r="U115" s="616"/>
      <c r="V115" s="616"/>
    </row>
    <row r="116" spans="1:46" s="64" customFormat="1" ht="22.5" customHeight="1">
      <c r="A116" s="110"/>
      <c r="B116" s="110"/>
      <c r="C116" s="110"/>
      <c r="D116" s="110"/>
      <c r="E116" s="110"/>
      <c r="F116" s="110"/>
      <c r="G116" s="110"/>
      <c r="H116" s="110"/>
      <c r="I116" s="110"/>
      <c r="J116" s="110"/>
      <c r="K116" s="110"/>
      <c r="L116" s="110"/>
      <c r="M116" s="110"/>
      <c r="N116" s="110"/>
      <c r="O116" s="110"/>
      <c r="P116" s="110"/>
      <c r="Q116" s="110"/>
      <c r="R116" s="110"/>
      <c r="S116" s="616"/>
      <c r="T116" s="616"/>
      <c r="U116" s="616"/>
      <c r="V116" s="616"/>
    </row>
    <row r="117" spans="1:46" s="64" customFormat="1" ht="22.5" customHeight="1">
      <c r="A117" s="110"/>
      <c r="B117" s="110"/>
      <c r="C117" s="110"/>
      <c r="D117" s="110"/>
      <c r="E117" s="110"/>
      <c r="F117" s="110"/>
      <c r="G117" s="110"/>
      <c r="H117" s="110"/>
      <c r="I117" s="110"/>
      <c r="J117" s="110"/>
      <c r="K117" s="110"/>
      <c r="L117" s="110"/>
      <c r="M117" s="110"/>
      <c r="N117" s="110"/>
      <c r="O117" s="110"/>
      <c r="P117" s="110"/>
      <c r="Q117" s="110"/>
      <c r="R117" s="110"/>
      <c r="S117" s="616"/>
      <c r="T117" s="616"/>
      <c r="U117" s="616"/>
      <c r="V117" s="616"/>
    </row>
    <row r="118" spans="1:46" s="64" customFormat="1" ht="22.5" customHeight="1">
      <c r="A118" s="110"/>
      <c r="B118" s="110"/>
      <c r="C118" s="110"/>
      <c r="D118" s="110"/>
      <c r="E118" s="110"/>
      <c r="F118" s="110"/>
      <c r="G118" s="110"/>
      <c r="H118" s="110"/>
      <c r="I118" s="110"/>
      <c r="J118" s="110"/>
      <c r="K118" s="110"/>
      <c r="L118" s="110"/>
      <c r="M118" s="110"/>
      <c r="N118" s="110"/>
      <c r="O118" s="110"/>
      <c r="P118" s="110"/>
      <c r="Q118" s="110"/>
      <c r="R118" s="110"/>
      <c r="S118" s="616"/>
      <c r="T118" s="616"/>
      <c r="U118" s="616"/>
      <c r="V118" s="616"/>
    </row>
    <row r="119" spans="1:46" s="64" customFormat="1" ht="22.5" customHeight="1">
      <c r="A119" s="110"/>
      <c r="B119" s="110"/>
      <c r="C119" s="110"/>
      <c r="D119" s="110"/>
      <c r="E119" s="110"/>
      <c r="F119" s="110"/>
      <c r="G119" s="110"/>
      <c r="H119" s="110"/>
      <c r="I119" s="110"/>
      <c r="J119" s="110"/>
      <c r="K119" s="110"/>
      <c r="L119" s="110"/>
      <c r="M119" s="110"/>
      <c r="N119" s="110"/>
      <c r="O119" s="110"/>
      <c r="P119" s="110"/>
      <c r="Q119" s="110"/>
      <c r="R119" s="110"/>
      <c r="S119" s="616"/>
      <c r="T119" s="616"/>
      <c r="U119" s="616"/>
      <c r="V119" s="616"/>
    </row>
    <row r="120" spans="1:46" s="64" customFormat="1" ht="22.5" customHeight="1">
      <c r="A120" s="110"/>
      <c r="B120" s="110"/>
      <c r="C120" s="110"/>
      <c r="D120" s="110"/>
      <c r="E120" s="110"/>
      <c r="F120" s="110"/>
      <c r="G120" s="110"/>
      <c r="H120" s="110"/>
      <c r="I120" s="110"/>
      <c r="J120" s="110"/>
      <c r="K120" s="110"/>
      <c r="L120" s="110"/>
      <c r="M120" s="110"/>
      <c r="N120" s="110"/>
      <c r="O120" s="110"/>
      <c r="P120" s="110"/>
      <c r="Q120" s="110"/>
      <c r="R120" s="110"/>
      <c r="S120" s="616"/>
      <c r="T120" s="616"/>
      <c r="U120" s="616"/>
      <c r="V120" s="616"/>
    </row>
    <row r="121" spans="1:46" s="64" customFormat="1" ht="22.5" customHeight="1">
      <c r="A121" s="110"/>
      <c r="B121" s="110"/>
      <c r="C121" s="110"/>
      <c r="D121" s="110"/>
      <c r="E121" s="110"/>
      <c r="F121" s="110"/>
      <c r="G121" s="110"/>
      <c r="H121" s="110"/>
      <c r="I121" s="110"/>
      <c r="J121" s="110"/>
      <c r="K121" s="110"/>
      <c r="L121" s="110"/>
      <c r="M121" s="110"/>
      <c r="N121" s="110"/>
      <c r="O121" s="110"/>
      <c r="P121" s="110"/>
      <c r="Q121" s="110"/>
      <c r="R121" s="110"/>
      <c r="S121" s="616"/>
      <c r="T121" s="616"/>
      <c r="U121" s="616"/>
      <c r="V121" s="616"/>
    </row>
    <row r="122" spans="1:46" s="64" customFormat="1" ht="22.5" customHeight="1">
      <c r="A122" s="110"/>
      <c r="B122" s="110"/>
      <c r="C122" s="110"/>
      <c r="D122" s="110"/>
      <c r="E122" s="110"/>
      <c r="F122" s="110"/>
      <c r="G122" s="110"/>
      <c r="H122" s="110"/>
      <c r="I122" s="110"/>
      <c r="J122" s="110"/>
      <c r="K122" s="110"/>
      <c r="L122" s="110"/>
      <c r="M122" s="110"/>
      <c r="N122" s="110"/>
      <c r="O122" s="110"/>
      <c r="P122" s="110"/>
      <c r="Q122" s="110"/>
      <c r="R122" s="110"/>
      <c r="S122" s="616"/>
      <c r="T122" s="616"/>
      <c r="U122" s="616"/>
      <c r="V122" s="616"/>
    </row>
    <row r="123" spans="1:46" ht="22.5" customHeight="1">
      <c r="S123" s="616"/>
      <c r="T123" s="616"/>
      <c r="U123" s="616"/>
      <c r="V123" s="616"/>
    </row>
    <row r="124" spans="1:46" ht="22.5" customHeight="1">
      <c r="S124" s="616"/>
      <c r="T124" s="616"/>
      <c r="U124" s="616"/>
      <c r="V124" s="616"/>
    </row>
    <row r="125" spans="1:46" ht="22.5" customHeight="1">
      <c r="S125" s="616"/>
      <c r="T125" s="616"/>
      <c r="U125" s="616"/>
      <c r="V125" s="616"/>
    </row>
    <row r="126" spans="1:46" ht="22.5" customHeight="1">
      <c r="S126" s="616"/>
      <c r="T126" s="616"/>
      <c r="U126" s="616"/>
      <c r="V126" s="616"/>
    </row>
    <row r="127" spans="1:46" ht="22.5" customHeight="1">
      <c r="S127" s="616"/>
      <c r="T127" s="616"/>
      <c r="U127" s="616"/>
      <c r="V127" s="616"/>
    </row>
    <row r="128" spans="1:46" ht="22.5" customHeight="1">
      <c r="S128" s="616"/>
      <c r="T128" s="616"/>
      <c r="U128" s="616"/>
      <c r="V128" s="616"/>
    </row>
    <row r="129" spans="1:22" s="64" customFormat="1" ht="22.5" customHeight="1">
      <c r="A129" s="1313" t="s">
        <v>759</v>
      </c>
      <c r="B129" s="1313"/>
      <c r="C129" s="1313"/>
      <c r="D129" s="593"/>
      <c r="E129" s="110"/>
      <c r="F129" s="110"/>
      <c r="G129" s="110"/>
      <c r="H129" s="110"/>
      <c r="I129" s="110"/>
      <c r="J129" s="110"/>
      <c r="K129" s="110"/>
      <c r="L129" s="110"/>
      <c r="M129" s="110"/>
      <c r="N129" s="110"/>
      <c r="O129" s="110"/>
      <c r="P129" s="110"/>
      <c r="Q129" s="110"/>
      <c r="R129" s="110"/>
      <c r="S129" s="110"/>
      <c r="T129" s="110"/>
      <c r="U129" s="110"/>
      <c r="V129" s="110"/>
    </row>
    <row r="130" spans="1:22" ht="22.5" customHeight="1">
      <c r="A130" s="1314" t="s">
        <v>747</v>
      </c>
      <c r="B130" s="587" t="s">
        <v>760</v>
      </c>
      <c r="C130" s="1314" t="s">
        <v>734</v>
      </c>
      <c r="D130" s="1314"/>
      <c r="E130" s="1314"/>
      <c r="F130" s="1314"/>
      <c r="G130" s="1314" t="s">
        <v>508</v>
      </c>
      <c r="H130" s="1314"/>
      <c r="I130" s="1314"/>
      <c r="J130" s="1314"/>
      <c r="K130" s="1314" t="s">
        <v>510</v>
      </c>
      <c r="L130" s="1314"/>
      <c r="M130" s="1314"/>
      <c r="N130" s="1314"/>
      <c r="O130" s="1314" t="s">
        <v>512</v>
      </c>
      <c r="P130" s="1314"/>
      <c r="Q130" s="1314"/>
      <c r="R130" s="1314"/>
      <c r="S130" s="1314" t="s">
        <v>516</v>
      </c>
      <c r="T130" s="1314"/>
      <c r="U130" s="1314"/>
      <c r="V130" s="1314"/>
    </row>
    <row r="131" spans="1:22" ht="22.5" customHeight="1">
      <c r="A131" s="1314"/>
      <c r="B131" s="587" t="s">
        <v>735</v>
      </c>
      <c r="C131" s="588" t="s">
        <v>736</v>
      </c>
      <c r="D131" s="588" t="s">
        <v>737</v>
      </c>
      <c r="E131" s="588" t="s">
        <v>738</v>
      </c>
      <c r="F131" s="588" t="s">
        <v>739</v>
      </c>
      <c r="G131" s="588" t="s">
        <v>736</v>
      </c>
      <c r="H131" s="588" t="s">
        <v>737</v>
      </c>
      <c r="I131" s="588" t="s">
        <v>738</v>
      </c>
      <c r="J131" s="588" t="s">
        <v>739</v>
      </c>
      <c r="K131" s="588" t="s">
        <v>736</v>
      </c>
      <c r="L131" s="588" t="s">
        <v>737</v>
      </c>
      <c r="M131" s="588" t="s">
        <v>738</v>
      </c>
      <c r="N131" s="588" t="s">
        <v>739</v>
      </c>
      <c r="O131" s="588" t="s">
        <v>736</v>
      </c>
      <c r="P131" s="588" t="s">
        <v>737</v>
      </c>
      <c r="Q131" s="588" t="s">
        <v>738</v>
      </c>
      <c r="R131" s="588" t="s">
        <v>739</v>
      </c>
      <c r="S131" s="588" t="s">
        <v>736</v>
      </c>
      <c r="T131" s="588" t="s">
        <v>737</v>
      </c>
      <c r="U131" s="588" t="s">
        <v>738</v>
      </c>
      <c r="V131" s="588" t="s">
        <v>739</v>
      </c>
    </row>
    <row r="132" spans="1:22" ht="22.5" customHeight="1">
      <c r="A132" s="1325" t="s">
        <v>418</v>
      </c>
      <c r="B132" s="617" t="s">
        <v>761</v>
      </c>
      <c r="C132" s="618">
        <f>'2. 의사결정 및 경영성과'!E20</f>
        <v>460000</v>
      </c>
      <c r="D132" s="618">
        <f>'2. 의사결정 및 경영성과'!H20</f>
        <v>470000</v>
      </c>
      <c r="E132" s="618">
        <f>'2. 의사결정 및 경영성과'!K20</f>
        <v>475000</v>
      </c>
      <c r="F132" s="618">
        <f>'2. 의사결정 및 경영성과'!N20</f>
        <v>480000</v>
      </c>
      <c r="G132" s="618">
        <f>'2. 의사결정 및 경영성과'!Q20</f>
        <v>525000</v>
      </c>
      <c r="H132" s="618">
        <f>'2. 의사결정 및 경영성과'!T20</f>
        <v>530000</v>
      </c>
      <c r="I132" s="618">
        <f>'2. 의사결정 및 경영성과'!W20</f>
        <v>540000</v>
      </c>
      <c r="J132" s="618">
        <f>'2. 의사결정 및 경영성과'!Z20</f>
        <v>590000</v>
      </c>
      <c r="K132" s="618">
        <f>'2. 의사결정 및 경영성과'!AC20</f>
        <v>600000</v>
      </c>
      <c r="L132" s="618">
        <f>'2. 의사결정 및 경영성과'!AF20</f>
        <v>610000</v>
      </c>
      <c r="M132" s="618">
        <f>'2. 의사결정 및 경영성과'!AI20</f>
        <v>670000</v>
      </c>
      <c r="N132" s="618">
        <f>'2. 의사결정 및 경영성과'!AL20</f>
        <v>680000</v>
      </c>
      <c r="O132" s="618">
        <f>'2. 의사결정 및 경영성과'!AO20</f>
        <v>0</v>
      </c>
      <c r="P132" s="618">
        <f>'2. 의사결정 및 경영성과'!AR20</f>
        <v>0</v>
      </c>
      <c r="Q132" s="618">
        <f>'2. 의사결정 및 경영성과'!AU20</f>
        <v>0</v>
      </c>
      <c r="R132" s="618">
        <f>'2. 의사결정 및 경영성과'!AX20</f>
        <v>0</v>
      </c>
      <c r="S132" s="618">
        <f>'2. 의사결정 및 경영성과'!BA20</f>
        <v>0</v>
      </c>
      <c r="T132" s="618">
        <f>'2. 의사결정 및 경영성과'!BD20</f>
        <v>0</v>
      </c>
      <c r="U132" s="618">
        <f>'2. 의사결정 및 경영성과'!BG20</f>
        <v>0</v>
      </c>
      <c r="V132" s="618">
        <f>'2. 의사결정 및 경영성과'!BJ20</f>
        <v>0</v>
      </c>
    </row>
    <row r="133" spans="1:22" ht="22.5" customHeight="1">
      <c r="A133" s="1326"/>
      <c r="B133" s="617" t="s">
        <v>762</v>
      </c>
      <c r="C133" s="618">
        <f>C$47</f>
        <v>38739</v>
      </c>
      <c r="D133" s="618">
        <f t="shared" ref="D133:V133" si="10">D$47</f>
        <v>49455</v>
      </c>
      <c r="E133" s="618">
        <f t="shared" si="10"/>
        <v>46095</v>
      </c>
      <c r="F133" s="618">
        <f t="shared" si="10"/>
        <v>53923</v>
      </c>
      <c r="G133" s="618">
        <f t="shared" si="10"/>
        <v>38959</v>
      </c>
      <c r="H133" s="618">
        <f t="shared" si="10"/>
        <v>59451</v>
      </c>
      <c r="I133" s="618">
        <f t="shared" si="10"/>
        <v>53746</v>
      </c>
      <c r="J133" s="618">
        <f t="shared" si="10"/>
        <v>73267</v>
      </c>
      <c r="K133" s="618">
        <f t="shared" si="10"/>
        <v>65552</v>
      </c>
      <c r="L133" s="618">
        <f t="shared" si="10"/>
        <v>80232</v>
      </c>
      <c r="M133" s="618">
        <f t="shared" si="10"/>
        <v>69981</v>
      </c>
      <c r="N133" s="618">
        <f t="shared" si="10"/>
        <v>66680</v>
      </c>
      <c r="O133" s="618">
        <f t="shared" si="10"/>
        <v>0</v>
      </c>
      <c r="P133" s="618">
        <f t="shared" si="10"/>
        <v>0</v>
      </c>
      <c r="Q133" s="618">
        <f t="shared" si="10"/>
        <v>0</v>
      </c>
      <c r="R133" s="618">
        <f t="shared" si="10"/>
        <v>0</v>
      </c>
      <c r="S133" s="618">
        <f t="shared" si="10"/>
        <v>0</v>
      </c>
      <c r="T133" s="618">
        <f t="shared" si="10"/>
        <v>0</v>
      </c>
      <c r="U133" s="618">
        <f t="shared" si="10"/>
        <v>0</v>
      </c>
      <c r="V133" s="618">
        <f t="shared" si="10"/>
        <v>0</v>
      </c>
    </row>
    <row r="134" spans="1:22" ht="22.5" customHeight="1">
      <c r="A134" s="1325" t="s">
        <v>1163</v>
      </c>
      <c r="B134" s="617" t="s">
        <v>763</v>
      </c>
      <c r="C134" s="618">
        <f>'2. 의사결정 및 경영성과'!F20</f>
        <v>505</v>
      </c>
      <c r="D134" s="618">
        <f>'2. 의사결정 및 경영성과'!I20</f>
        <v>512</v>
      </c>
      <c r="E134" s="618">
        <f>'2. 의사결정 및 경영성과'!L20</f>
        <v>515</v>
      </c>
      <c r="F134" s="618">
        <f>'2. 의사결정 및 경영성과'!O20</f>
        <v>520</v>
      </c>
      <c r="G134" s="618">
        <f>'2. 의사결정 및 경영성과'!R20</f>
        <v>550</v>
      </c>
      <c r="H134" s="618">
        <f>'2. 의사결정 및 경영성과'!U20</f>
        <v>555</v>
      </c>
      <c r="I134" s="618">
        <f>'2. 의사결정 및 경영성과'!X20</f>
        <v>560</v>
      </c>
      <c r="J134" s="618">
        <f>'2. 의사결정 및 경영성과'!AA20</f>
        <v>595</v>
      </c>
      <c r="K134" s="618">
        <f>'2. 의사결정 및 경영성과'!AD20</f>
        <v>600</v>
      </c>
      <c r="L134" s="618">
        <f>'2. 의사결정 및 경영성과'!AG20</f>
        <v>615</v>
      </c>
      <c r="M134" s="618">
        <f>'2. 의사결정 및 경영성과'!AJ20</f>
        <v>635</v>
      </c>
      <c r="N134" s="618">
        <f>'2. 의사결정 및 경영성과'!AM20</f>
        <v>640</v>
      </c>
      <c r="O134" s="618">
        <f>'2. 의사결정 및 경영성과'!AP20</f>
        <v>0</v>
      </c>
      <c r="P134" s="618">
        <f>'2. 의사결정 및 경영성과'!AS20</f>
        <v>0</v>
      </c>
      <c r="Q134" s="618">
        <f>'2. 의사결정 및 경영성과'!AV20</f>
        <v>0</v>
      </c>
      <c r="R134" s="618">
        <f>'2. 의사결정 및 경영성과'!AY20</f>
        <v>0</v>
      </c>
      <c r="S134" s="618">
        <f>'2. 의사결정 및 경영성과'!BB20</f>
        <v>0</v>
      </c>
      <c r="T134" s="618">
        <f>'2. 의사결정 및 경영성과'!BE20</f>
        <v>0</v>
      </c>
      <c r="U134" s="618">
        <f>'2. 의사결정 및 경영성과'!BH20</f>
        <v>0</v>
      </c>
      <c r="V134" s="618">
        <f>'2. 의사결정 및 경영성과'!BK20</f>
        <v>0</v>
      </c>
    </row>
    <row r="135" spans="1:22" ht="22.5" customHeight="1">
      <c r="A135" s="1326"/>
      <c r="B135" s="617" t="s">
        <v>762</v>
      </c>
      <c r="C135" s="618">
        <f>C$48</f>
        <v>23963</v>
      </c>
      <c r="D135" s="618">
        <f t="shared" ref="D135:V135" si="11">D$48</f>
        <v>32381</v>
      </c>
      <c r="E135" s="618">
        <f t="shared" si="11"/>
        <v>34739</v>
      </c>
      <c r="F135" s="618">
        <f t="shared" si="11"/>
        <v>39025</v>
      </c>
      <c r="G135" s="618">
        <f t="shared" si="11"/>
        <v>34074</v>
      </c>
      <c r="H135" s="618">
        <f t="shared" si="11"/>
        <v>39074</v>
      </c>
      <c r="I135" s="618">
        <f t="shared" si="11"/>
        <v>39354</v>
      </c>
      <c r="J135" s="618">
        <f t="shared" si="11"/>
        <v>40033</v>
      </c>
      <c r="K135" s="618">
        <f t="shared" si="11"/>
        <v>33564</v>
      </c>
      <c r="L135" s="618">
        <f t="shared" si="11"/>
        <v>36277</v>
      </c>
      <c r="M135" s="618">
        <f t="shared" si="11"/>
        <v>33702</v>
      </c>
      <c r="N135" s="618">
        <f t="shared" si="11"/>
        <v>32680</v>
      </c>
      <c r="O135" s="618">
        <f t="shared" si="11"/>
        <v>0</v>
      </c>
      <c r="P135" s="618">
        <f t="shared" si="11"/>
        <v>0</v>
      </c>
      <c r="Q135" s="618">
        <f t="shared" si="11"/>
        <v>0</v>
      </c>
      <c r="R135" s="618">
        <f t="shared" si="11"/>
        <v>0</v>
      </c>
      <c r="S135" s="618">
        <f t="shared" si="11"/>
        <v>0</v>
      </c>
      <c r="T135" s="618">
        <f t="shared" si="11"/>
        <v>0</v>
      </c>
      <c r="U135" s="618">
        <f t="shared" si="11"/>
        <v>0</v>
      </c>
      <c r="V135" s="618">
        <f t="shared" si="11"/>
        <v>0</v>
      </c>
    </row>
    <row r="136" spans="1:22" ht="22.5" customHeight="1">
      <c r="A136" s="1325" t="s">
        <v>1206</v>
      </c>
      <c r="B136" s="617" t="s">
        <v>764</v>
      </c>
      <c r="C136" s="618">
        <f>'2. 의사결정 및 경영성과'!G20</f>
        <v>2400</v>
      </c>
      <c r="D136" s="618">
        <f>'2. 의사결정 및 경영성과'!J20</f>
        <v>2450</v>
      </c>
      <c r="E136" s="618">
        <f>'2. 의사결정 및 경영성과'!M20</f>
        <v>2500</v>
      </c>
      <c r="F136" s="618">
        <f>'2. 의사결정 및 경영성과'!P20</f>
        <v>2650</v>
      </c>
      <c r="G136" s="618">
        <f>'2. 의사결정 및 경영성과'!S20</f>
        <v>2900</v>
      </c>
      <c r="H136" s="618">
        <f>'2. 의사결정 및 경영성과'!V20</f>
        <v>2950</v>
      </c>
      <c r="I136" s="618">
        <f>'2. 의사결정 및 경영성과'!Y20</f>
        <v>3000</v>
      </c>
      <c r="J136" s="618">
        <f>'2. 의사결정 및 경영성과'!AB20</f>
        <v>3250</v>
      </c>
      <c r="K136" s="618">
        <f>'2. 의사결정 및 경영성과'!AE20</f>
        <v>3300</v>
      </c>
      <c r="L136" s="618">
        <f>'2. 의사결정 및 경영성과'!AH20</f>
        <v>3400</v>
      </c>
      <c r="M136" s="618">
        <f>'2. 의사결정 및 경영성과'!AK20</f>
        <v>3700</v>
      </c>
      <c r="N136" s="618">
        <f>'2. 의사결정 및 경영성과'!AN20</f>
        <v>3800</v>
      </c>
      <c r="O136" s="618">
        <f>'2. 의사결정 및 경영성과'!AQ20</f>
        <v>0</v>
      </c>
      <c r="P136" s="618">
        <f>'2. 의사결정 및 경영성과'!AT20</f>
        <v>0</v>
      </c>
      <c r="Q136" s="618">
        <f>'2. 의사결정 및 경영성과'!AW20</f>
        <v>0</v>
      </c>
      <c r="R136" s="618">
        <f>'2. 의사결정 및 경영성과'!AZ20</f>
        <v>0</v>
      </c>
      <c r="S136" s="618">
        <f>'2. 의사결정 및 경영성과'!BC20</f>
        <v>0</v>
      </c>
      <c r="T136" s="618">
        <f>'2. 의사결정 및 경영성과'!BF20</f>
        <v>0</v>
      </c>
      <c r="U136" s="618">
        <f>'2. 의사결정 및 경영성과'!BI20</f>
        <v>0</v>
      </c>
      <c r="V136" s="618">
        <f>'2. 의사결정 및 경영성과'!BL20</f>
        <v>0</v>
      </c>
    </row>
    <row r="137" spans="1:22" ht="22.5" customHeight="1">
      <c r="A137" s="1326"/>
      <c r="B137" s="617" t="s">
        <v>762</v>
      </c>
      <c r="C137" s="618">
        <f>C$49</f>
        <v>5497</v>
      </c>
      <c r="D137" s="618">
        <f t="shared" ref="D137:V137" si="12">D$49</f>
        <v>13894</v>
      </c>
      <c r="E137" s="618">
        <f t="shared" si="12"/>
        <v>10568</v>
      </c>
      <c r="F137" s="618">
        <f t="shared" si="12"/>
        <v>13227</v>
      </c>
      <c r="G137" s="618">
        <f t="shared" si="12"/>
        <v>4700</v>
      </c>
      <c r="H137" s="618">
        <f t="shared" si="12"/>
        <v>15478</v>
      </c>
      <c r="I137" s="618">
        <f t="shared" si="12"/>
        <v>15275</v>
      </c>
      <c r="J137" s="618">
        <f t="shared" si="12"/>
        <v>21414</v>
      </c>
      <c r="K137" s="618">
        <f t="shared" si="12"/>
        <v>17504</v>
      </c>
      <c r="L137" s="618">
        <f t="shared" si="12"/>
        <v>28354</v>
      </c>
      <c r="M137" s="618">
        <f t="shared" si="12"/>
        <v>28320</v>
      </c>
      <c r="N137" s="618">
        <f t="shared" si="12"/>
        <v>30500</v>
      </c>
      <c r="O137" s="618">
        <f t="shared" si="12"/>
        <v>0</v>
      </c>
      <c r="P137" s="618">
        <f t="shared" si="12"/>
        <v>0</v>
      </c>
      <c r="Q137" s="618">
        <f t="shared" si="12"/>
        <v>0</v>
      </c>
      <c r="R137" s="618">
        <f t="shared" si="12"/>
        <v>0</v>
      </c>
      <c r="S137" s="618">
        <f t="shared" si="12"/>
        <v>0</v>
      </c>
      <c r="T137" s="618">
        <f t="shared" si="12"/>
        <v>0</v>
      </c>
      <c r="U137" s="618">
        <f t="shared" si="12"/>
        <v>0</v>
      </c>
      <c r="V137" s="618">
        <f t="shared" si="12"/>
        <v>0</v>
      </c>
    </row>
    <row r="138" spans="1:22" ht="22.5" customHeight="1"/>
    <row r="139" spans="1:22" ht="22.5" customHeight="1"/>
    <row r="140" spans="1:22" ht="22.5" customHeight="1"/>
    <row r="141" spans="1:22" ht="22.5" customHeight="1"/>
    <row r="142" spans="1:22" ht="22.5" customHeight="1">
      <c r="A142" s="64"/>
      <c r="B142" s="64"/>
      <c r="C142" s="64"/>
      <c r="D142" s="64"/>
      <c r="F142" s="64"/>
      <c r="G142" s="64"/>
      <c r="H142" s="64"/>
      <c r="I142" s="64"/>
      <c r="J142" s="64"/>
      <c r="K142" s="64"/>
      <c r="L142" s="64"/>
      <c r="M142" s="64"/>
      <c r="N142" s="64"/>
      <c r="O142" s="64"/>
      <c r="P142" s="64"/>
      <c r="Q142" s="64"/>
      <c r="R142" s="64"/>
      <c r="S142" s="64"/>
      <c r="T142" s="64"/>
      <c r="U142" s="64"/>
      <c r="V142" s="64"/>
    </row>
    <row r="143" spans="1:22" ht="22.5" customHeight="1">
      <c r="A143" s="64"/>
      <c r="B143" s="64"/>
      <c r="C143" s="64"/>
      <c r="D143" s="64"/>
      <c r="F143" s="64"/>
      <c r="G143" s="64"/>
      <c r="H143" s="64"/>
      <c r="I143" s="64"/>
      <c r="J143" s="64"/>
      <c r="K143" s="64"/>
      <c r="L143" s="64"/>
      <c r="M143" s="64"/>
      <c r="N143" s="64"/>
      <c r="O143" s="64"/>
      <c r="P143" s="64"/>
      <c r="Q143" s="64"/>
      <c r="R143" s="64"/>
      <c r="S143" s="64"/>
      <c r="T143" s="64"/>
      <c r="U143" s="64"/>
      <c r="V143" s="64"/>
    </row>
    <row r="144" spans="1:22" ht="22.5" customHeight="1">
      <c r="A144" s="64"/>
      <c r="B144" s="64"/>
      <c r="C144" s="64"/>
      <c r="D144" s="64"/>
      <c r="F144" s="64"/>
      <c r="G144" s="64"/>
      <c r="H144" s="64"/>
      <c r="I144" s="64"/>
      <c r="J144" s="64"/>
      <c r="K144" s="64"/>
      <c r="L144" s="64"/>
      <c r="M144" s="64"/>
      <c r="N144" s="64"/>
      <c r="O144" s="64"/>
      <c r="P144" s="64"/>
      <c r="Q144" s="64"/>
      <c r="R144" s="64"/>
      <c r="S144" s="64"/>
      <c r="T144" s="64"/>
      <c r="U144" s="64"/>
      <c r="V144" s="64"/>
    </row>
    <row r="145" spans="1:22" ht="22.5" customHeight="1">
      <c r="A145" s="64"/>
      <c r="B145" s="64"/>
      <c r="C145" s="64"/>
      <c r="D145" s="64"/>
      <c r="F145" s="64"/>
      <c r="G145" s="64"/>
      <c r="H145" s="64"/>
      <c r="I145" s="64"/>
      <c r="J145" s="64"/>
      <c r="K145" s="64"/>
      <c r="L145" s="64"/>
      <c r="M145" s="64"/>
      <c r="N145" s="64"/>
      <c r="O145" s="64"/>
      <c r="P145" s="64"/>
      <c r="Q145" s="64"/>
      <c r="R145" s="64"/>
      <c r="S145" s="64"/>
      <c r="T145" s="64"/>
      <c r="U145" s="64"/>
      <c r="V145" s="64"/>
    </row>
    <row r="146" spans="1:22" ht="22.5" customHeight="1">
      <c r="A146" s="64"/>
      <c r="B146" s="64"/>
      <c r="C146" s="64"/>
      <c r="D146" s="64"/>
      <c r="F146" s="64"/>
      <c r="G146" s="64"/>
      <c r="H146" s="64"/>
      <c r="I146" s="64"/>
      <c r="J146" s="64"/>
      <c r="K146" s="64"/>
      <c r="L146" s="64"/>
      <c r="M146" s="64"/>
      <c r="N146" s="64"/>
      <c r="O146" s="64"/>
      <c r="P146" s="64"/>
      <c r="Q146" s="64"/>
      <c r="R146" s="64"/>
      <c r="S146" s="64"/>
      <c r="T146" s="64"/>
      <c r="U146" s="64"/>
      <c r="V146" s="64"/>
    </row>
    <row r="147" spans="1:22" ht="22.5" customHeight="1">
      <c r="A147" s="64"/>
      <c r="B147" s="64"/>
      <c r="C147" s="64"/>
      <c r="D147" s="64"/>
      <c r="F147" s="64"/>
      <c r="G147" s="64"/>
      <c r="H147" s="64"/>
      <c r="I147" s="64"/>
      <c r="J147" s="64"/>
      <c r="K147" s="64"/>
      <c r="L147" s="64"/>
      <c r="M147" s="64"/>
      <c r="N147" s="64"/>
      <c r="O147" s="64"/>
      <c r="P147" s="64"/>
      <c r="Q147" s="64"/>
      <c r="R147" s="64"/>
      <c r="S147" s="64"/>
      <c r="T147" s="64"/>
      <c r="U147" s="64"/>
      <c r="V147" s="64"/>
    </row>
    <row r="148" spans="1:22" ht="22.5" customHeight="1">
      <c r="A148" s="64"/>
      <c r="B148" s="64"/>
      <c r="C148" s="64"/>
      <c r="D148" s="64"/>
      <c r="F148" s="64"/>
      <c r="G148" s="64"/>
      <c r="H148" s="64"/>
      <c r="I148" s="64"/>
      <c r="J148" s="64"/>
      <c r="K148" s="64"/>
      <c r="L148" s="64"/>
      <c r="M148" s="64"/>
      <c r="N148" s="64"/>
      <c r="O148" s="64"/>
      <c r="P148" s="64"/>
      <c r="Q148" s="64"/>
      <c r="R148" s="64"/>
      <c r="S148" s="64"/>
      <c r="T148" s="64"/>
      <c r="U148" s="64"/>
      <c r="V148" s="64"/>
    </row>
    <row r="149" spans="1:22" ht="22.5" customHeight="1">
      <c r="A149" s="64"/>
      <c r="B149" s="64"/>
      <c r="C149" s="64"/>
      <c r="D149" s="64"/>
      <c r="F149" s="64"/>
      <c r="G149" s="64"/>
      <c r="H149" s="64"/>
      <c r="I149" s="64"/>
      <c r="J149" s="64"/>
      <c r="K149" s="64"/>
      <c r="L149" s="64"/>
      <c r="M149" s="64"/>
      <c r="N149" s="64"/>
      <c r="O149" s="64"/>
      <c r="P149" s="64"/>
      <c r="Q149" s="64"/>
      <c r="R149" s="64"/>
      <c r="S149" s="64"/>
      <c r="T149" s="64"/>
      <c r="U149" s="64"/>
      <c r="V149" s="64"/>
    </row>
    <row r="150" spans="1:22" ht="22.5" customHeight="1">
      <c r="A150" s="64"/>
      <c r="B150" s="64"/>
      <c r="C150" s="64"/>
      <c r="D150" s="64"/>
      <c r="F150" s="64"/>
      <c r="G150" s="64"/>
      <c r="H150" s="64"/>
      <c r="I150" s="64"/>
      <c r="J150" s="64"/>
      <c r="K150" s="64"/>
      <c r="L150" s="64"/>
      <c r="M150" s="64"/>
      <c r="N150" s="64"/>
      <c r="O150" s="64"/>
      <c r="P150" s="64"/>
      <c r="Q150" s="64"/>
      <c r="R150" s="64"/>
      <c r="S150" s="64"/>
      <c r="T150" s="64"/>
      <c r="U150" s="64"/>
      <c r="V150" s="64"/>
    </row>
    <row r="151" spans="1:22" ht="22.5" customHeight="1">
      <c r="A151" s="64"/>
      <c r="B151" s="64"/>
      <c r="C151" s="64"/>
      <c r="D151" s="64"/>
      <c r="F151" s="64"/>
      <c r="G151" s="64"/>
      <c r="H151" s="64"/>
      <c r="I151" s="64"/>
      <c r="J151" s="64"/>
      <c r="K151" s="64"/>
      <c r="L151" s="64"/>
      <c r="M151" s="64"/>
      <c r="N151" s="64"/>
      <c r="O151" s="64"/>
      <c r="P151" s="64"/>
      <c r="Q151" s="64"/>
      <c r="R151" s="64"/>
      <c r="S151" s="64"/>
      <c r="T151" s="64"/>
      <c r="U151" s="64"/>
      <c r="V151" s="64"/>
    </row>
    <row r="152" spans="1:22" ht="22.5" customHeight="1">
      <c r="A152" s="64"/>
      <c r="B152" s="64"/>
      <c r="C152" s="64"/>
      <c r="D152" s="64"/>
      <c r="F152" s="64"/>
      <c r="G152" s="64"/>
      <c r="H152" s="64"/>
      <c r="I152" s="64"/>
      <c r="J152" s="64"/>
      <c r="K152" s="64"/>
      <c r="L152" s="64"/>
      <c r="M152" s="64"/>
      <c r="N152" s="64"/>
      <c r="O152" s="64"/>
      <c r="P152" s="64"/>
      <c r="Q152" s="64"/>
      <c r="R152" s="64"/>
      <c r="S152" s="64"/>
      <c r="T152" s="64"/>
      <c r="U152" s="64"/>
      <c r="V152" s="64"/>
    </row>
    <row r="153" spans="1:22" s="64" customFormat="1" ht="22.5" customHeight="1">
      <c r="A153" s="1313" t="s">
        <v>765</v>
      </c>
      <c r="B153" s="1313"/>
      <c r="C153" s="1313"/>
      <c r="D153" s="619"/>
      <c r="E153" s="110"/>
      <c r="F153" s="110"/>
      <c r="G153" s="110"/>
      <c r="H153" s="110"/>
      <c r="I153" s="110"/>
      <c r="J153" s="110"/>
      <c r="K153" s="110"/>
      <c r="L153" s="110"/>
      <c r="M153" s="110"/>
      <c r="N153" s="110"/>
      <c r="O153" s="110"/>
      <c r="P153" s="110"/>
      <c r="Q153" s="110"/>
      <c r="R153" s="110"/>
      <c r="S153" s="110"/>
      <c r="T153" s="110"/>
      <c r="U153" s="110"/>
      <c r="V153" s="110"/>
    </row>
    <row r="154" spans="1:22" ht="22.5" customHeight="1">
      <c r="A154" s="1314" t="s">
        <v>747</v>
      </c>
      <c r="B154" s="587" t="s">
        <v>760</v>
      </c>
      <c r="C154" s="1314" t="s">
        <v>734</v>
      </c>
      <c r="D154" s="1314"/>
      <c r="E154" s="1314"/>
      <c r="F154" s="1314"/>
      <c r="G154" s="1314" t="s">
        <v>508</v>
      </c>
      <c r="H154" s="1314"/>
      <c r="I154" s="1314"/>
      <c r="J154" s="1314"/>
      <c r="K154" s="1314" t="s">
        <v>510</v>
      </c>
      <c r="L154" s="1314"/>
      <c r="M154" s="1314"/>
      <c r="N154" s="1314"/>
      <c r="O154" s="1314" t="s">
        <v>512</v>
      </c>
      <c r="P154" s="1314"/>
      <c r="Q154" s="1314"/>
      <c r="R154" s="1314"/>
      <c r="S154" s="1314" t="s">
        <v>516</v>
      </c>
      <c r="T154" s="1314"/>
      <c r="U154" s="1314"/>
      <c r="V154" s="1314"/>
    </row>
    <row r="155" spans="1:22" ht="22.5" customHeight="1">
      <c r="A155" s="1314"/>
      <c r="B155" s="587" t="s">
        <v>735</v>
      </c>
      <c r="C155" s="588" t="s">
        <v>736</v>
      </c>
      <c r="D155" s="588" t="s">
        <v>737</v>
      </c>
      <c r="E155" s="588" t="s">
        <v>738</v>
      </c>
      <c r="F155" s="588" t="s">
        <v>739</v>
      </c>
      <c r="G155" s="588" t="s">
        <v>736</v>
      </c>
      <c r="H155" s="588" t="s">
        <v>737</v>
      </c>
      <c r="I155" s="588" t="s">
        <v>738</v>
      </c>
      <c r="J155" s="588" t="s">
        <v>739</v>
      </c>
      <c r="K155" s="588" t="s">
        <v>736</v>
      </c>
      <c r="L155" s="588" t="s">
        <v>737</v>
      </c>
      <c r="M155" s="588" t="s">
        <v>738</v>
      </c>
      <c r="N155" s="588" t="s">
        <v>739</v>
      </c>
      <c r="O155" s="588" t="s">
        <v>736</v>
      </c>
      <c r="P155" s="588" t="s">
        <v>737</v>
      </c>
      <c r="Q155" s="588" t="s">
        <v>738</v>
      </c>
      <c r="R155" s="588" t="s">
        <v>739</v>
      </c>
      <c r="S155" s="588" t="s">
        <v>736</v>
      </c>
      <c r="T155" s="588" t="s">
        <v>737</v>
      </c>
      <c r="U155" s="588" t="s">
        <v>738</v>
      </c>
      <c r="V155" s="588" t="s">
        <v>739</v>
      </c>
    </row>
    <row r="156" spans="1:22" ht="22.5" customHeight="1">
      <c r="A156" s="1325" t="s">
        <v>418</v>
      </c>
      <c r="B156" s="617" t="s">
        <v>766</v>
      </c>
      <c r="C156" s="692">
        <f>'2. 의사결정 및 경영성과'!E22</f>
        <v>1500000000</v>
      </c>
      <c r="D156" s="692">
        <f>'2. 의사결정 및 경영성과'!H22</f>
        <v>1550000000</v>
      </c>
      <c r="E156" s="692">
        <f>'2. 의사결정 및 경영성과'!K22</f>
        <v>1700000000</v>
      </c>
      <c r="F156" s="692">
        <f>'2. 의사결정 및 경영성과'!N22</f>
        <v>1750000000</v>
      </c>
      <c r="G156" s="692">
        <f>'2. 의사결정 및 경영성과'!Q22</f>
        <v>1850000000</v>
      </c>
      <c r="H156" s="692">
        <f>'2. 의사결정 및 경영성과'!T22</f>
        <v>2000000000</v>
      </c>
      <c r="I156" s="692">
        <f>'2. 의사결정 및 경영성과'!W22</f>
        <v>2100000000</v>
      </c>
      <c r="J156" s="692">
        <f>'2. 의사결정 및 경영성과'!Z22</f>
        <v>2500000000</v>
      </c>
      <c r="K156" s="692">
        <f>'2. 의사결정 및 경영성과'!AC22</f>
        <v>2550000000</v>
      </c>
      <c r="L156" s="692">
        <f>'2. 의사결정 및 경영성과'!AF22</f>
        <v>2600000000</v>
      </c>
      <c r="M156" s="692">
        <f>'2. 의사결정 및 경영성과'!AI22</f>
        <v>3000000000</v>
      </c>
      <c r="N156" s="692">
        <f>'2. 의사결정 및 경영성과'!AL22</f>
        <v>3200000000</v>
      </c>
      <c r="O156" s="620">
        <f>'2. 의사결정 및 경영성과'!AO22</f>
        <v>0</v>
      </c>
      <c r="P156" s="620">
        <f>'2. 의사결정 및 경영성과'!AR22</f>
        <v>0</v>
      </c>
      <c r="Q156" s="620">
        <f>'2. 의사결정 및 경영성과'!AU22</f>
        <v>0</v>
      </c>
      <c r="R156" s="620">
        <f>'2. 의사결정 및 경영성과'!AX22</f>
        <v>0</v>
      </c>
      <c r="S156" s="620">
        <f>'2. 의사결정 및 경영성과'!BA22</f>
        <v>0</v>
      </c>
      <c r="T156" s="620">
        <f>'2. 의사결정 및 경영성과'!BD22</f>
        <v>0</v>
      </c>
      <c r="U156" s="620">
        <f>'2. 의사결정 및 경영성과'!BG22</f>
        <v>0</v>
      </c>
      <c r="V156" s="620">
        <f>'2. 의사결정 및 경영성과'!BJ22</f>
        <v>0</v>
      </c>
    </row>
    <row r="157" spans="1:22" ht="22.5" customHeight="1">
      <c r="A157" s="1326"/>
      <c r="B157" s="617" t="s">
        <v>762</v>
      </c>
      <c r="C157" s="620">
        <f>C$47</f>
        <v>38739</v>
      </c>
      <c r="D157" s="620">
        <f t="shared" ref="D157:V157" si="13">D$47</f>
        <v>49455</v>
      </c>
      <c r="E157" s="620">
        <f t="shared" si="13"/>
        <v>46095</v>
      </c>
      <c r="F157" s="620">
        <f t="shared" si="13"/>
        <v>53923</v>
      </c>
      <c r="G157" s="620">
        <f t="shared" si="13"/>
        <v>38959</v>
      </c>
      <c r="H157" s="620">
        <f t="shared" si="13"/>
        <v>59451</v>
      </c>
      <c r="I157" s="620">
        <f t="shared" si="13"/>
        <v>53746</v>
      </c>
      <c r="J157" s="620">
        <f t="shared" si="13"/>
        <v>73267</v>
      </c>
      <c r="K157" s="620">
        <f t="shared" si="13"/>
        <v>65552</v>
      </c>
      <c r="L157" s="620">
        <f t="shared" si="13"/>
        <v>80232</v>
      </c>
      <c r="M157" s="620">
        <f t="shared" si="13"/>
        <v>69981</v>
      </c>
      <c r="N157" s="620">
        <f t="shared" si="13"/>
        <v>66680</v>
      </c>
      <c r="O157" s="620">
        <f t="shared" si="13"/>
        <v>0</v>
      </c>
      <c r="P157" s="620">
        <f t="shared" si="13"/>
        <v>0</v>
      </c>
      <c r="Q157" s="620">
        <f t="shared" si="13"/>
        <v>0</v>
      </c>
      <c r="R157" s="620">
        <f t="shared" si="13"/>
        <v>0</v>
      </c>
      <c r="S157" s="620">
        <f t="shared" si="13"/>
        <v>0</v>
      </c>
      <c r="T157" s="620">
        <f t="shared" si="13"/>
        <v>0</v>
      </c>
      <c r="U157" s="620">
        <f t="shared" si="13"/>
        <v>0</v>
      </c>
      <c r="V157" s="620">
        <f t="shared" si="13"/>
        <v>0</v>
      </c>
    </row>
    <row r="158" spans="1:22" ht="22.5" customHeight="1">
      <c r="A158" s="1325" t="s">
        <v>1163</v>
      </c>
      <c r="B158" s="617" t="s">
        <v>767</v>
      </c>
      <c r="C158" s="692">
        <f>'2. 의사결정 및 경영성과'!F22</f>
        <v>800000</v>
      </c>
      <c r="D158" s="692">
        <f>'2. 의사결정 및 경영성과'!I22</f>
        <v>900000</v>
      </c>
      <c r="E158" s="692">
        <f>'2. 의사결정 및 경영성과'!L22</f>
        <v>1050000</v>
      </c>
      <c r="F158" s="692">
        <f>'2. 의사결정 및 경영성과'!O22</f>
        <v>1055000</v>
      </c>
      <c r="G158" s="692">
        <f>'2. 의사결정 및 경영성과'!R22</f>
        <v>1100000</v>
      </c>
      <c r="H158" s="692">
        <f>'2. 의사결정 및 경영성과'!U22</f>
        <v>1150000</v>
      </c>
      <c r="I158" s="692">
        <f>'2. 의사결정 및 경영성과'!X22</f>
        <v>1200000</v>
      </c>
      <c r="J158" s="692">
        <f>'2. 의사결정 및 경영성과'!AA22</f>
        <v>1550000</v>
      </c>
      <c r="K158" s="692">
        <f>'2. 의사결정 및 경영성과'!AD22</f>
        <v>1600000</v>
      </c>
      <c r="L158" s="692">
        <f>'2. 의사결정 및 경영성과'!AG22</f>
        <v>1700000</v>
      </c>
      <c r="M158" s="692">
        <f>'2. 의사결정 및 경영성과'!AJ22</f>
        <v>1800000</v>
      </c>
      <c r="N158" s="692">
        <f>'2. 의사결정 및 경영성과'!AM22</f>
        <v>1900000</v>
      </c>
      <c r="O158" s="620">
        <f>'2. 의사결정 및 경영성과'!AP22</f>
        <v>0</v>
      </c>
      <c r="P158" s="620">
        <f>'2. 의사결정 및 경영성과'!AS22</f>
        <v>0</v>
      </c>
      <c r="Q158" s="620">
        <f>'2. 의사결정 및 경영성과'!AV22</f>
        <v>0</v>
      </c>
      <c r="R158" s="620">
        <f>'2. 의사결정 및 경영성과'!AY22</f>
        <v>0</v>
      </c>
      <c r="S158" s="620">
        <f>'2. 의사결정 및 경영성과'!BB22</f>
        <v>0</v>
      </c>
      <c r="T158" s="620">
        <f>'2. 의사결정 및 경영성과'!BE22</f>
        <v>0</v>
      </c>
      <c r="U158" s="620">
        <f>'2. 의사결정 및 경영성과'!BH22</f>
        <v>0</v>
      </c>
      <c r="V158" s="620">
        <f>'2. 의사결정 및 경영성과'!BK22</f>
        <v>0</v>
      </c>
    </row>
    <row r="159" spans="1:22" ht="22.5" customHeight="1">
      <c r="A159" s="1326"/>
      <c r="B159" s="617" t="s">
        <v>762</v>
      </c>
      <c r="C159" s="620">
        <f>C$48</f>
        <v>23963</v>
      </c>
      <c r="D159" s="620">
        <f t="shared" ref="D159:V159" si="14">D$48</f>
        <v>32381</v>
      </c>
      <c r="E159" s="620">
        <f t="shared" si="14"/>
        <v>34739</v>
      </c>
      <c r="F159" s="620">
        <f t="shared" si="14"/>
        <v>39025</v>
      </c>
      <c r="G159" s="620">
        <f t="shared" si="14"/>
        <v>34074</v>
      </c>
      <c r="H159" s="620">
        <f t="shared" si="14"/>
        <v>39074</v>
      </c>
      <c r="I159" s="620">
        <f t="shared" si="14"/>
        <v>39354</v>
      </c>
      <c r="J159" s="620">
        <f t="shared" si="14"/>
        <v>40033</v>
      </c>
      <c r="K159" s="620">
        <f t="shared" si="14"/>
        <v>33564</v>
      </c>
      <c r="L159" s="620">
        <f>L$48</f>
        <v>36277</v>
      </c>
      <c r="M159" s="620">
        <f t="shared" si="14"/>
        <v>33702</v>
      </c>
      <c r="N159" s="620">
        <f t="shared" si="14"/>
        <v>32680</v>
      </c>
      <c r="O159" s="620">
        <f t="shared" si="14"/>
        <v>0</v>
      </c>
      <c r="P159" s="620">
        <f t="shared" si="14"/>
        <v>0</v>
      </c>
      <c r="Q159" s="620">
        <f t="shared" si="14"/>
        <v>0</v>
      </c>
      <c r="R159" s="620">
        <f t="shared" si="14"/>
        <v>0</v>
      </c>
      <c r="S159" s="620">
        <f t="shared" si="14"/>
        <v>0</v>
      </c>
      <c r="T159" s="620">
        <f t="shared" si="14"/>
        <v>0</v>
      </c>
      <c r="U159" s="620">
        <f t="shared" si="14"/>
        <v>0</v>
      </c>
      <c r="V159" s="620">
        <f t="shared" si="14"/>
        <v>0</v>
      </c>
    </row>
    <row r="160" spans="1:22" ht="22.5" customHeight="1">
      <c r="A160" s="1325" t="s">
        <v>1206</v>
      </c>
      <c r="B160" s="617" t="s">
        <v>768</v>
      </c>
      <c r="C160" s="692">
        <f>'2. 의사결정 및 경영성과'!G22</f>
        <v>5500000</v>
      </c>
      <c r="D160" s="692">
        <f>'2. 의사결정 및 경영성과'!J22</f>
        <v>6000000</v>
      </c>
      <c r="E160" s="692">
        <f>'2. 의사결정 및 경영성과'!M22</f>
        <v>6300000</v>
      </c>
      <c r="F160" s="692">
        <f>'2. 의사결정 및 경영성과'!P22</f>
        <v>6500000</v>
      </c>
      <c r="G160" s="692">
        <f>'2. 의사결정 및 경영성과'!S22</f>
        <v>7000000</v>
      </c>
      <c r="H160" s="692">
        <f>'2. 의사결정 및 경영성과'!V22</f>
        <v>9000000</v>
      </c>
      <c r="I160" s="692">
        <f>'2. 의사결정 및 경영성과'!Y22</f>
        <v>9500000</v>
      </c>
      <c r="J160" s="692">
        <f>'2. 의사결정 및 경영성과'!AB22</f>
        <v>10000000</v>
      </c>
      <c r="K160" s="692">
        <f>'2. 의사결정 및 경영성과'!AE22</f>
        <v>10500000</v>
      </c>
      <c r="L160" s="692">
        <f>'2. 의사결정 및 경영성과'!AH22</f>
        <v>11000000</v>
      </c>
      <c r="M160" s="692">
        <f>'2. 의사결정 및 경영성과'!AK22</f>
        <v>11500000</v>
      </c>
      <c r="N160" s="692">
        <f>'2. 의사결정 및 경영성과'!AN22</f>
        <v>12000000</v>
      </c>
      <c r="O160" s="620">
        <f>'2. 의사결정 및 경영성과'!AQ22</f>
        <v>0</v>
      </c>
      <c r="P160" s="620">
        <f>'2. 의사결정 및 경영성과'!AT22</f>
        <v>0</v>
      </c>
      <c r="Q160" s="620">
        <f>'2. 의사결정 및 경영성과'!AW22</f>
        <v>0</v>
      </c>
      <c r="R160" s="620">
        <f>'2. 의사결정 및 경영성과'!AZ22</f>
        <v>0</v>
      </c>
      <c r="S160" s="620">
        <f>'2. 의사결정 및 경영성과'!BC22</f>
        <v>0</v>
      </c>
      <c r="T160" s="620">
        <f>'2. 의사결정 및 경영성과'!BF22</f>
        <v>0</v>
      </c>
      <c r="U160" s="620">
        <f>'2. 의사결정 및 경영성과'!BI22</f>
        <v>0</v>
      </c>
      <c r="V160" s="620">
        <f>'2. 의사결정 및 경영성과'!BL22</f>
        <v>0</v>
      </c>
    </row>
    <row r="161" spans="1:22" ht="22.5" customHeight="1">
      <c r="A161" s="1326"/>
      <c r="B161" s="617" t="s">
        <v>762</v>
      </c>
      <c r="C161" s="620">
        <f>C$49</f>
        <v>5497</v>
      </c>
      <c r="D161" s="620">
        <f t="shared" ref="D161:V161" si="15">D$49</f>
        <v>13894</v>
      </c>
      <c r="E161" s="620">
        <f t="shared" si="15"/>
        <v>10568</v>
      </c>
      <c r="F161" s="620">
        <f t="shared" si="15"/>
        <v>13227</v>
      </c>
      <c r="G161" s="620">
        <f t="shared" si="15"/>
        <v>4700</v>
      </c>
      <c r="H161" s="620">
        <f t="shared" si="15"/>
        <v>15478</v>
      </c>
      <c r="I161" s="620">
        <f t="shared" si="15"/>
        <v>15275</v>
      </c>
      <c r="J161" s="620">
        <f t="shared" si="15"/>
        <v>21414</v>
      </c>
      <c r="K161" s="620">
        <f t="shared" si="15"/>
        <v>17504</v>
      </c>
      <c r="L161" s="620">
        <f t="shared" si="15"/>
        <v>28354</v>
      </c>
      <c r="M161" s="620">
        <f t="shared" si="15"/>
        <v>28320</v>
      </c>
      <c r="N161" s="620">
        <f t="shared" si="15"/>
        <v>30500</v>
      </c>
      <c r="O161" s="620">
        <f t="shared" si="15"/>
        <v>0</v>
      </c>
      <c r="P161" s="620">
        <f t="shared" si="15"/>
        <v>0</v>
      </c>
      <c r="Q161" s="620">
        <f t="shared" si="15"/>
        <v>0</v>
      </c>
      <c r="R161" s="620">
        <f t="shared" si="15"/>
        <v>0</v>
      </c>
      <c r="S161" s="620">
        <f t="shared" si="15"/>
        <v>0</v>
      </c>
      <c r="T161" s="620">
        <f t="shared" si="15"/>
        <v>0</v>
      </c>
      <c r="U161" s="620">
        <f t="shared" si="15"/>
        <v>0</v>
      </c>
      <c r="V161" s="620">
        <f t="shared" si="15"/>
        <v>0</v>
      </c>
    </row>
    <row r="162" spans="1:22" ht="22.5" customHeight="1">
      <c r="A162" s="589"/>
      <c r="B162" s="589"/>
      <c r="C162" s="589"/>
      <c r="D162" s="589"/>
      <c r="E162" s="589"/>
      <c r="F162" s="589"/>
      <c r="G162" s="589"/>
      <c r="H162" s="589"/>
      <c r="I162" s="589"/>
      <c r="J162" s="589"/>
      <c r="K162" s="589"/>
      <c r="L162" s="589"/>
      <c r="M162" s="589"/>
      <c r="N162" s="589"/>
      <c r="O162" s="589"/>
      <c r="P162" s="589"/>
      <c r="Q162" s="589"/>
      <c r="R162" s="589"/>
      <c r="S162" s="589"/>
      <c r="T162" s="589"/>
      <c r="U162" s="589"/>
      <c r="V162" s="589"/>
    </row>
    <row r="163" spans="1:22" ht="22.5" customHeight="1">
      <c r="A163" s="589"/>
      <c r="B163" s="589"/>
      <c r="C163" s="589"/>
      <c r="D163" s="589"/>
      <c r="E163" s="589"/>
      <c r="F163" s="589"/>
      <c r="G163" s="589"/>
      <c r="H163" s="589"/>
      <c r="I163" s="589"/>
      <c r="J163" s="589"/>
      <c r="K163" s="589"/>
      <c r="L163" s="589"/>
      <c r="M163" s="589"/>
      <c r="N163" s="589"/>
      <c r="O163" s="589"/>
      <c r="P163" s="589"/>
      <c r="Q163" s="589"/>
      <c r="R163" s="589"/>
      <c r="S163" s="589"/>
      <c r="T163" s="589"/>
      <c r="U163" s="589"/>
      <c r="V163" s="589"/>
    </row>
    <row r="164" spans="1:22" ht="22.5" customHeight="1">
      <c r="A164" s="589"/>
      <c r="B164" s="589"/>
      <c r="C164" s="589"/>
      <c r="D164" s="589"/>
      <c r="E164" s="589"/>
      <c r="F164" s="589"/>
      <c r="G164" s="589"/>
      <c r="H164" s="589"/>
      <c r="I164" s="589"/>
      <c r="J164" s="589"/>
      <c r="K164" s="589"/>
      <c r="L164" s="589"/>
      <c r="M164" s="589"/>
      <c r="N164" s="589"/>
      <c r="O164" s="589"/>
      <c r="P164" s="589"/>
      <c r="Q164" s="589"/>
      <c r="R164" s="589"/>
      <c r="S164" s="589"/>
      <c r="T164" s="589"/>
      <c r="U164" s="589"/>
      <c r="V164" s="589"/>
    </row>
    <row r="165" spans="1:22" ht="22.5" customHeight="1">
      <c r="A165" s="589"/>
      <c r="B165" s="589"/>
      <c r="C165" s="589"/>
      <c r="D165" s="589"/>
      <c r="E165" s="589"/>
      <c r="F165" s="589"/>
      <c r="G165" s="589"/>
      <c r="H165" s="589"/>
      <c r="I165" s="589"/>
      <c r="J165" s="589"/>
      <c r="K165" s="589"/>
      <c r="L165" s="589"/>
      <c r="M165" s="589"/>
      <c r="N165" s="589"/>
      <c r="O165" s="589"/>
      <c r="P165" s="589"/>
      <c r="Q165" s="589"/>
      <c r="R165" s="589"/>
      <c r="S165" s="589"/>
      <c r="T165" s="589"/>
      <c r="U165" s="589"/>
      <c r="V165" s="589"/>
    </row>
    <row r="166" spans="1:22" ht="22.5" customHeight="1">
      <c r="A166" s="589"/>
      <c r="B166" s="589"/>
      <c r="C166" s="589"/>
      <c r="D166" s="589"/>
      <c r="E166" s="589"/>
      <c r="F166" s="589"/>
      <c r="G166" s="589"/>
      <c r="H166" s="589"/>
      <c r="I166" s="589"/>
      <c r="J166" s="589"/>
      <c r="K166" s="589"/>
      <c r="L166" s="589"/>
      <c r="M166" s="589"/>
      <c r="N166" s="589"/>
      <c r="O166" s="589"/>
      <c r="P166" s="589"/>
      <c r="Q166" s="589"/>
      <c r="R166" s="589"/>
      <c r="S166" s="589"/>
      <c r="T166" s="589"/>
      <c r="U166" s="589"/>
      <c r="V166" s="589"/>
    </row>
    <row r="167" spans="1:22" ht="22.5" customHeight="1">
      <c r="A167" s="589"/>
      <c r="B167" s="589"/>
      <c r="C167" s="589"/>
      <c r="D167" s="589"/>
      <c r="E167" s="589"/>
      <c r="F167" s="589"/>
      <c r="G167" s="589"/>
      <c r="H167" s="589"/>
      <c r="I167" s="589"/>
      <c r="J167" s="589"/>
      <c r="K167" s="589"/>
      <c r="L167" s="589"/>
      <c r="M167" s="589"/>
      <c r="N167" s="589"/>
      <c r="O167" s="589"/>
      <c r="P167" s="589"/>
      <c r="Q167" s="589"/>
      <c r="R167" s="589"/>
      <c r="S167" s="589"/>
      <c r="T167" s="589"/>
      <c r="U167" s="589"/>
      <c r="V167" s="589"/>
    </row>
    <row r="168" spans="1:22" ht="22.5" customHeight="1">
      <c r="A168" s="589"/>
      <c r="B168" s="589"/>
      <c r="C168" s="589"/>
      <c r="D168" s="589"/>
      <c r="E168" s="589"/>
      <c r="F168" s="589"/>
      <c r="G168" s="589"/>
      <c r="H168" s="589"/>
      <c r="I168" s="589"/>
      <c r="J168" s="589"/>
      <c r="K168" s="589"/>
      <c r="L168" s="589"/>
      <c r="M168" s="589"/>
      <c r="N168" s="589"/>
      <c r="O168" s="589"/>
      <c r="P168" s="589"/>
      <c r="Q168" s="589"/>
      <c r="R168" s="589"/>
      <c r="S168" s="589"/>
      <c r="T168" s="589"/>
      <c r="U168" s="589"/>
      <c r="V168" s="589"/>
    </row>
    <row r="169" spans="1:22" ht="22.5" customHeight="1">
      <c r="A169" s="589"/>
      <c r="B169" s="589"/>
      <c r="C169" s="589"/>
      <c r="D169" s="589"/>
      <c r="E169" s="589"/>
      <c r="F169" s="589"/>
      <c r="G169" s="589"/>
      <c r="H169" s="589"/>
      <c r="I169" s="589"/>
      <c r="J169" s="589"/>
      <c r="K169" s="589"/>
      <c r="L169" s="589"/>
      <c r="M169" s="589"/>
      <c r="N169" s="589"/>
      <c r="O169" s="589"/>
      <c r="P169" s="589"/>
      <c r="Q169" s="589"/>
      <c r="R169" s="589"/>
      <c r="S169" s="589"/>
      <c r="T169" s="589"/>
      <c r="U169" s="589"/>
      <c r="V169" s="589"/>
    </row>
    <row r="170" spans="1:22" ht="22.5" customHeight="1">
      <c r="A170" s="589"/>
      <c r="B170" s="589"/>
      <c r="C170" s="589"/>
      <c r="D170" s="589"/>
      <c r="E170" s="589"/>
      <c r="F170" s="589"/>
      <c r="G170" s="589"/>
      <c r="H170" s="589"/>
      <c r="I170" s="589"/>
      <c r="J170" s="589"/>
      <c r="K170" s="589"/>
      <c r="L170" s="589"/>
      <c r="M170" s="589"/>
      <c r="N170" s="589"/>
      <c r="O170" s="589"/>
      <c r="P170" s="589"/>
      <c r="Q170" s="589"/>
      <c r="R170" s="589"/>
      <c r="S170" s="589"/>
      <c r="T170" s="589"/>
      <c r="U170" s="589"/>
      <c r="V170" s="589"/>
    </row>
    <row r="171" spans="1:22" ht="22.5" customHeight="1">
      <c r="A171" s="589"/>
      <c r="B171" s="589"/>
      <c r="C171" s="589"/>
      <c r="D171" s="589"/>
      <c r="E171" s="589"/>
      <c r="F171" s="589"/>
      <c r="G171" s="589"/>
      <c r="H171" s="589"/>
      <c r="I171" s="589"/>
      <c r="J171" s="589"/>
      <c r="K171" s="589"/>
      <c r="L171" s="589"/>
      <c r="M171" s="589"/>
      <c r="N171" s="589"/>
      <c r="O171" s="589"/>
      <c r="P171" s="589"/>
      <c r="Q171" s="589"/>
      <c r="R171" s="589"/>
      <c r="S171" s="589"/>
      <c r="T171" s="589"/>
      <c r="U171" s="589"/>
      <c r="V171" s="589"/>
    </row>
    <row r="172" spans="1:22" ht="22.5" customHeight="1">
      <c r="A172" s="589"/>
      <c r="B172" s="589"/>
      <c r="C172" s="589"/>
      <c r="D172" s="589"/>
      <c r="E172" s="589"/>
      <c r="F172" s="589"/>
      <c r="G172" s="589"/>
      <c r="H172" s="589"/>
      <c r="I172" s="589"/>
      <c r="J172" s="589"/>
      <c r="K172" s="589"/>
      <c r="L172" s="589"/>
      <c r="M172" s="589"/>
      <c r="N172" s="589"/>
      <c r="O172" s="589"/>
      <c r="P172" s="589"/>
      <c r="Q172" s="589"/>
      <c r="R172" s="589"/>
      <c r="S172" s="589"/>
      <c r="T172" s="589"/>
      <c r="U172" s="589"/>
      <c r="V172" s="589"/>
    </row>
    <row r="173" spans="1:22" ht="22.5" customHeight="1">
      <c r="A173" s="589"/>
      <c r="B173" s="589"/>
      <c r="C173" s="589"/>
      <c r="D173" s="589"/>
      <c r="E173" s="589"/>
      <c r="F173" s="589"/>
      <c r="G173" s="589"/>
      <c r="H173" s="589"/>
      <c r="I173" s="589"/>
      <c r="J173" s="589"/>
      <c r="K173" s="589"/>
      <c r="L173" s="589"/>
      <c r="M173" s="589"/>
      <c r="N173" s="589"/>
      <c r="O173" s="589"/>
      <c r="P173" s="589"/>
      <c r="Q173" s="589"/>
      <c r="R173" s="589"/>
      <c r="S173" s="589"/>
      <c r="T173" s="589"/>
      <c r="U173" s="589"/>
      <c r="V173" s="589"/>
    </row>
    <row r="174" spans="1:22" ht="22.5" customHeight="1">
      <c r="A174" s="589"/>
      <c r="B174" s="589"/>
      <c r="C174" s="589"/>
      <c r="D174" s="589"/>
      <c r="E174" s="589"/>
      <c r="F174" s="589"/>
      <c r="G174" s="589"/>
      <c r="H174" s="589"/>
      <c r="I174" s="589"/>
      <c r="J174" s="589"/>
      <c r="K174" s="589"/>
      <c r="L174" s="589"/>
      <c r="M174" s="589"/>
      <c r="N174" s="589"/>
      <c r="O174" s="589"/>
      <c r="P174" s="589"/>
      <c r="Q174" s="589"/>
      <c r="R174" s="589"/>
      <c r="S174" s="589"/>
      <c r="T174" s="589"/>
      <c r="U174" s="589"/>
      <c r="V174" s="589"/>
    </row>
    <row r="175" spans="1:22" ht="22.5" customHeight="1">
      <c r="A175" s="589"/>
      <c r="B175" s="589"/>
      <c r="C175" s="589"/>
      <c r="D175" s="589"/>
      <c r="E175" s="589"/>
      <c r="F175" s="589"/>
      <c r="G175" s="589"/>
      <c r="H175" s="589"/>
      <c r="I175" s="589"/>
      <c r="J175" s="589"/>
      <c r="K175" s="589"/>
      <c r="L175" s="589"/>
      <c r="M175" s="589"/>
      <c r="N175" s="589"/>
      <c r="O175" s="589"/>
      <c r="P175" s="589"/>
      <c r="Q175" s="589"/>
      <c r="R175" s="589"/>
      <c r="S175" s="589"/>
      <c r="T175" s="589"/>
      <c r="U175" s="589"/>
      <c r="V175" s="589"/>
    </row>
    <row r="176" spans="1:22" ht="22.5" customHeight="1">
      <c r="A176" s="589"/>
      <c r="B176" s="589"/>
      <c r="C176" s="589"/>
      <c r="D176" s="589"/>
      <c r="E176" s="589"/>
      <c r="F176" s="589"/>
      <c r="G176" s="748"/>
      <c r="H176" s="589"/>
      <c r="I176" s="589"/>
      <c r="J176" s="589"/>
      <c r="K176" s="589"/>
      <c r="L176" s="589"/>
      <c r="M176" s="589"/>
      <c r="N176" s="589"/>
      <c r="O176" s="589"/>
      <c r="P176" s="589"/>
      <c r="Q176" s="589"/>
      <c r="R176" s="589"/>
      <c r="S176" s="589"/>
      <c r="T176" s="589"/>
      <c r="U176" s="589"/>
      <c r="V176" s="589"/>
    </row>
    <row r="177" spans="1:22" ht="22.5" customHeight="1">
      <c r="A177" s="64"/>
      <c r="B177" s="64"/>
      <c r="C177" s="64"/>
      <c r="D177" s="64"/>
      <c r="F177" s="64"/>
      <c r="G177" s="749"/>
      <c r="H177" s="64"/>
      <c r="I177" s="64"/>
      <c r="J177" s="64"/>
      <c r="K177" s="64"/>
      <c r="L177" s="64"/>
      <c r="M177" s="64"/>
      <c r="N177" s="64"/>
      <c r="O177" s="64"/>
      <c r="P177" s="64"/>
      <c r="Q177" s="64"/>
      <c r="R177" s="64"/>
      <c r="S177" s="64"/>
      <c r="T177" s="64"/>
      <c r="U177" s="64"/>
      <c r="V177" s="64"/>
    </row>
    <row r="178" spans="1:22" s="64" customFormat="1" ht="22.5" customHeight="1">
      <c r="A178" s="1313" t="s">
        <v>769</v>
      </c>
      <c r="B178" s="1313"/>
      <c r="C178" s="1313"/>
      <c r="D178" s="619"/>
      <c r="E178" s="110"/>
      <c r="F178" s="110"/>
      <c r="G178" s="110"/>
      <c r="H178" s="110"/>
      <c r="I178" s="110"/>
      <c r="J178" s="110"/>
      <c r="K178" s="110"/>
      <c r="L178" s="110"/>
      <c r="M178" s="110"/>
      <c r="N178" s="110"/>
      <c r="O178" s="110"/>
      <c r="P178" s="110"/>
      <c r="Q178" s="110"/>
      <c r="R178" s="110"/>
      <c r="S178" s="110"/>
      <c r="T178" s="110"/>
      <c r="U178" s="110"/>
      <c r="V178" s="110"/>
    </row>
    <row r="179" spans="1:22" ht="22.5" customHeight="1">
      <c r="A179" s="1314" t="s">
        <v>747</v>
      </c>
      <c r="B179" s="587" t="s">
        <v>760</v>
      </c>
      <c r="C179" s="1314" t="s">
        <v>734</v>
      </c>
      <c r="D179" s="1314"/>
      <c r="E179" s="1314"/>
      <c r="F179" s="1314"/>
      <c r="G179" s="1314" t="s">
        <v>508</v>
      </c>
      <c r="H179" s="1314"/>
      <c r="I179" s="1314"/>
      <c r="J179" s="1314"/>
      <c r="K179" s="1314" t="s">
        <v>510</v>
      </c>
      <c r="L179" s="1314"/>
      <c r="M179" s="1314"/>
      <c r="N179" s="1314"/>
      <c r="O179" s="1314" t="s">
        <v>512</v>
      </c>
      <c r="P179" s="1314"/>
      <c r="Q179" s="1314"/>
      <c r="R179" s="1314"/>
      <c r="S179" s="1314" t="s">
        <v>516</v>
      </c>
      <c r="T179" s="1314"/>
      <c r="U179" s="1314"/>
      <c r="V179" s="1314"/>
    </row>
    <row r="180" spans="1:22" ht="22.5" customHeight="1">
      <c r="A180" s="1314"/>
      <c r="B180" s="587" t="s">
        <v>735</v>
      </c>
      <c r="C180" s="588" t="s">
        <v>736</v>
      </c>
      <c r="D180" s="588" t="s">
        <v>737</v>
      </c>
      <c r="E180" s="588" t="s">
        <v>738</v>
      </c>
      <c r="F180" s="588" t="s">
        <v>739</v>
      </c>
      <c r="G180" s="588" t="s">
        <v>736</v>
      </c>
      <c r="H180" s="588" t="s">
        <v>737</v>
      </c>
      <c r="I180" s="588" t="s">
        <v>738</v>
      </c>
      <c r="J180" s="588" t="s">
        <v>739</v>
      </c>
      <c r="K180" s="588" t="s">
        <v>736</v>
      </c>
      <c r="L180" s="588" t="s">
        <v>737</v>
      </c>
      <c r="M180" s="588" t="s">
        <v>738</v>
      </c>
      <c r="N180" s="588" t="s">
        <v>739</v>
      </c>
      <c r="O180" s="588" t="s">
        <v>736</v>
      </c>
      <c r="P180" s="588" t="s">
        <v>737</v>
      </c>
      <c r="Q180" s="588" t="s">
        <v>738</v>
      </c>
      <c r="R180" s="588" t="s">
        <v>739</v>
      </c>
      <c r="S180" s="588" t="s">
        <v>736</v>
      </c>
      <c r="T180" s="588" t="s">
        <v>737</v>
      </c>
      <c r="U180" s="588" t="s">
        <v>738</v>
      </c>
      <c r="V180" s="588" t="s">
        <v>739</v>
      </c>
    </row>
    <row r="181" spans="1:22" ht="22.5" customHeight="1">
      <c r="A181" s="1325" t="s">
        <v>418</v>
      </c>
      <c r="B181" s="588" t="s">
        <v>770</v>
      </c>
      <c r="C181" s="621">
        <f>'2. 의사결정 및 경영성과'!E71</f>
        <v>3</v>
      </c>
      <c r="D181" s="621">
        <f>'2. 의사결정 및 경영성과'!H71</f>
        <v>5</v>
      </c>
      <c r="E181" s="621">
        <f>'2. 의사결정 및 경영성과'!K71</f>
        <v>7</v>
      </c>
      <c r="F181" s="621">
        <f>'2. 의사결정 및 경영성과'!N71</f>
        <v>10</v>
      </c>
      <c r="G181" s="621">
        <f>'2. 의사결정 및 경영성과'!Q71</f>
        <v>14</v>
      </c>
      <c r="H181" s="621">
        <f>'2. 의사결정 및 경영성과'!T71</f>
        <v>16</v>
      </c>
      <c r="I181" s="621">
        <f>'2. 의사결정 및 경영성과'!W71</f>
        <v>18</v>
      </c>
      <c r="J181" s="621">
        <f>'2. 의사결정 및 경영성과'!Z71</f>
        <v>20</v>
      </c>
      <c r="K181" s="621">
        <f>'2. 의사결정 및 경영성과'!AC71</f>
        <v>22</v>
      </c>
      <c r="L181" s="621">
        <f>'2. 의사결정 및 경영성과'!AF71</f>
        <v>24</v>
      </c>
      <c r="M181" s="621">
        <f>'2. 의사결정 및 경영성과'!AI71</f>
        <v>25</v>
      </c>
      <c r="N181" s="621">
        <f>'2. 의사결정 및 경영성과'!AL71</f>
        <v>30</v>
      </c>
      <c r="O181" s="621">
        <f>'2. 의사결정 및 경영성과'!AO71</f>
        <v>0</v>
      </c>
      <c r="P181" s="621">
        <f>'2. 의사결정 및 경영성과'!AR71</f>
        <v>0</v>
      </c>
      <c r="Q181" s="621">
        <f>'2. 의사결정 및 경영성과'!AU71</f>
        <v>0</v>
      </c>
      <c r="R181" s="621">
        <f>'2. 의사결정 및 경영성과'!AX71</f>
        <v>0</v>
      </c>
      <c r="S181" s="621">
        <f>'2. 의사결정 및 경영성과'!BA71</f>
        <v>0</v>
      </c>
      <c r="T181" s="621">
        <f>'2. 의사결정 및 경영성과'!BD71</f>
        <v>0</v>
      </c>
      <c r="U181" s="621">
        <f>'2. 의사결정 및 경영성과'!BG71</f>
        <v>0</v>
      </c>
      <c r="V181" s="621">
        <f>'2. 의사결정 및 경영성과'!BJ71</f>
        <v>0</v>
      </c>
    </row>
    <row r="182" spans="1:22" ht="22.5" customHeight="1">
      <c r="A182" s="1326"/>
      <c r="B182" s="588" t="s">
        <v>771</v>
      </c>
      <c r="C182" s="621">
        <f>C$47</f>
        <v>38739</v>
      </c>
      <c r="D182" s="621">
        <f t="shared" ref="D182:V182" si="16">D$47</f>
        <v>49455</v>
      </c>
      <c r="E182" s="621">
        <f t="shared" si="16"/>
        <v>46095</v>
      </c>
      <c r="F182" s="621">
        <f t="shared" si="16"/>
        <v>53923</v>
      </c>
      <c r="G182" s="621">
        <f t="shared" si="16"/>
        <v>38959</v>
      </c>
      <c r="H182" s="621">
        <f t="shared" si="16"/>
        <v>59451</v>
      </c>
      <c r="I182" s="621">
        <f t="shared" si="16"/>
        <v>53746</v>
      </c>
      <c r="J182" s="621">
        <f t="shared" si="16"/>
        <v>73267</v>
      </c>
      <c r="K182" s="621">
        <f t="shared" si="16"/>
        <v>65552</v>
      </c>
      <c r="L182" s="621">
        <f t="shared" si="16"/>
        <v>80232</v>
      </c>
      <c r="M182" s="621">
        <f t="shared" si="16"/>
        <v>69981</v>
      </c>
      <c r="N182" s="621">
        <f t="shared" si="16"/>
        <v>66680</v>
      </c>
      <c r="O182" s="621">
        <f t="shared" si="16"/>
        <v>0</v>
      </c>
      <c r="P182" s="621">
        <f t="shared" si="16"/>
        <v>0</v>
      </c>
      <c r="Q182" s="621">
        <f t="shared" si="16"/>
        <v>0</v>
      </c>
      <c r="R182" s="621">
        <f t="shared" si="16"/>
        <v>0</v>
      </c>
      <c r="S182" s="621">
        <f t="shared" si="16"/>
        <v>0</v>
      </c>
      <c r="T182" s="621">
        <f t="shared" si="16"/>
        <v>0</v>
      </c>
      <c r="U182" s="621">
        <f t="shared" si="16"/>
        <v>0</v>
      </c>
      <c r="V182" s="621">
        <f t="shared" si="16"/>
        <v>0</v>
      </c>
    </row>
    <row r="183" spans="1:22" ht="22.5" customHeight="1">
      <c r="A183" s="1325" t="s">
        <v>1163</v>
      </c>
      <c r="B183" s="588" t="s">
        <v>770</v>
      </c>
      <c r="C183" s="621">
        <f>'2. 의사결정 및 경영성과'!F71</f>
        <v>1</v>
      </c>
      <c r="D183" s="621">
        <f>'2. 의사결정 및 경영성과'!I71</f>
        <v>2</v>
      </c>
      <c r="E183" s="621">
        <f>'2. 의사결정 및 경영성과'!L71</f>
        <v>3</v>
      </c>
      <c r="F183" s="621">
        <f>'2. 의사결정 및 경영성과'!O71</f>
        <v>4</v>
      </c>
      <c r="G183" s="621">
        <f>'2. 의사결정 및 경영성과'!R71</f>
        <v>5</v>
      </c>
      <c r="H183" s="621">
        <f>'2. 의사결정 및 경영성과'!U71</f>
        <v>7</v>
      </c>
      <c r="I183" s="621">
        <f>'2. 의사결정 및 경영성과'!X71</f>
        <v>8</v>
      </c>
      <c r="J183" s="621">
        <f>'2. 의사결정 및 경영성과'!AA71</f>
        <v>9</v>
      </c>
      <c r="K183" s="621">
        <f>'2. 의사결정 및 경영성과'!AD71</f>
        <v>10</v>
      </c>
      <c r="L183" s="621">
        <f>'2. 의사결정 및 경영성과'!AG71</f>
        <v>11</v>
      </c>
      <c r="M183" s="621">
        <f>'2. 의사결정 및 경영성과'!AJ71</f>
        <v>13</v>
      </c>
      <c r="N183" s="621">
        <f>'2. 의사결정 및 경영성과'!AM71</f>
        <v>15</v>
      </c>
      <c r="O183" s="621">
        <f>'2. 의사결정 및 경영성과'!AP71</f>
        <v>0</v>
      </c>
      <c r="P183" s="621">
        <f>'2. 의사결정 및 경영성과'!AS71</f>
        <v>0</v>
      </c>
      <c r="Q183" s="621">
        <f>'2. 의사결정 및 경영성과'!AV71</f>
        <v>0</v>
      </c>
      <c r="R183" s="621">
        <f>'2. 의사결정 및 경영성과'!AY71</f>
        <v>0</v>
      </c>
      <c r="S183" s="621">
        <f>'2. 의사결정 및 경영성과'!BB71</f>
        <v>0</v>
      </c>
      <c r="T183" s="621">
        <f>'2. 의사결정 및 경영성과'!BE71</f>
        <v>0</v>
      </c>
      <c r="U183" s="621">
        <f>'2. 의사결정 및 경영성과'!BH71</f>
        <v>0</v>
      </c>
      <c r="V183" s="621">
        <f>'2. 의사결정 및 경영성과'!BK71</f>
        <v>0</v>
      </c>
    </row>
    <row r="184" spans="1:22" ht="22.5" customHeight="1">
      <c r="A184" s="1326"/>
      <c r="B184" s="588" t="s">
        <v>771</v>
      </c>
      <c r="C184" s="621">
        <f>C$48</f>
        <v>23963</v>
      </c>
      <c r="D184" s="621">
        <f t="shared" ref="D184:V184" si="17">D$48</f>
        <v>32381</v>
      </c>
      <c r="E184" s="621">
        <f t="shared" si="17"/>
        <v>34739</v>
      </c>
      <c r="F184" s="621">
        <f t="shared" si="17"/>
        <v>39025</v>
      </c>
      <c r="G184" s="621">
        <f t="shared" si="17"/>
        <v>34074</v>
      </c>
      <c r="H184" s="621">
        <f t="shared" si="17"/>
        <v>39074</v>
      </c>
      <c r="I184" s="621">
        <f t="shared" si="17"/>
        <v>39354</v>
      </c>
      <c r="J184" s="621">
        <f t="shared" si="17"/>
        <v>40033</v>
      </c>
      <c r="K184" s="621">
        <f t="shared" si="17"/>
        <v>33564</v>
      </c>
      <c r="L184" s="621">
        <f t="shared" si="17"/>
        <v>36277</v>
      </c>
      <c r="M184" s="621">
        <f t="shared" si="17"/>
        <v>33702</v>
      </c>
      <c r="N184" s="621">
        <f t="shared" si="17"/>
        <v>32680</v>
      </c>
      <c r="O184" s="621">
        <f t="shared" si="17"/>
        <v>0</v>
      </c>
      <c r="P184" s="621">
        <f t="shared" si="17"/>
        <v>0</v>
      </c>
      <c r="Q184" s="621">
        <f t="shared" si="17"/>
        <v>0</v>
      </c>
      <c r="R184" s="621">
        <f t="shared" si="17"/>
        <v>0</v>
      </c>
      <c r="S184" s="621">
        <f t="shared" si="17"/>
        <v>0</v>
      </c>
      <c r="T184" s="621">
        <f t="shared" si="17"/>
        <v>0</v>
      </c>
      <c r="U184" s="621">
        <f t="shared" si="17"/>
        <v>0</v>
      </c>
      <c r="V184" s="621">
        <f t="shared" si="17"/>
        <v>0</v>
      </c>
    </row>
    <row r="185" spans="1:22" ht="22.5" customHeight="1">
      <c r="A185" s="1325" t="s">
        <v>1206</v>
      </c>
      <c r="B185" s="588" t="s">
        <v>770</v>
      </c>
      <c r="C185" s="621">
        <f>'2. 의사결정 및 경영성과'!G71</f>
        <v>1</v>
      </c>
      <c r="D185" s="621">
        <f>'2. 의사결정 및 경영성과'!J71</f>
        <v>2</v>
      </c>
      <c r="E185" s="621">
        <f>'2. 의사결정 및 경영성과'!M71</f>
        <v>3</v>
      </c>
      <c r="F185" s="621">
        <f>'2. 의사결정 및 경영성과'!P71</f>
        <v>4</v>
      </c>
      <c r="G185" s="621">
        <f>'2. 의사결정 및 경영성과'!S71</f>
        <v>5</v>
      </c>
      <c r="H185" s="621">
        <f>'2. 의사결정 및 경영성과'!V71</f>
        <v>7</v>
      </c>
      <c r="I185" s="621">
        <f>'2. 의사결정 및 경영성과'!Y71</f>
        <v>8</v>
      </c>
      <c r="J185" s="621">
        <f>'2. 의사결정 및 경영성과'!AB71</f>
        <v>9</v>
      </c>
      <c r="K185" s="621">
        <f>'2. 의사결정 및 경영성과'!AE71</f>
        <v>10</v>
      </c>
      <c r="L185" s="621">
        <f>'2. 의사결정 및 경영성과'!AH71</f>
        <v>11</v>
      </c>
      <c r="M185" s="621">
        <f>'2. 의사결정 및 경영성과'!AK71</f>
        <v>12</v>
      </c>
      <c r="N185" s="621">
        <f>'2. 의사결정 및 경영성과'!AN71</f>
        <v>15</v>
      </c>
      <c r="O185" s="621">
        <f>'2. 의사결정 및 경영성과'!AQ71</f>
        <v>0</v>
      </c>
      <c r="P185" s="621">
        <f>'2. 의사결정 및 경영성과'!AT71</f>
        <v>0</v>
      </c>
      <c r="Q185" s="621">
        <f>'2. 의사결정 및 경영성과'!AW71</f>
        <v>0</v>
      </c>
      <c r="R185" s="621">
        <f>'2. 의사결정 및 경영성과'!AZ71</f>
        <v>0</v>
      </c>
      <c r="S185" s="621">
        <f>'2. 의사결정 및 경영성과'!BC71</f>
        <v>0</v>
      </c>
      <c r="T185" s="621">
        <f>'2. 의사결정 및 경영성과'!BF71</f>
        <v>0</v>
      </c>
      <c r="U185" s="621">
        <f>'2. 의사결정 및 경영성과'!BI71</f>
        <v>0</v>
      </c>
      <c r="V185" s="621">
        <f>'2. 의사결정 및 경영성과'!BL71</f>
        <v>0</v>
      </c>
    </row>
    <row r="186" spans="1:22" ht="22.5" customHeight="1">
      <c r="A186" s="1326"/>
      <c r="B186" s="588" t="s">
        <v>771</v>
      </c>
      <c r="C186" s="621">
        <f>C$49</f>
        <v>5497</v>
      </c>
      <c r="D186" s="621">
        <f t="shared" ref="D186:V186" si="18">D$49</f>
        <v>13894</v>
      </c>
      <c r="E186" s="621">
        <f t="shared" si="18"/>
        <v>10568</v>
      </c>
      <c r="F186" s="621">
        <f t="shared" si="18"/>
        <v>13227</v>
      </c>
      <c r="G186" s="621">
        <f t="shared" si="18"/>
        <v>4700</v>
      </c>
      <c r="H186" s="621">
        <f t="shared" si="18"/>
        <v>15478</v>
      </c>
      <c r="I186" s="621">
        <f t="shared" si="18"/>
        <v>15275</v>
      </c>
      <c r="J186" s="621">
        <f t="shared" si="18"/>
        <v>21414</v>
      </c>
      <c r="K186" s="621">
        <f t="shared" si="18"/>
        <v>17504</v>
      </c>
      <c r="L186" s="621">
        <f t="shared" si="18"/>
        <v>28354</v>
      </c>
      <c r="M186" s="621">
        <f t="shared" si="18"/>
        <v>28320</v>
      </c>
      <c r="N186" s="621">
        <f t="shared" si="18"/>
        <v>30500</v>
      </c>
      <c r="O186" s="621">
        <f t="shared" si="18"/>
        <v>0</v>
      </c>
      <c r="P186" s="621">
        <f t="shared" si="18"/>
        <v>0</v>
      </c>
      <c r="Q186" s="621">
        <f t="shared" si="18"/>
        <v>0</v>
      </c>
      <c r="R186" s="621">
        <f t="shared" si="18"/>
        <v>0</v>
      </c>
      <c r="S186" s="621">
        <f t="shared" si="18"/>
        <v>0</v>
      </c>
      <c r="T186" s="621">
        <f t="shared" si="18"/>
        <v>0</v>
      </c>
      <c r="U186" s="621">
        <f t="shared" si="18"/>
        <v>0</v>
      </c>
      <c r="V186" s="621">
        <f t="shared" si="18"/>
        <v>0</v>
      </c>
    </row>
    <row r="187" spans="1:22" ht="22.5" customHeight="1">
      <c r="A187" s="589"/>
      <c r="B187" s="589"/>
      <c r="C187" s="589"/>
      <c r="D187" s="589"/>
      <c r="E187" s="589"/>
      <c r="F187" s="589"/>
      <c r="G187" s="589"/>
      <c r="H187" s="589"/>
      <c r="I187" s="589"/>
      <c r="J187" s="589"/>
      <c r="K187" s="589"/>
      <c r="L187" s="589"/>
      <c r="M187" s="589"/>
      <c r="N187" s="589"/>
      <c r="O187" s="589"/>
      <c r="P187" s="589"/>
      <c r="Q187" s="589"/>
      <c r="R187" s="589"/>
      <c r="S187" s="589"/>
      <c r="T187" s="589"/>
      <c r="U187" s="589"/>
      <c r="V187" s="589"/>
    </row>
    <row r="188" spans="1:22" ht="22.5" customHeight="1">
      <c r="A188" s="589"/>
      <c r="B188" s="589"/>
      <c r="C188" s="589"/>
      <c r="D188" s="589"/>
      <c r="E188" s="589"/>
      <c r="F188" s="589"/>
      <c r="G188" s="589"/>
      <c r="H188" s="589"/>
      <c r="I188" s="589"/>
      <c r="J188" s="589"/>
      <c r="K188" s="589"/>
      <c r="L188" s="589"/>
      <c r="M188" s="589"/>
      <c r="N188" s="589"/>
      <c r="O188" s="589"/>
      <c r="P188" s="589"/>
      <c r="Q188" s="589"/>
      <c r="R188" s="589"/>
      <c r="S188" s="589"/>
      <c r="T188" s="589"/>
      <c r="U188" s="589"/>
      <c r="V188" s="589"/>
    </row>
    <row r="189" spans="1:22" ht="22.5" customHeight="1">
      <c r="A189" s="589"/>
      <c r="B189" s="589"/>
      <c r="C189" s="589"/>
      <c r="D189" s="589"/>
      <c r="E189" s="589"/>
      <c r="F189" s="589"/>
      <c r="G189" s="589"/>
      <c r="H189" s="589"/>
      <c r="I189" s="589"/>
      <c r="J189" s="589"/>
      <c r="K189" s="589"/>
      <c r="L189" s="589"/>
      <c r="M189" s="589"/>
      <c r="N189" s="589"/>
      <c r="O189" s="589"/>
      <c r="P189" s="589"/>
      <c r="Q189" s="589"/>
      <c r="R189" s="589"/>
      <c r="S189" s="589"/>
      <c r="T189" s="589"/>
      <c r="U189" s="589"/>
      <c r="V189" s="589"/>
    </row>
    <row r="190" spans="1:22" ht="22.5" customHeight="1">
      <c r="A190" s="589"/>
      <c r="B190" s="589"/>
      <c r="C190" s="589"/>
      <c r="D190" s="589"/>
      <c r="E190" s="589"/>
      <c r="F190" s="589"/>
      <c r="G190" s="589"/>
      <c r="H190" s="589"/>
      <c r="I190" s="589"/>
      <c r="J190" s="589"/>
      <c r="K190" s="589"/>
      <c r="L190" s="589"/>
      <c r="M190" s="589"/>
      <c r="N190" s="589"/>
      <c r="O190" s="589"/>
      <c r="P190" s="589"/>
      <c r="Q190" s="589"/>
      <c r="R190" s="589"/>
      <c r="S190" s="589"/>
      <c r="T190" s="589"/>
      <c r="U190" s="589"/>
      <c r="V190" s="589"/>
    </row>
    <row r="191" spans="1:22" ht="22.5" customHeight="1">
      <c r="A191" s="589"/>
      <c r="B191" s="589"/>
      <c r="C191" s="589"/>
      <c r="D191" s="589"/>
      <c r="E191" s="589"/>
      <c r="F191" s="589"/>
      <c r="G191" s="589"/>
      <c r="H191" s="589"/>
      <c r="I191" s="589"/>
      <c r="J191" s="589"/>
      <c r="K191" s="589"/>
      <c r="L191" s="589"/>
      <c r="M191" s="589"/>
      <c r="N191" s="589"/>
      <c r="O191" s="589"/>
      <c r="P191" s="589"/>
      <c r="Q191" s="589"/>
      <c r="R191" s="589"/>
      <c r="S191" s="589"/>
      <c r="T191" s="589"/>
      <c r="U191" s="589"/>
      <c r="V191" s="589"/>
    </row>
    <row r="192" spans="1:22" ht="22.5" customHeight="1">
      <c r="A192" s="589"/>
      <c r="B192" s="589"/>
      <c r="C192" s="589"/>
      <c r="D192" s="589"/>
      <c r="E192" s="589"/>
      <c r="F192" s="589"/>
      <c r="G192" s="589"/>
      <c r="H192" s="589"/>
      <c r="I192" s="589"/>
      <c r="J192" s="589"/>
      <c r="K192" s="589"/>
      <c r="L192" s="589"/>
      <c r="M192" s="589"/>
      <c r="N192" s="589"/>
      <c r="O192" s="589"/>
      <c r="P192" s="589"/>
      <c r="Q192" s="589"/>
      <c r="R192" s="589"/>
      <c r="S192" s="589"/>
      <c r="T192" s="589"/>
      <c r="U192" s="589"/>
      <c r="V192" s="589"/>
    </row>
    <row r="193" spans="1:22" ht="22.5" customHeight="1">
      <c r="A193" s="589"/>
      <c r="B193" s="589"/>
      <c r="C193" s="589"/>
      <c r="D193" s="589"/>
      <c r="E193" s="589"/>
      <c r="F193" s="589"/>
      <c r="G193" s="589"/>
      <c r="H193" s="589"/>
      <c r="I193" s="589"/>
      <c r="J193" s="589"/>
      <c r="K193" s="589"/>
      <c r="L193" s="589"/>
      <c r="M193" s="589"/>
      <c r="N193" s="589"/>
      <c r="O193" s="589"/>
      <c r="P193" s="589"/>
      <c r="Q193" s="589"/>
      <c r="R193" s="589"/>
      <c r="S193" s="589"/>
      <c r="T193" s="589"/>
      <c r="U193" s="589"/>
      <c r="V193" s="589"/>
    </row>
    <row r="194" spans="1:22" ht="22.5" customHeight="1">
      <c r="A194" s="589"/>
      <c r="B194" s="589"/>
      <c r="C194" s="589"/>
      <c r="D194" s="589"/>
      <c r="E194" s="589"/>
      <c r="F194" s="589"/>
      <c r="G194" s="589"/>
      <c r="H194" s="589"/>
      <c r="I194" s="589"/>
      <c r="J194" s="589"/>
      <c r="K194" s="589"/>
      <c r="L194" s="589"/>
      <c r="M194" s="589"/>
      <c r="N194" s="589"/>
      <c r="O194" s="589"/>
      <c r="P194" s="589"/>
      <c r="Q194" s="589"/>
      <c r="R194" s="589"/>
      <c r="S194" s="589"/>
      <c r="T194" s="589"/>
      <c r="U194" s="589"/>
      <c r="V194" s="589"/>
    </row>
    <row r="195" spans="1:22" ht="22.5" customHeight="1">
      <c r="A195" s="589"/>
      <c r="B195" s="589"/>
      <c r="C195" s="589"/>
      <c r="D195" s="589"/>
      <c r="E195" s="589"/>
      <c r="F195" s="589"/>
      <c r="G195" s="589"/>
      <c r="H195" s="589"/>
      <c r="I195" s="589"/>
      <c r="J195" s="589"/>
      <c r="K195" s="589"/>
      <c r="L195" s="589"/>
      <c r="M195" s="589"/>
      <c r="N195" s="589"/>
      <c r="O195" s="589"/>
      <c r="P195" s="589"/>
      <c r="Q195" s="589"/>
      <c r="R195" s="589"/>
      <c r="S195" s="589"/>
      <c r="T195" s="589"/>
      <c r="U195" s="589"/>
      <c r="V195" s="589"/>
    </row>
    <row r="196" spans="1:22" ht="22.5" customHeight="1">
      <c r="A196" s="589"/>
      <c r="B196" s="589"/>
      <c r="C196" s="589"/>
      <c r="D196" s="589"/>
      <c r="E196" s="589"/>
      <c r="F196" s="589"/>
      <c r="G196" s="589"/>
      <c r="H196" s="589"/>
      <c r="I196" s="589"/>
      <c r="J196" s="589"/>
      <c r="K196" s="589"/>
      <c r="L196" s="589"/>
      <c r="M196" s="589"/>
      <c r="N196" s="589"/>
      <c r="O196" s="589"/>
      <c r="P196" s="589"/>
      <c r="Q196" s="589"/>
      <c r="R196" s="589"/>
      <c r="S196" s="589"/>
      <c r="T196" s="589"/>
      <c r="U196" s="589"/>
      <c r="V196" s="589"/>
    </row>
    <row r="197" spans="1:22" ht="22.5" customHeight="1">
      <c r="A197" s="589"/>
      <c r="B197" s="589"/>
      <c r="C197" s="589"/>
      <c r="D197" s="589"/>
      <c r="E197" s="589"/>
      <c r="F197" s="589"/>
      <c r="G197" s="589"/>
      <c r="H197" s="589"/>
      <c r="I197" s="589"/>
      <c r="J197" s="589"/>
      <c r="K197" s="589"/>
      <c r="L197" s="589"/>
      <c r="M197" s="589"/>
      <c r="N197" s="589"/>
      <c r="O197" s="589"/>
      <c r="P197" s="589"/>
      <c r="Q197" s="589"/>
      <c r="R197" s="589"/>
      <c r="S197" s="589"/>
      <c r="T197" s="589"/>
      <c r="U197" s="589"/>
      <c r="V197" s="589"/>
    </row>
    <row r="198" spans="1:22" ht="22.5" customHeight="1">
      <c r="A198" s="589"/>
      <c r="B198" s="589"/>
      <c r="C198" s="589"/>
      <c r="D198" s="589"/>
      <c r="E198" s="589"/>
      <c r="F198" s="589"/>
      <c r="G198" s="589"/>
      <c r="H198" s="589"/>
      <c r="I198" s="589"/>
      <c r="J198" s="589"/>
      <c r="K198" s="589"/>
      <c r="L198" s="589"/>
      <c r="M198" s="589"/>
      <c r="N198" s="589"/>
      <c r="O198" s="589"/>
      <c r="P198" s="589"/>
      <c r="Q198" s="589"/>
      <c r="R198" s="589"/>
      <c r="S198" s="589"/>
      <c r="T198" s="589"/>
      <c r="U198" s="589"/>
      <c r="V198" s="589"/>
    </row>
    <row r="199" spans="1:22" ht="22.5" customHeight="1">
      <c r="A199" s="589"/>
      <c r="B199" s="589"/>
      <c r="C199" s="589"/>
      <c r="D199" s="589"/>
      <c r="E199" s="589"/>
      <c r="F199" s="589"/>
      <c r="G199" s="589"/>
      <c r="H199" s="589"/>
      <c r="I199" s="589"/>
      <c r="J199" s="589"/>
      <c r="K199" s="589"/>
      <c r="L199" s="589"/>
      <c r="M199" s="589"/>
      <c r="N199" s="589"/>
      <c r="O199" s="589"/>
      <c r="P199" s="589"/>
      <c r="Q199" s="589"/>
      <c r="R199" s="589"/>
      <c r="S199" s="589"/>
      <c r="T199" s="589"/>
      <c r="U199" s="589"/>
      <c r="V199" s="589"/>
    </row>
    <row r="200" spans="1:22" ht="22.5" customHeight="1">
      <c r="A200" s="589"/>
      <c r="B200" s="589"/>
      <c r="C200" s="589"/>
      <c r="D200" s="589"/>
      <c r="E200" s="589"/>
      <c r="F200" s="589"/>
      <c r="G200" s="589"/>
      <c r="H200" s="589"/>
      <c r="I200" s="589"/>
      <c r="J200" s="589"/>
      <c r="K200" s="589"/>
      <c r="L200" s="589"/>
      <c r="M200" s="589"/>
      <c r="N200" s="589"/>
      <c r="O200" s="589"/>
      <c r="P200" s="589"/>
      <c r="Q200" s="589"/>
      <c r="R200" s="589"/>
      <c r="S200" s="589"/>
      <c r="T200" s="589"/>
      <c r="U200" s="589"/>
      <c r="V200" s="589"/>
    </row>
    <row r="201" spans="1:22" ht="22.5" customHeight="1">
      <c r="A201" s="589"/>
      <c r="B201" s="589"/>
      <c r="C201" s="589"/>
      <c r="D201" s="589"/>
      <c r="E201" s="589"/>
      <c r="F201" s="589"/>
      <c r="G201" s="589"/>
      <c r="H201" s="589"/>
      <c r="I201" s="589"/>
      <c r="J201" s="589"/>
      <c r="K201" s="589"/>
      <c r="L201" s="589"/>
      <c r="M201" s="589"/>
      <c r="N201" s="589"/>
      <c r="O201" s="589"/>
      <c r="P201" s="589"/>
      <c r="Q201" s="589"/>
      <c r="R201" s="589"/>
      <c r="S201" s="589"/>
      <c r="T201" s="589"/>
      <c r="U201" s="589"/>
      <c r="V201" s="589"/>
    </row>
    <row r="202" spans="1:22" ht="22.5" customHeight="1">
      <c r="A202" s="64"/>
      <c r="B202" s="64"/>
      <c r="C202" s="64"/>
      <c r="D202" s="64"/>
      <c r="F202" s="64"/>
      <c r="G202" s="64"/>
      <c r="H202" s="64"/>
      <c r="I202" s="64"/>
      <c r="J202" s="64"/>
      <c r="K202" s="64"/>
      <c r="L202" s="64"/>
      <c r="M202" s="64"/>
      <c r="N202" s="64"/>
      <c r="O202" s="64"/>
      <c r="P202" s="64"/>
      <c r="Q202" s="64"/>
      <c r="R202" s="64"/>
      <c r="S202" s="64"/>
      <c r="T202" s="64"/>
      <c r="U202" s="64"/>
      <c r="V202" s="64"/>
    </row>
    <row r="203" spans="1:22" s="64" customFormat="1" ht="22.5" customHeight="1">
      <c r="A203" s="1327" t="s">
        <v>772</v>
      </c>
      <c r="B203" s="1327"/>
      <c r="C203" s="1327"/>
      <c r="D203" s="1327"/>
      <c r="E203" s="110"/>
      <c r="F203" s="110"/>
      <c r="G203" s="110"/>
      <c r="H203" s="110"/>
      <c r="I203" s="110"/>
      <c r="J203" s="110"/>
      <c r="K203" s="110"/>
      <c r="L203" s="110"/>
      <c r="M203" s="110"/>
      <c r="N203" s="110"/>
      <c r="O203" s="110"/>
      <c r="P203" s="110"/>
      <c r="Q203" s="110"/>
      <c r="R203" s="110"/>
      <c r="S203" s="110"/>
      <c r="T203" s="110"/>
      <c r="U203" s="110"/>
      <c r="V203" s="110"/>
    </row>
    <row r="204" spans="1:22" ht="22.5" customHeight="1">
      <c r="A204" s="1314" t="s">
        <v>747</v>
      </c>
      <c r="B204" s="587" t="s">
        <v>760</v>
      </c>
      <c r="C204" s="1314" t="s">
        <v>734</v>
      </c>
      <c r="D204" s="1314"/>
      <c r="E204" s="1314"/>
      <c r="F204" s="1314"/>
      <c r="G204" s="1314" t="s">
        <v>508</v>
      </c>
      <c r="H204" s="1314"/>
      <c r="I204" s="1314"/>
      <c r="J204" s="1314"/>
      <c r="K204" s="1314" t="s">
        <v>510</v>
      </c>
      <c r="L204" s="1314"/>
      <c r="M204" s="1314"/>
      <c r="N204" s="1314"/>
      <c r="O204" s="1314" t="s">
        <v>512</v>
      </c>
      <c r="P204" s="1314"/>
      <c r="Q204" s="1314"/>
      <c r="R204" s="1314"/>
      <c r="S204" s="1314" t="s">
        <v>516</v>
      </c>
      <c r="T204" s="1314"/>
      <c r="U204" s="1314"/>
      <c r="V204" s="1314"/>
    </row>
    <row r="205" spans="1:22" ht="22.5" customHeight="1">
      <c r="A205" s="1314"/>
      <c r="B205" s="587" t="s">
        <v>735</v>
      </c>
      <c r="C205" s="588" t="s">
        <v>736</v>
      </c>
      <c r="D205" s="588" t="s">
        <v>737</v>
      </c>
      <c r="E205" s="588" t="s">
        <v>738</v>
      </c>
      <c r="F205" s="588" t="s">
        <v>739</v>
      </c>
      <c r="G205" s="588" t="s">
        <v>736</v>
      </c>
      <c r="H205" s="588" t="s">
        <v>737</v>
      </c>
      <c r="I205" s="588" t="s">
        <v>738</v>
      </c>
      <c r="J205" s="588" t="s">
        <v>739</v>
      </c>
      <c r="K205" s="588" t="s">
        <v>736</v>
      </c>
      <c r="L205" s="588" t="s">
        <v>737</v>
      </c>
      <c r="M205" s="588" t="s">
        <v>738</v>
      </c>
      <c r="N205" s="588" t="s">
        <v>739</v>
      </c>
      <c r="O205" s="588" t="s">
        <v>736</v>
      </c>
      <c r="P205" s="588" t="s">
        <v>737</v>
      </c>
      <c r="Q205" s="588" t="s">
        <v>738</v>
      </c>
      <c r="R205" s="588" t="s">
        <v>739</v>
      </c>
      <c r="S205" s="588" t="s">
        <v>736</v>
      </c>
      <c r="T205" s="588" t="s">
        <v>737</v>
      </c>
      <c r="U205" s="588" t="s">
        <v>738</v>
      </c>
      <c r="V205" s="588" t="s">
        <v>739</v>
      </c>
    </row>
    <row r="206" spans="1:22" ht="22.5" customHeight="1">
      <c r="A206" s="1325" t="s">
        <v>418</v>
      </c>
      <c r="B206" s="588" t="s">
        <v>773</v>
      </c>
      <c r="C206" s="621">
        <f>'2. 의사결정 및 경영성과'!E23</f>
        <v>25000000</v>
      </c>
      <c r="D206" s="621">
        <f>'2. 의사결정 및 경영성과'!H23</f>
        <v>26000000</v>
      </c>
      <c r="E206" s="621">
        <f>'2. 의사결정 및 경영성과'!K23</f>
        <v>27500000</v>
      </c>
      <c r="F206" s="621">
        <f>'2. 의사결정 및 경영성과'!N23</f>
        <v>28000000</v>
      </c>
      <c r="G206" s="621">
        <f>'2. 의사결정 및 경영성과'!Q23</f>
        <v>31000000</v>
      </c>
      <c r="H206" s="621">
        <f>'2. 의사결정 및 경영성과'!T23</f>
        <v>32000000</v>
      </c>
      <c r="I206" s="621">
        <f>'2. 의사결정 및 경영성과'!W23</f>
        <v>33000000</v>
      </c>
      <c r="J206" s="621">
        <f>'2. 의사결정 및 경영성과'!Z23</f>
        <v>36500000</v>
      </c>
      <c r="K206" s="621">
        <f>'2. 의사결정 및 경영성과'!AC23</f>
        <v>37000000</v>
      </c>
      <c r="L206" s="621">
        <f>'2. 의사결정 및 경영성과'!AF23</f>
        <v>38000000</v>
      </c>
      <c r="M206" s="621">
        <f>'2. 의사결정 및 경영성과'!AI23</f>
        <v>39000000</v>
      </c>
      <c r="N206" s="621">
        <f>'2. 의사결정 및 경영성과'!AL23</f>
        <v>40000000</v>
      </c>
      <c r="O206" s="621">
        <f>'2. 의사결정 및 경영성과'!AO23</f>
        <v>0</v>
      </c>
      <c r="P206" s="621">
        <f>'2. 의사결정 및 경영성과'!AR23</f>
        <v>0</v>
      </c>
      <c r="Q206" s="621">
        <f>'2. 의사결정 및 경영성과'!AU23</f>
        <v>0</v>
      </c>
      <c r="R206" s="621">
        <f>'2. 의사결정 및 경영성과'!AX23</f>
        <v>0</v>
      </c>
      <c r="S206" s="621">
        <f>'2. 의사결정 및 경영성과'!BA23</f>
        <v>0</v>
      </c>
      <c r="T206" s="621">
        <f>'2. 의사결정 및 경영성과'!BD23</f>
        <v>0</v>
      </c>
      <c r="U206" s="621">
        <f>'2. 의사결정 및 경영성과'!BG23</f>
        <v>0</v>
      </c>
      <c r="V206" s="621">
        <f>'2. 의사결정 및 경영성과'!BJ23</f>
        <v>0</v>
      </c>
    </row>
    <row r="207" spans="1:22" ht="22.5" customHeight="1">
      <c r="A207" s="1326"/>
      <c r="B207" s="588" t="s">
        <v>771</v>
      </c>
      <c r="C207" s="621">
        <f>C$47</f>
        <v>38739</v>
      </c>
      <c r="D207" s="621">
        <f t="shared" ref="D207:V207" si="19">D$47</f>
        <v>49455</v>
      </c>
      <c r="E207" s="621">
        <f t="shared" si="19"/>
        <v>46095</v>
      </c>
      <c r="F207" s="621">
        <f t="shared" si="19"/>
        <v>53923</v>
      </c>
      <c r="G207" s="621">
        <f t="shared" si="19"/>
        <v>38959</v>
      </c>
      <c r="H207" s="621">
        <f t="shared" si="19"/>
        <v>59451</v>
      </c>
      <c r="I207" s="621">
        <f t="shared" si="19"/>
        <v>53746</v>
      </c>
      <c r="J207" s="621">
        <f t="shared" si="19"/>
        <v>73267</v>
      </c>
      <c r="K207" s="621">
        <f t="shared" si="19"/>
        <v>65552</v>
      </c>
      <c r="L207" s="621">
        <f t="shared" si="19"/>
        <v>80232</v>
      </c>
      <c r="M207" s="621">
        <f t="shared" si="19"/>
        <v>69981</v>
      </c>
      <c r="N207" s="621">
        <f t="shared" si="19"/>
        <v>66680</v>
      </c>
      <c r="O207" s="621">
        <f t="shared" si="19"/>
        <v>0</v>
      </c>
      <c r="P207" s="621">
        <f t="shared" si="19"/>
        <v>0</v>
      </c>
      <c r="Q207" s="621">
        <f t="shared" si="19"/>
        <v>0</v>
      </c>
      <c r="R207" s="621">
        <f t="shared" si="19"/>
        <v>0</v>
      </c>
      <c r="S207" s="621">
        <f t="shared" si="19"/>
        <v>0</v>
      </c>
      <c r="T207" s="621">
        <f t="shared" si="19"/>
        <v>0</v>
      </c>
      <c r="U207" s="621">
        <f t="shared" si="19"/>
        <v>0</v>
      </c>
      <c r="V207" s="621">
        <f t="shared" si="19"/>
        <v>0</v>
      </c>
    </row>
    <row r="208" spans="1:22" ht="22.5" customHeight="1">
      <c r="A208" s="1325" t="s">
        <v>1163</v>
      </c>
      <c r="B208" s="588" t="s">
        <v>773</v>
      </c>
      <c r="C208" s="621">
        <f>'2. 의사결정 및 경영성과'!F23</f>
        <v>25000</v>
      </c>
      <c r="D208" s="621">
        <f>'2. 의사결정 및 경영성과'!I23</f>
        <v>26500</v>
      </c>
      <c r="E208" s="621">
        <f>'2. 의사결정 및 경영성과'!L23</f>
        <v>26000</v>
      </c>
      <c r="F208" s="621">
        <f>'2. 의사결정 및 경영성과'!O23</f>
        <v>29000</v>
      </c>
      <c r="G208" s="621">
        <f>'2. 의사결정 및 경영성과'!R23</f>
        <v>30500</v>
      </c>
      <c r="H208" s="621">
        <f>'2. 의사결정 및 경영성과'!U23</f>
        <v>31000</v>
      </c>
      <c r="I208" s="621">
        <f>'2. 의사결정 및 경영성과'!X23</f>
        <v>34000</v>
      </c>
      <c r="J208" s="621">
        <f>'2. 의사결정 및 경영성과'!AA23</f>
        <v>35000</v>
      </c>
      <c r="K208" s="621">
        <f>'2. 의사결정 및 경영성과'!AD23</f>
        <v>37000</v>
      </c>
      <c r="L208" s="621">
        <f>'2. 의사결정 및 경영성과'!AG23</f>
        <v>38000</v>
      </c>
      <c r="M208" s="621">
        <f>'2. 의사결정 및 경영성과'!AJ23</f>
        <v>39000</v>
      </c>
      <c r="N208" s="621">
        <f>'2. 의사결정 및 경영성과'!AM23</f>
        <v>40000</v>
      </c>
      <c r="O208" s="621">
        <f>'2. 의사결정 및 경영성과'!AP23</f>
        <v>0</v>
      </c>
      <c r="P208" s="621">
        <f>'2. 의사결정 및 경영성과'!AS23</f>
        <v>0</v>
      </c>
      <c r="Q208" s="621">
        <f>'2. 의사결정 및 경영성과'!AV23</f>
        <v>0</v>
      </c>
      <c r="R208" s="621">
        <f>'2. 의사결정 및 경영성과'!AY23</f>
        <v>0</v>
      </c>
      <c r="S208" s="621">
        <f>'2. 의사결정 및 경영성과'!BB23</f>
        <v>0</v>
      </c>
      <c r="T208" s="621">
        <f>'2. 의사결정 및 경영성과'!BE23</f>
        <v>0</v>
      </c>
      <c r="U208" s="621">
        <f>'2. 의사결정 및 경영성과'!BH23</f>
        <v>0</v>
      </c>
      <c r="V208" s="621">
        <f>'2. 의사결정 및 경영성과'!BK23</f>
        <v>0</v>
      </c>
    </row>
    <row r="209" spans="1:22" ht="22.5" customHeight="1">
      <c r="A209" s="1326"/>
      <c r="B209" s="588" t="s">
        <v>771</v>
      </c>
      <c r="C209" s="621">
        <f>C$48</f>
        <v>23963</v>
      </c>
      <c r="D209" s="621">
        <f t="shared" ref="D209:V209" si="20">D$48</f>
        <v>32381</v>
      </c>
      <c r="E209" s="621">
        <f t="shared" si="20"/>
        <v>34739</v>
      </c>
      <c r="F209" s="621">
        <f t="shared" si="20"/>
        <v>39025</v>
      </c>
      <c r="G209" s="621">
        <f t="shared" si="20"/>
        <v>34074</v>
      </c>
      <c r="H209" s="621">
        <f t="shared" si="20"/>
        <v>39074</v>
      </c>
      <c r="I209" s="621">
        <f t="shared" si="20"/>
        <v>39354</v>
      </c>
      <c r="J209" s="621">
        <f t="shared" si="20"/>
        <v>40033</v>
      </c>
      <c r="K209" s="621">
        <f t="shared" si="20"/>
        <v>33564</v>
      </c>
      <c r="L209" s="621">
        <f t="shared" si="20"/>
        <v>36277</v>
      </c>
      <c r="M209" s="621">
        <f t="shared" si="20"/>
        <v>33702</v>
      </c>
      <c r="N209" s="621">
        <f t="shared" si="20"/>
        <v>32680</v>
      </c>
      <c r="O209" s="621">
        <f t="shared" si="20"/>
        <v>0</v>
      </c>
      <c r="P209" s="621">
        <f t="shared" si="20"/>
        <v>0</v>
      </c>
      <c r="Q209" s="621">
        <f t="shared" si="20"/>
        <v>0</v>
      </c>
      <c r="R209" s="621">
        <f t="shared" si="20"/>
        <v>0</v>
      </c>
      <c r="S209" s="621">
        <f t="shared" si="20"/>
        <v>0</v>
      </c>
      <c r="T209" s="621">
        <f t="shared" si="20"/>
        <v>0</v>
      </c>
      <c r="U209" s="621">
        <f t="shared" si="20"/>
        <v>0</v>
      </c>
      <c r="V209" s="621">
        <f t="shared" si="20"/>
        <v>0</v>
      </c>
    </row>
    <row r="210" spans="1:22" ht="22.5" customHeight="1">
      <c r="A210" s="1325" t="s">
        <v>1206</v>
      </c>
      <c r="B210" s="588" t="s">
        <v>773</v>
      </c>
      <c r="C210" s="621">
        <f>'2. 의사결정 및 경영성과'!G23</f>
        <v>80000</v>
      </c>
      <c r="D210" s="621">
        <f>'2. 의사결정 및 경영성과'!J23</f>
        <v>95000</v>
      </c>
      <c r="E210" s="621">
        <f>'2. 의사결정 및 경영성과'!M23</f>
        <v>100000</v>
      </c>
      <c r="F210" s="621">
        <f>'2. 의사결정 및 경영성과'!P23</f>
        <v>105000</v>
      </c>
      <c r="G210" s="621">
        <f>'2. 의사결정 및 경영성과'!S23</f>
        <v>115000</v>
      </c>
      <c r="H210" s="621">
        <f>'2. 의사결정 및 경영성과'!V23</f>
        <v>120000</v>
      </c>
      <c r="I210" s="621">
        <f>'2. 의사결정 및 경영성과'!Y23</f>
        <v>125000</v>
      </c>
      <c r="J210" s="621">
        <f>'2. 의사결정 및 경영성과'!AB23</f>
        <v>130000</v>
      </c>
      <c r="K210" s="621">
        <f>'2. 의사결정 및 경영성과'!AE23</f>
        <v>135000</v>
      </c>
      <c r="L210" s="621">
        <f>'2. 의사결정 및 경영성과'!AH23</f>
        <v>140000</v>
      </c>
      <c r="M210" s="621">
        <f>'2. 의사결정 및 경영성과'!AK23</f>
        <v>145000</v>
      </c>
      <c r="N210" s="621">
        <f>'2. 의사결정 및 경영성과'!AN23</f>
        <v>150000</v>
      </c>
      <c r="O210" s="621">
        <f>'2. 의사결정 및 경영성과'!AQ23</f>
        <v>0</v>
      </c>
      <c r="P210" s="621">
        <f>'2. 의사결정 및 경영성과'!AT23</f>
        <v>0</v>
      </c>
      <c r="Q210" s="621">
        <f>'2. 의사결정 및 경영성과'!AW23</f>
        <v>0</v>
      </c>
      <c r="R210" s="621">
        <f>'2. 의사결정 및 경영성과'!AZ23</f>
        <v>0</v>
      </c>
      <c r="S210" s="621">
        <f>'2. 의사결정 및 경영성과'!BC23</f>
        <v>0</v>
      </c>
      <c r="T210" s="621">
        <f>'2. 의사결정 및 경영성과'!BF23</f>
        <v>0</v>
      </c>
      <c r="U210" s="621">
        <f>'2. 의사결정 및 경영성과'!BI23</f>
        <v>0</v>
      </c>
      <c r="V210" s="621">
        <f>'2. 의사결정 및 경영성과'!BL23</f>
        <v>0</v>
      </c>
    </row>
    <row r="211" spans="1:22" ht="22.5" customHeight="1">
      <c r="A211" s="1326"/>
      <c r="B211" s="588" t="s">
        <v>771</v>
      </c>
      <c r="C211" s="621">
        <f>C$49</f>
        <v>5497</v>
      </c>
      <c r="D211" s="621">
        <f t="shared" ref="D211:V211" si="21">D$49</f>
        <v>13894</v>
      </c>
      <c r="E211" s="621">
        <f t="shared" si="21"/>
        <v>10568</v>
      </c>
      <c r="F211" s="621">
        <f t="shared" si="21"/>
        <v>13227</v>
      </c>
      <c r="G211" s="621">
        <f t="shared" si="21"/>
        <v>4700</v>
      </c>
      <c r="H211" s="621">
        <f t="shared" si="21"/>
        <v>15478</v>
      </c>
      <c r="I211" s="621">
        <f t="shared" si="21"/>
        <v>15275</v>
      </c>
      <c r="J211" s="621">
        <f t="shared" si="21"/>
        <v>21414</v>
      </c>
      <c r="K211" s="621">
        <f t="shared" si="21"/>
        <v>17504</v>
      </c>
      <c r="L211" s="621">
        <f t="shared" si="21"/>
        <v>28354</v>
      </c>
      <c r="M211" s="621">
        <f t="shared" si="21"/>
        <v>28320</v>
      </c>
      <c r="N211" s="621">
        <f t="shared" si="21"/>
        <v>30500</v>
      </c>
      <c r="O211" s="621">
        <f t="shared" si="21"/>
        <v>0</v>
      </c>
      <c r="P211" s="621">
        <f t="shared" si="21"/>
        <v>0</v>
      </c>
      <c r="Q211" s="621">
        <f t="shared" si="21"/>
        <v>0</v>
      </c>
      <c r="R211" s="621">
        <f t="shared" si="21"/>
        <v>0</v>
      </c>
      <c r="S211" s="621">
        <f t="shared" si="21"/>
        <v>0</v>
      </c>
      <c r="T211" s="621">
        <f t="shared" si="21"/>
        <v>0</v>
      </c>
      <c r="U211" s="621">
        <f t="shared" si="21"/>
        <v>0</v>
      </c>
      <c r="V211" s="621">
        <f t="shared" si="21"/>
        <v>0</v>
      </c>
    </row>
    <row r="212" spans="1:22" ht="22.5" customHeight="1">
      <c r="A212" s="589"/>
      <c r="B212" s="589"/>
      <c r="C212" s="589"/>
      <c r="D212" s="589"/>
      <c r="E212" s="589"/>
      <c r="F212" s="589"/>
      <c r="G212" s="589"/>
      <c r="H212" s="589"/>
      <c r="I212" s="589"/>
      <c r="J212" s="589"/>
      <c r="K212" s="589"/>
      <c r="L212" s="589"/>
      <c r="M212" s="589"/>
      <c r="N212" s="589"/>
      <c r="O212" s="589"/>
      <c r="P212" s="589"/>
      <c r="Q212" s="589"/>
      <c r="R212" s="589"/>
      <c r="S212" s="589"/>
      <c r="T212" s="589"/>
      <c r="U212" s="589"/>
      <c r="V212" s="589"/>
    </row>
    <row r="213" spans="1:22" ht="22.5" customHeight="1">
      <c r="A213" s="589"/>
      <c r="B213" s="589"/>
      <c r="C213" s="589"/>
      <c r="D213" s="589"/>
      <c r="E213" s="589"/>
      <c r="F213" s="589"/>
      <c r="G213" s="589"/>
      <c r="H213" s="589"/>
      <c r="I213" s="589"/>
      <c r="J213" s="589"/>
      <c r="K213" s="589"/>
      <c r="L213" s="589"/>
      <c r="M213" s="589"/>
      <c r="N213" s="589"/>
      <c r="O213" s="589"/>
      <c r="P213" s="589"/>
      <c r="Q213" s="589"/>
      <c r="R213" s="589"/>
      <c r="S213" s="589"/>
      <c r="T213" s="589"/>
      <c r="U213" s="589"/>
      <c r="V213" s="589"/>
    </row>
    <row r="214" spans="1:22" ht="22.5" customHeight="1">
      <c r="A214" s="589"/>
      <c r="B214" s="589"/>
      <c r="C214" s="589"/>
      <c r="D214" s="589"/>
      <c r="E214" s="589"/>
      <c r="F214" s="589"/>
      <c r="G214" s="589"/>
      <c r="H214" s="589"/>
      <c r="I214" s="589"/>
      <c r="J214" s="589"/>
      <c r="K214" s="589"/>
      <c r="L214" s="589"/>
      <c r="M214" s="589"/>
      <c r="N214" s="589"/>
      <c r="O214" s="589"/>
      <c r="P214" s="589"/>
      <c r="Q214" s="589"/>
      <c r="R214" s="589"/>
      <c r="S214" s="589"/>
      <c r="T214" s="589"/>
      <c r="U214" s="589"/>
      <c r="V214" s="589"/>
    </row>
    <row r="215" spans="1:22" ht="22.5" customHeight="1">
      <c r="A215" s="589"/>
      <c r="B215" s="589"/>
      <c r="C215" s="589"/>
      <c r="D215" s="589"/>
      <c r="E215" s="589"/>
      <c r="F215" s="589"/>
      <c r="G215" s="589"/>
      <c r="H215" s="589"/>
      <c r="I215" s="589"/>
      <c r="J215" s="589"/>
      <c r="K215" s="589"/>
      <c r="L215" s="589"/>
      <c r="M215" s="589"/>
      <c r="N215" s="589"/>
      <c r="O215" s="589"/>
      <c r="P215" s="589"/>
      <c r="Q215" s="589"/>
      <c r="R215" s="589"/>
      <c r="S215" s="589"/>
      <c r="T215" s="589"/>
      <c r="U215" s="589"/>
      <c r="V215" s="589"/>
    </row>
    <row r="216" spans="1:22" ht="22.5" customHeight="1">
      <c r="A216" s="589"/>
      <c r="B216" s="589"/>
      <c r="C216" s="589"/>
      <c r="D216" s="589"/>
      <c r="E216" s="589"/>
      <c r="F216" s="589"/>
      <c r="G216" s="589"/>
      <c r="H216" s="589"/>
      <c r="I216" s="589"/>
      <c r="J216" s="589"/>
      <c r="K216" s="589"/>
      <c r="L216" s="589"/>
      <c r="M216" s="589"/>
      <c r="N216" s="589"/>
      <c r="O216" s="589"/>
      <c r="P216" s="589"/>
      <c r="Q216" s="589"/>
      <c r="R216" s="589"/>
      <c r="S216" s="589"/>
      <c r="T216" s="589"/>
      <c r="U216" s="589"/>
      <c r="V216" s="589"/>
    </row>
    <row r="217" spans="1:22" ht="22.5" customHeight="1">
      <c r="A217" s="589"/>
      <c r="B217" s="589"/>
      <c r="C217" s="589"/>
      <c r="D217" s="589"/>
      <c r="E217" s="589"/>
      <c r="F217" s="589"/>
      <c r="G217" s="589"/>
      <c r="H217" s="589"/>
      <c r="I217" s="589"/>
      <c r="J217" s="589"/>
      <c r="K217" s="589"/>
      <c r="L217" s="589"/>
      <c r="M217" s="589"/>
      <c r="N217" s="589"/>
      <c r="O217" s="589"/>
      <c r="P217" s="589"/>
      <c r="Q217" s="589"/>
      <c r="R217" s="589"/>
      <c r="S217" s="589"/>
      <c r="T217" s="589"/>
      <c r="U217" s="589"/>
      <c r="V217" s="589"/>
    </row>
    <row r="218" spans="1:22" ht="22.5" customHeight="1">
      <c r="A218" s="589"/>
      <c r="B218" s="589"/>
      <c r="C218" s="589"/>
      <c r="D218" s="589"/>
      <c r="E218" s="589"/>
      <c r="F218" s="589"/>
      <c r="G218" s="589"/>
      <c r="H218" s="589"/>
      <c r="I218" s="589"/>
      <c r="J218" s="589"/>
      <c r="K218" s="589"/>
      <c r="L218" s="589"/>
      <c r="M218" s="589"/>
      <c r="N218" s="589"/>
      <c r="O218" s="589"/>
      <c r="P218" s="589"/>
      <c r="Q218" s="589"/>
      <c r="R218" s="589"/>
      <c r="S218" s="589"/>
      <c r="T218" s="589"/>
      <c r="U218" s="589"/>
      <c r="V218" s="589"/>
    </row>
    <row r="219" spans="1:22" ht="22.5" customHeight="1">
      <c r="A219" s="589"/>
      <c r="B219" s="589"/>
      <c r="C219" s="589"/>
      <c r="D219" s="589"/>
      <c r="E219" s="589"/>
      <c r="F219" s="589"/>
      <c r="G219" s="589"/>
      <c r="H219" s="589"/>
      <c r="I219" s="589"/>
      <c r="J219" s="589"/>
      <c r="K219" s="589"/>
      <c r="L219" s="589"/>
      <c r="M219" s="589"/>
      <c r="N219" s="589"/>
      <c r="O219" s="589"/>
      <c r="P219" s="589"/>
      <c r="Q219" s="589"/>
      <c r="R219" s="589"/>
      <c r="S219" s="589"/>
      <c r="T219" s="589"/>
      <c r="U219" s="589"/>
      <c r="V219" s="589"/>
    </row>
    <row r="220" spans="1:22" ht="22.5" customHeight="1">
      <c r="A220" s="589"/>
      <c r="B220" s="589"/>
      <c r="C220" s="589"/>
      <c r="D220" s="589"/>
      <c r="E220" s="589"/>
      <c r="F220" s="589"/>
      <c r="G220" s="589"/>
      <c r="H220" s="589"/>
      <c r="I220" s="589"/>
      <c r="J220" s="589"/>
      <c r="K220" s="589"/>
      <c r="L220" s="589"/>
      <c r="M220" s="589"/>
      <c r="N220" s="589"/>
      <c r="O220" s="589"/>
      <c r="P220" s="589"/>
      <c r="Q220" s="589"/>
      <c r="R220" s="589"/>
      <c r="S220" s="589"/>
      <c r="T220" s="589"/>
      <c r="U220" s="589"/>
      <c r="V220" s="589"/>
    </row>
    <row r="221" spans="1:22" ht="22.5" customHeight="1">
      <c r="A221" s="589"/>
      <c r="B221" s="589"/>
      <c r="C221" s="589"/>
      <c r="D221" s="589"/>
      <c r="E221" s="589"/>
      <c r="F221" s="589"/>
      <c r="G221" s="589"/>
      <c r="H221" s="589"/>
      <c r="I221" s="589"/>
      <c r="J221" s="589"/>
      <c r="K221" s="589"/>
      <c r="L221" s="589"/>
      <c r="M221" s="589"/>
      <c r="N221" s="589"/>
      <c r="O221" s="589"/>
      <c r="P221" s="589"/>
      <c r="Q221" s="589"/>
      <c r="R221" s="589"/>
      <c r="S221" s="589"/>
      <c r="T221" s="589"/>
      <c r="U221" s="589"/>
      <c r="V221" s="589"/>
    </row>
    <row r="222" spans="1:22" ht="22.5" customHeight="1">
      <c r="A222" s="589"/>
      <c r="B222" s="589"/>
      <c r="C222" s="589"/>
      <c r="D222" s="589"/>
      <c r="E222" s="589"/>
      <c r="F222" s="589"/>
      <c r="G222" s="589"/>
      <c r="H222" s="589"/>
      <c r="I222" s="589"/>
      <c r="J222" s="589"/>
      <c r="K222" s="589"/>
      <c r="L222" s="589"/>
      <c r="M222" s="589"/>
      <c r="N222" s="589"/>
      <c r="O222" s="589"/>
      <c r="P222" s="589"/>
      <c r="Q222" s="589"/>
      <c r="R222" s="589"/>
      <c r="S222" s="589"/>
      <c r="T222" s="589"/>
      <c r="U222" s="589"/>
      <c r="V222" s="589"/>
    </row>
    <row r="223" spans="1:22" ht="22.5" customHeight="1">
      <c r="A223" s="589"/>
      <c r="B223" s="589"/>
      <c r="C223" s="589"/>
      <c r="D223" s="589"/>
      <c r="E223" s="589"/>
      <c r="F223" s="589"/>
      <c r="G223" s="589"/>
      <c r="H223" s="589"/>
      <c r="I223" s="589"/>
      <c r="J223" s="589"/>
      <c r="K223" s="589"/>
      <c r="L223" s="589"/>
      <c r="M223" s="589"/>
      <c r="N223" s="589"/>
      <c r="O223" s="589"/>
      <c r="P223" s="589"/>
      <c r="Q223" s="589"/>
      <c r="R223" s="589"/>
      <c r="S223" s="589"/>
      <c r="T223" s="589"/>
      <c r="U223" s="589"/>
      <c r="V223" s="589"/>
    </row>
    <row r="224" spans="1:22" ht="22.5" customHeight="1">
      <c r="A224" s="589"/>
      <c r="B224" s="589"/>
      <c r="C224" s="589"/>
      <c r="D224" s="589"/>
      <c r="E224" s="589"/>
      <c r="F224" s="589"/>
      <c r="G224" s="589"/>
      <c r="H224" s="589"/>
      <c r="I224" s="589"/>
      <c r="J224" s="589"/>
      <c r="K224" s="589"/>
      <c r="L224" s="589"/>
      <c r="M224" s="589"/>
      <c r="N224" s="589"/>
      <c r="O224" s="589"/>
      <c r="P224" s="589"/>
      <c r="Q224" s="589"/>
      <c r="R224" s="589"/>
      <c r="S224" s="589"/>
      <c r="T224" s="589"/>
      <c r="U224" s="589"/>
      <c r="V224" s="589"/>
    </row>
    <row r="225" spans="1:22" ht="22.5" customHeight="1">
      <c r="A225" s="589"/>
      <c r="B225" s="589"/>
      <c r="C225" s="589"/>
      <c r="D225" s="589"/>
      <c r="E225" s="589"/>
      <c r="F225" s="589"/>
      <c r="G225" s="589"/>
      <c r="H225" s="589"/>
      <c r="I225" s="589"/>
      <c r="J225" s="589"/>
      <c r="K225" s="589"/>
      <c r="L225" s="589"/>
      <c r="M225" s="589"/>
      <c r="N225" s="589"/>
      <c r="O225" s="589"/>
      <c r="P225" s="589"/>
      <c r="Q225" s="589"/>
      <c r="R225" s="589"/>
      <c r="S225" s="589"/>
      <c r="T225" s="589"/>
      <c r="U225" s="589"/>
      <c r="V225" s="589"/>
    </row>
    <row r="226" spans="1:22" ht="25.5" customHeight="1"/>
    <row r="227" spans="1:22" ht="22.5" customHeight="1">
      <c r="A227" s="64"/>
      <c r="B227" s="64"/>
      <c r="C227" s="64"/>
      <c r="D227" s="64"/>
      <c r="F227" s="64"/>
      <c r="G227" s="64"/>
      <c r="H227" s="64"/>
      <c r="I227" s="64"/>
      <c r="J227" s="64"/>
      <c r="K227" s="64"/>
      <c r="L227" s="64"/>
      <c r="M227" s="64"/>
      <c r="N227" s="64"/>
      <c r="O227" s="64"/>
      <c r="P227" s="64"/>
      <c r="Q227" s="64"/>
      <c r="R227" s="64"/>
      <c r="S227" s="64"/>
      <c r="T227" s="64"/>
      <c r="U227" s="64"/>
      <c r="V227" s="64"/>
    </row>
    <row r="228" spans="1:22" s="64" customFormat="1" ht="22.5" customHeight="1">
      <c r="A228" s="1327" t="s">
        <v>774</v>
      </c>
      <c r="B228" s="1327"/>
      <c r="C228" s="1327"/>
      <c r="D228" s="1327"/>
      <c r="E228" s="110"/>
      <c r="F228" s="110"/>
      <c r="G228" s="110"/>
      <c r="H228" s="110"/>
      <c r="I228" s="110"/>
      <c r="J228" s="110"/>
      <c r="K228" s="110"/>
      <c r="L228" s="110"/>
      <c r="M228" s="110"/>
      <c r="N228" s="110"/>
      <c r="O228" s="110"/>
      <c r="P228" s="110"/>
      <c r="Q228" s="110"/>
      <c r="R228" s="110"/>
      <c r="S228" s="110"/>
      <c r="T228" s="110"/>
      <c r="U228" s="110"/>
      <c r="V228" s="110"/>
    </row>
    <row r="229" spans="1:22" ht="22.5" customHeight="1">
      <c r="A229" s="1314" t="s">
        <v>747</v>
      </c>
      <c r="B229" s="587" t="s">
        <v>760</v>
      </c>
      <c r="C229" s="1314" t="s">
        <v>734</v>
      </c>
      <c r="D229" s="1314"/>
      <c r="E229" s="1314"/>
      <c r="F229" s="1314"/>
      <c r="G229" s="1314" t="s">
        <v>508</v>
      </c>
      <c r="H229" s="1314"/>
      <c r="I229" s="1314"/>
      <c r="J229" s="1314"/>
      <c r="K229" s="1314" t="s">
        <v>510</v>
      </c>
      <c r="L229" s="1314"/>
      <c r="M229" s="1314"/>
      <c r="N229" s="1314"/>
      <c r="O229" s="1314" t="s">
        <v>512</v>
      </c>
      <c r="P229" s="1314"/>
      <c r="Q229" s="1314"/>
      <c r="R229" s="1314"/>
      <c r="S229" s="1314" t="s">
        <v>516</v>
      </c>
      <c r="T229" s="1314"/>
      <c r="U229" s="1314"/>
      <c r="V229" s="1314"/>
    </row>
    <row r="230" spans="1:22" ht="22.5" customHeight="1">
      <c r="A230" s="1314"/>
      <c r="B230" s="587" t="s">
        <v>735</v>
      </c>
      <c r="C230" s="588" t="s">
        <v>736</v>
      </c>
      <c r="D230" s="588" t="s">
        <v>737</v>
      </c>
      <c r="E230" s="588" t="s">
        <v>738</v>
      </c>
      <c r="F230" s="588" t="s">
        <v>739</v>
      </c>
      <c r="G230" s="588" t="s">
        <v>736</v>
      </c>
      <c r="H230" s="588" t="s">
        <v>737</v>
      </c>
      <c r="I230" s="588" t="s">
        <v>738</v>
      </c>
      <c r="J230" s="588" t="s">
        <v>739</v>
      </c>
      <c r="K230" s="588" t="s">
        <v>736</v>
      </c>
      <c r="L230" s="588" t="s">
        <v>737</v>
      </c>
      <c r="M230" s="588" t="s">
        <v>738</v>
      </c>
      <c r="N230" s="588" t="s">
        <v>739</v>
      </c>
      <c r="O230" s="588" t="s">
        <v>736</v>
      </c>
      <c r="P230" s="588" t="s">
        <v>737</v>
      </c>
      <c r="Q230" s="588" t="s">
        <v>738</v>
      </c>
      <c r="R230" s="588" t="s">
        <v>739</v>
      </c>
      <c r="S230" s="588" t="s">
        <v>736</v>
      </c>
      <c r="T230" s="588" t="s">
        <v>737</v>
      </c>
      <c r="U230" s="588" t="s">
        <v>738</v>
      </c>
      <c r="V230" s="588" t="s">
        <v>739</v>
      </c>
    </row>
    <row r="231" spans="1:22" ht="22.5" customHeight="1">
      <c r="A231" s="1325" t="s">
        <v>418</v>
      </c>
      <c r="B231" s="588" t="s">
        <v>775</v>
      </c>
      <c r="C231" s="621">
        <f>'2. 의사결정 및 경영성과'!E80</f>
        <v>104</v>
      </c>
      <c r="D231" s="621">
        <f>'2. 의사결정 및 경영성과'!H80</f>
        <v>122</v>
      </c>
      <c r="E231" s="621">
        <f>'2. 의사결정 및 경영성과'!K80</f>
        <v>128</v>
      </c>
      <c r="F231" s="621">
        <f>'2. 의사결정 및 경영성과'!N80</f>
        <v>145</v>
      </c>
      <c r="G231" s="621">
        <f>'2. 의사결정 및 경영성과'!Q80</f>
        <v>168</v>
      </c>
      <c r="H231" s="621">
        <f>'2. 의사결정 및 경영성과'!T80</f>
        <v>181</v>
      </c>
      <c r="I231" s="621">
        <f>'2. 의사결정 및 경영성과'!W80</f>
        <v>193</v>
      </c>
      <c r="J231" s="621">
        <f>'2. 의사결정 및 경영성과'!Z80</f>
        <v>209</v>
      </c>
      <c r="K231" s="621">
        <f>'2. 의사결정 및 경영성과'!AC80</f>
        <v>224</v>
      </c>
      <c r="L231" s="621">
        <f>'2. 의사결정 및 경영성과'!AF80</f>
        <v>233</v>
      </c>
      <c r="M231" s="621">
        <f>'2. 의사결정 및 경영성과'!AI80</f>
        <v>243</v>
      </c>
      <c r="N231" s="621">
        <f>'2. 의사결정 및 경영성과'!AL80</f>
        <v>250</v>
      </c>
      <c r="O231" s="621">
        <f>'2. 의사결정 및 경영성과'!AO80</f>
        <v>0</v>
      </c>
      <c r="P231" s="621">
        <f>'2. 의사결정 및 경영성과'!AR80</f>
        <v>0</v>
      </c>
      <c r="Q231" s="621">
        <f>'2. 의사결정 및 경영성과'!AU80</f>
        <v>0</v>
      </c>
      <c r="R231" s="621">
        <f>'2. 의사결정 및 경영성과'!AX80</f>
        <v>0</v>
      </c>
      <c r="S231" s="621">
        <f>'2. 의사결정 및 경영성과'!BA80</f>
        <v>0</v>
      </c>
      <c r="T231" s="621">
        <f>'2. 의사결정 및 경영성과'!BD80</f>
        <v>0</v>
      </c>
      <c r="U231" s="621">
        <f>'2. 의사결정 및 경영성과'!BG80</f>
        <v>0</v>
      </c>
      <c r="V231" s="621">
        <f>'2. 의사결정 및 경영성과'!BJ80</f>
        <v>0</v>
      </c>
    </row>
    <row r="232" spans="1:22" ht="22.5" customHeight="1">
      <c r="A232" s="1326"/>
      <c r="B232" s="588" t="s">
        <v>771</v>
      </c>
      <c r="C232" s="621">
        <f>C$47</f>
        <v>38739</v>
      </c>
      <c r="D232" s="621">
        <f t="shared" ref="D232:V232" si="22">D$47</f>
        <v>49455</v>
      </c>
      <c r="E232" s="621">
        <f t="shared" si="22"/>
        <v>46095</v>
      </c>
      <c r="F232" s="621">
        <f t="shared" si="22"/>
        <v>53923</v>
      </c>
      <c r="G232" s="621">
        <f t="shared" si="22"/>
        <v>38959</v>
      </c>
      <c r="H232" s="621">
        <f t="shared" si="22"/>
        <v>59451</v>
      </c>
      <c r="I232" s="621">
        <f t="shared" si="22"/>
        <v>53746</v>
      </c>
      <c r="J232" s="621">
        <f t="shared" si="22"/>
        <v>73267</v>
      </c>
      <c r="K232" s="621">
        <f t="shared" si="22"/>
        <v>65552</v>
      </c>
      <c r="L232" s="621">
        <f t="shared" si="22"/>
        <v>80232</v>
      </c>
      <c r="M232" s="621">
        <f t="shared" si="22"/>
        <v>69981</v>
      </c>
      <c r="N232" s="621">
        <f t="shared" si="22"/>
        <v>66680</v>
      </c>
      <c r="O232" s="621">
        <f t="shared" si="22"/>
        <v>0</v>
      </c>
      <c r="P232" s="621">
        <f t="shared" si="22"/>
        <v>0</v>
      </c>
      <c r="Q232" s="621">
        <f t="shared" si="22"/>
        <v>0</v>
      </c>
      <c r="R232" s="621">
        <f t="shared" si="22"/>
        <v>0</v>
      </c>
      <c r="S232" s="621">
        <f t="shared" si="22"/>
        <v>0</v>
      </c>
      <c r="T232" s="621">
        <f t="shared" si="22"/>
        <v>0</v>
      </c>
      <c r="U232" s="621">
        <f t="shared" si="22"/>
        <v>0</v>
      </c>
      <c r="V232" s="621">
        <f t="shared" si="22"/>
        <v>0</v>
      </c>
    </row>
    <row r="233" spans="1:22" ht="22.5" customHeight="1">
      <c r="A233" s="1325" t="s">
        <v>1163</v>
      </c>
      <c r="B233" s="588" t="s">
        <v>775</v>
      </c>
      <c r="C233" s="621">
        <f>'2. 의사결정 및 경영성과'!F80</f>
        <v>56</v>
      </c>
      <c r="D233" s="621">
        <f>'2. 의사결정 및 경영성과'!I80</f>
        <v>60</v>
      </c>
      <c r="E233" s="621">
        <f>'2. 의사결정 및 경영성과'!L80</f>
        <v>65</v>
      </c>
      <c r="F233" s="621">
        <f>'2. 의사결정 및 경영성과'!O80</f>
        <v>73</v>
      </c>
      <c r="G233" s="621">
        <f>'2. 의사결정 및 경영성과'!R80</f>
        <v>85</v>
      </c>
      <c r="H233" s="621">
        <f>'2. 의사결정 및 경영성과'!U80</f>
        <v>94</v>
      </c>
      <c r="I233" s="621">
        <f>'2. 의사결정 및 경영성과'!X80</f>
        <v>107</v>
      </c>
      <c r="J233" s="621">
        <f>'2. 의사결정 및 경영성과'!AA80</f>
        <v>118</v>
      </c>
      <c r="K233" s="621">
        <f>'2. 의사결정 및 경영성과'!AD80</f>
        <v>118</v>
      </c>
      <c r="L233" s="621">
        <f>'2. 의사결정 및 경영성과'!AG80</f>
        <v>122</v>
      </c>
      <c r="M233" s="621">
        <f>'2. 의사결정 및 경영성과'!AJ80</f>
        <v>126</v>
      </c>
      <c r="N233" s="621">
        <f>'2. 의사결정 및 경영성과'!AM80</f>
        <v>130</v>
      </c>
      <c r="O233" s="621">
        <f>'2. 의사결정 및 경영성과'!AP80</f>
        <v>0</v>
      </c>
      <c r="P233" s="621">
        <f>'2. 의사결정 및 경영성과'!AS80</f>
        <v>0</v>
      </c>
      <c r="Q233" s="621">
        <f>'2. 의사결정 및 경영성과'!AV80</f>
        <v>0</v>
      </c>
      <c r="R233" s="621">
        <f>'2. 의사결정 및 경영성과'!AY80</f>
        <v>0</v>
      </c>
      <c r="S233" s="621">
        <f>'2. 의사결정 및 경영성과'!BB80</f>
        <v>0</v>
      </c>
      <c r="T233" s="621">
        <f>'2. 의사결정 및 경영성과'!BE80</f>
        <v>0</v>
      </c>
      <c r="U233" s="621">
        <f>'2. 의사결정 및 경영성과'!BH80</f>
        <v>0</v>
      </c>
      <c r="V233" s="621">
        <f>'2. 의사결정 및 경영성과'!BK80</f>
        <v>0</v>
      </c>
    </row>
    <row r="234" spans="1:22" ht="22.5" customHeight="1">
      <c r="A234" s="1326"/>
      <c r="B234" s="588" t="s">
        <v>771</v>
      </c>
      <c r="C234" s="621">
        <f>C$48</f>
        <v>23963</v>
      </c>
      <c r="D234" s="621">
        <f t="shared" ref="D234:V234" si="23">D$48</f>
        <v>32381</v>
      </c>
      <c r="E234" s="621">
        <f t="shared" si="23"/>
        <v>34739</v>
      </c>
      <c r="F234" s="621">
        <f t="shared" si="23"/>
        <v>39025</v>
      </c>
      <c r="G234" s="621">
        <f t="shared" si="23"/>
        <v>34074</v>
      </c>
      <c r="H234" s="621">
        <f t="shared" si="23"/>
        <v>39074</v>
      </c>
      <c r="I234" s="621">
        <f t="shared" si="23"/>
        <v>39354</v>
      </c>
      <c r="J234" s="621">
        <f t="shared" si="23"/>
        <v>40033</v>
      </c>
      <c r="K234" s="621">
        <f t="shared" si="23"/>
        <v>33564</v>
      </c>
      <c r="L234" s="621">
        <f t="shared" si="23"/>
        <v>36277</v>
      </c>
      <c r="M234" s="621">
        <f t="shared" si="23"/>
        <v>33702</v>
      </c>
      <c r="N234" s="621">
        <f t="shared" si="23"/>
        <v>32680</v>
      </c>
      <c r="O234" s="621">
        <f t="shared" si="23"/>
        <v>0</v>
      </c>
      <c r="P234" s="621">
        <f t="shared" si="23"/>
        <v>0</v>
      </c>
      <c r="Q234" s="621">
        <f t="shared" si="23"/>
        <v>0</v>
      </c>
      <c r="R234" s="621">
        <f t="shared" si="23"/>
        <v>0</v>
      </c>
      <c r="S234" s="621">
        <f t="shared" si="23"/>
        <v>0</v>
      </c>
      <c r="T234" s="621">
        <f t="shared" si="23"/>
        <v>0</v>
      </c>
      <c r="U234" s="621">
        <f t="shared" si="23"/>
        <v>0</v>
      </c>
      <c r="V234" s="621">
        <f t="shared" si="23"/>
        <v>0</v>
      </c>
    </row>
    <row r="235" spans="1:22" ht="22.5" customHeight="1">
      <c r="A235" s="1325" t="s">
        <v>1206</v>
      </c>
      <c r="B235" s="588" t="s">
        <v>775</v>
      </c>
      <c r="C235" s="621">
        <f>'2. 의사결정 및 경영성과'!G80</f>
        <v>55</v>
      </c>
      <c r="D235" s="621">
        <f>'2. 의사결정 및 경영성과'!J80</f>
        <v>58</v>
      </c>
      <c r="E235" s="621">
        <f>'2. 의사결정 및 경영성과'!M80</f>
        <v>63</v>
      </c>
      <c r="F235" s="621">
        <f>'2. 의사결정 및 경영성과'!P80</f>
        <v>74</v>
      </c>
      <c r="G235" s="621">
        <f>'2. 의사결정 및 경영성과'!S80</f>
        <v>84</v>
      </c>
      <c r="H235" s="621">
        <f>'2. 의사결정 및 경영성과'!V80</f>
        <v>96</v>
      </c>
      <c r="I235" s="621">
        <f>'2. 의사결정 및 경영성과'!Y80</f>
        <v>112</v>
      </c>
      <c r="J235" s="621">
        <f>'2. 의사결정 및 경영성과'!AB80</f>
        <v>123</v>
      </c>
      <c r="K235" s="621">
        <f>'2. 의사결정 및 경영성과'!AE80</f>
        <v>126</v>
      </c>
      <c r="L235" s="621">
        <f>'2. 의사결정 및 경영성과'!AH80</f>
        <v>131</v>
      </c>
      <c r="M235" s="621">
        <f>'2. 의사결정 및 경영성과'!AK80</f>
        <v>128</v>
      </c>
      <c r="N235" s="621">
        <f>'2. 의사결정 및 경영성과'!AN80</f>
        <v>130</v>
      </c>
      <c r="O235" s="621">
        <f>'2. 의사결정 및 경영성과'!AQ80</f>
        <v>0</v>
      </c>
      <c r="P235" s="621">
        <f>'2. 의사결정 및 경영성과'!AT80</f>
        <v>0</v>
      </c>
      <c r="Q235" s="621">
        <f>'2. 의사결정 및 경영성과'!AW80</f>
        <v>0</v>
      </c>
      <c r="R235" s="621">
        <f>'2. 의사결정 및 경영성과'!AZ80</f>
        <v>0</v>
      </c>
      <c r="S235" s="621">
        <f>'2. 의사결정 및 경영성과'!BC80</f>
        <v>0</v>
      </c>
      <c r="T235" s="621">
        <f>'2. 의사결정 및 경영성과'!BF80</f>
        <v>0</v>
      </c>
      <c r="U235" s="621">
        <f>'2. 의사결정 및 경영성과'!BI80</f>
        <v>0</v>
      </c>
      <c r="V235" s="621">
        <f>'2. 의사결정 및 경영성과'!BL80</f>
        <v>0</v>
      </c>
    </row>
    <row r="236" spans="1:22" ht="22.5" customHeight="1">
      <c r="A236" s="1326"/>
      <c r="B236" s="588" t="s">
        <v>771</v>
      </c>
      <c r="C236" s="621">
        <f>C$49</f>
        <v>5497</v>
      </c>
      <c r="D236" s="621">
        <f t="shared" ref="D236:V236" si="24">D$49</f>
        <v>13894</v>
      </c>
      <c r="E236" s="621">
        <f t="shared" si="24"/>
        <v>10568</v>
      </c>
      <c r="F236" s="621">
        <f t="shared" si="24"/>
        <v>13227</v>
      </c>
      <c r="G236" s="621">
        <f t="shared" si="24"/>
        <v>4700</v>
      </c>
      <c r="H236" s="621">
        <f t="shared" si="24"/>
        <v>15478</v>
      </c>
      <c r="I236" s="621">
        <f t="shared" si="24"/>
        <v>15275</v>
      </c>
      <c r="J236" s="621">
        <f t="shared" si="24"/>
        <v>21414</v>
      </c>
      <c r="K236" s="621">
        <f t="shared" si="24"/>
        <v>17504</v>
      </c>
      <c r="L236" s="621">
        <f t="shared" si="24"/>
        <v>28354</v>
      </c>
      <c r="M236" s="621">
        <f t="shared" si="24"/>
        <v>28320</v>
      </c>
      <c r="N236" s="621">
        <f t="shared" si="24"/>
        <v>30500</v>
      </c>
      <c r="O236" s="621">
        <f t="shared" si="24"/>
        <v>0</v>
      </c>
      <c r="P236" s="621">
        <f t="shared" si="24"/>
        <v>0</v>
      </c>
      <c r="Q236" s="621">
        <f t="shared" si="24"/>
        <v>0</v>
      </c>
      <c r="R236" s="621">
        <f t="shared" si="24"/>
        <v>0</v>
      </c>
      <c r="S236" s="621">
        <f t="shared" si="24"/>
        <v>0</v>
      </c>
      <c r="T236" s="621">
        <f t="shared" si="24"/>
        <v>0</v>
      </c>
      <c r="U236" s="621">
        <f t="shared" si="24"/>
        <v>0</v>
      </c>
      <c r="V236" s="621">
        <f t="shared" si="24"/>
        <v>0</v>
      </c>
    </row>
    <row r="237" spans="1:22" ht="22.5" customHeight="1">
      <c r="A237" s="589"/>
      <c r="B237" s="589"/>
      <c r="C237" s="589"/>
      <c r="D237" s="589"/>
      <c r="E237" s="589"/>
      <c r="F237" s="589"/>
      <c r="G237" s="589"/>
      <c r="H237" s="589"/>
      <c r="I237" s="589"/>
      <c r="J237" s="589"/>
      <c r="K237" s="589"/>
      <c r="L237" s="589"/>
      <c r="M237" s="589"/>
      <c r="N237" s="589"/>
      <c r="O237" s="589"/>
      <c r="P237" s="589"/>
      <c r="Q237" s="589"/>
      <c r="R237" s="589"/>
      <c r="S237" s="589"/>
      <c r="T237" s="589"/>
      <c r="U237" s="589"/>
      <c r="V237" s="589"/>
    </row>
    <row r="238" spans="1:22" ht="22.5" customHeight="1">
      <c r="A238" s="589"/>
      <c r="B238" s="589"/>
      <c r="C238" s="589"/>
      <c r="D238" s="589"/>
      <c r="E238" s="589"/>
      <c r="F238" s="589"/>
      <c r="G238" s="589"/>
      <c r="H238" s="589"/>
      <c r="I238" s="589"/>
      <c r="J238" s="589"/>
      <c r="K238" s="589"/>
      <c r="L238" s="589"/>
      <c r="M238" s="589"/>
      <c r="N238" s="589"/>
      <c r="O238" s="589"/>
      <c r="P238" s="589"/>
      <c r="Q238" s="589"/>
      <c r="R238" s="589"/>
      <c r="S238" s="589"/>
      <c r="T238" s="589"/>
      <c r="U238" s="589"/>
      <c r="V238" s="589"/>
    </row>
    <row r="239" spans="1:22" ht="22.5" customHeight="1">
      <c r="A239" s="589"/>
      <c r="B239" s="589"/>
      <c r="C239" s="589"/>
      <c r="D239" s="589"/>
      <c r="E239" s="589"/>
      <c r="F239" s="589"/>
      <c r="G239" s="589"/>
      <c r="H239" s="589"/>
      <c r="I239" s="589"/>
      <c r="J239" s="589"/>
      <c r="K239" s="589"/>
      <c r="L239" s="589"/>
      <c r="M239" s="589"/>
      <c r="N239" s="589"/>
      <c r="O239" s="589"/>
      <c r="P239" s="589"/>
      <c r="Q239" s="589"/>
      <c r="R239" s="589"/>
      <c r="S239" s="589"/>
      <c r="T239" s="589"/>
      <c r="U239" s="589"/>
      <c r="V239" s="589"/>
    </row>
    <row r="240" spans="1:22" ht="22.5" customHeight="1">
      <c r="A240" s="589"/>
      <c r="B240" s="589"/>
      <c r="C240" s="589"/>
      <c r="D240" s="589"/>
      <c r="E240" s="589"/>
      <c r="F240" s="589"/>
      <c r="G240" s="589"/>
      <c r="H240" s="589"/>
      <c r="I240" s="589"/>
      <c r="J240" s="589"/>
      <c r="K240" s="589"/>
      <c r="L240" s="589"/>
      <c r="M240" s="589"/>
      <c r="N240" s="589"/>
      <c r="O240" s="589"/>
      <c r="P240" s="589"/>
      <c r="Q240" s="589"/>
      <c r="R240" s="589"/>
      <c r="S240" s="589"/>
      <c r="T240" s="589"/>
      <c r="U240" s="589"/>
      <c r="V240" s="589"/>
    </row>
    <row r="241" spans="1:22" ht="22.5" customHeight="1">
      <c r="A241" s="589"/>
      <c r="B241" s="589"/>
      <c r="C241" s="589"/>
      <c r="D241" s="589"/>
      <c r="E241" s="589"/>
      <c r="F241" s="589"/>
      <c r="G241" s="589"/>
      <c r="H241" s="589"/>
      <c r="I241" s="589"/>
      <c r="J241" s="589"/>
      <c r="K241" s="589"/>
      <c r="L241" s="589"/>
      <c r="M241" s="589"/>
      <c r="N241" s="589"/>
      <c r="O241" s="589"/>
      <c r="P241" s="589"/>
      <c r="Q241" s="589"/>
      <c r="R241" s="589"/>
      <c r="S241" s="589"/>
      <c r="T241" s="589"/>
      <c r="U241" s="589"/>
      <c r="V241" s="589"/>
    </row>
    <row r="242" spans="1:22" ht="22.5" customHeight="1">
      <c r="A242" s="589"/>
      <c r="B242" s="589"/>
      <c r="C242" s="589"/>
      <c r="D242" s="589"/>
      <c r="E242" s="589"/>
      <c r="F242" s="589"/>
      <c r="G242" s="589"/>
      <c r="H242" s="589"/>
      <c r="I242" s="589"/>
      <c r="J242" s="589"/>
      <c r="K242" s="589"/>
      <c r="L242" s="589"/>
      <c r="M242" s="589"/>
      <c r="N242" s="589"/>
      <c r="O242" s="589"/>
      <c r="P242" s="589"/>
      <c r="Q242" s="589"/>
      <c r="R242" s="589"/>
      <c r="S242" s="589"/>
      <c r="T242" s="589"/>
      <c r="U242" s="589"/>
      <c r="V242" s="589"/>
    </row>
    <row r="243" spans="1:22" ht="22.5" customHeight="1">
      <c r="A243" s="589"/>
      <c r="B243" s="589"/>
      <c r="C243" s="589"/>
      <c r="D243" s="589"/>
      <c r="E243" s="589"/>
      <c r="F243" s="589"/>
      <c r="G243" s="589"/>
      <c r="H243" s="589"/>
      <c r="I243" s="589"/>
      <c r="J243" s="589"/>
      <c r="K243" s="589"/>
      <c r="L243" s="589"/>
      <c r="M243" s="589"/>
      <c r="N243" s="589"/>
      <c r="O243" s="589"/>
      <c r="P243" s="589"/>
      <c r="Q243" s="589"/>
      <c r="R243" s="589"/>
      <c r="S243" s="589"/>
      <c r="T243" s="589"/>
      <c r="U243" s="589"/>
      <c r="V243" s="589"/>
    </row>
    <row r="244" spans="1:22" ht="22.5" customHeight="1">
      <c r="A244" s="589"/>
      <c r="B244" s="589"/>
      <c r="C244" s="589"/>
      <c r="D244" s="589"/>
      <c r="E244" s="589"/>
      <c r="F244" s="589"/>
      <c r="G244" s="589"/>
      <c r="H244" s="589"/>
      <c r="I244" s="589"/>
      <c r="J244" s="589"/>
      <c r="K244" s="589"/>
      <c r="L244" s="589"/>
      <c r="M244" s="589"/>
      <c r="N244" s="589"/>
      <c r="O244" s="589"/>
      <c r="P244" s="589"/>
      <c r="Q244" s="589"/>
      <c r="R244" s="589"/>
      <c r="S244" s="589"/>
      <c r="T244" s="589"/>
      <c r="U244" s="589"/>
      <c r="V244" s="589"/>
    </row>
    <row r="245" spans="1:22" ht="22.5" customHeight="1">
      <c r="A245" s="589"/>
      <c r="B245" s="589"/>
      <c r="C245" s="589"/>
      <c r="D245" s="589"/>
      <c r="E245" s="589"/>
      <c r="F245" s="589"/>
      <c r="G245" s="589"/>
      <c r="H245" s="589"/>
      <c r="I245" s="589"/>
      <c r="J245" s="589"/>
      <c r="K245" s="589"/>
      <c r="L245" s="589"/>
      <c r="M245" s="589"/>
      <c r="N245" s="589"/>
      <c r="O245" s="589"/>
      <c r="P245" s="589"/>
      <c r="Q245" s="589"/>
      <c r="R245" s="589"/>
      <c r="S245" s="589"/>
      <c r="T245" s="589"/>
      <c r="U245" s="589"/>
      <c r="V245" s="589"/>
    </row>
    <row r="246" spans="1:22" ht="22.5" customHeight="1">
      <c r="A246" s="589"/>
      <c r="B246" s="589"/>
      <c r="C246" s="589"/>
      <c r="D246" s="589"/>
      <c r="E246" s="589"/>
      <c r="F246" s="589"/>
      <c r="G246" s="589"/>
      <c r="H246" s="589"/>
      <c r="I246" s="589"/>
      <c r="J246" s="589"/>
      <c r="K246" s="589"/>
      <c r="L246" s="589"/>
      <c r="M246" s="589"/>
      <c r="N246" s="589"/>
      <c r="O246" s="589"/>
      <c r="P246" s="589"/>
      <c r="Q246" s="589"/>
      <c r="R246" s="589"/>
      <c r="S246" s="589"/>
      <c r="T246" s="589"/>
      <c r="U246" s="589"/>
      <c r="V246" s="589"/>
    </row>
    <row r="247" spans="1:22" ht="22.5" customHeight="1">
      <c r="A247" s="589"/>
      <c r="B247" s="589"/>
      <c r="C247" s="589"/>
      <c r="D247" s="589"/>
      <c r="E247" s="589"/>
      <c r="F247" s="589"/>
      <c r="G247" s="589"/>
      <c r="H247" s="589"/>
      <c r="I247" s="589"/>
      <c r="J247" s="589"/>
      <c r="K247" s="589"/>
      <c r="L247" s="589"/>
      <c r="M247" s="589"/>
      <c r="N247" s="589"/>
      <c r="O247" s="589"/>
      <c r="P247" s="589"/>
      <c r="Q247" s="589"/>
      <c r="R247" s="589"/>
      <c r="S247" s="589"/>
      <c r="T247" s="589"/>
      <c r="U247" s="589"/>
      <c r="V247" s="589"/>
    </row>
    <row r="248" spans="1:22" ht="22.5" customHeight="1">
      <c r="A248" s="589"/>
      <c r="B248" s="589"/>
      <c r="C248" s="589"/>
      <c r="D248" s="589"/>
      <c r="E248" s="589"/>
      <c r="F248" s="589"/>
      <c r="G248" s="589"/>
      <c r="H248" s="589"/>
      <c r="I248" s="589"/>
      <c r="J248" s="589"/>
      <c r="K248" s="589"/>
      <c r="L248" s="589"/>
      <c r="M248" s="589"/>
      <c r="N248" s="589"/>
      <c r="O248" s="589"/>
      <c r="P248" s="589"/>
      <c r="Q248" s="589"/>
      <c r="R248" s="589"/>
      <c r="S248" s="589"/>
      <c r="T248" s="589"/>
      <c r="U248" s="589"/>
      <c r="V248" s="589"/>
    </row>
    <row r="249" spans="1:22" ht="22.5" customHeight="1">
      <c r="A249" s="589"/>
      <c r="B249" s="589"/>
      <c r="C249" s="589"/>
      <c r="D249" s="589"/>
      <c r="E249" s="589"/>
      <c r="F249" s="589"/>
      <c r="G249" s="589"/>
      <c r="H249" s="589"/>
      <c r="I249" s="589"/>
      <c r="J249" s="589"/>
      <c r="K249" s="589"/>
      <c r="L249" s="589"/>
      <c r="M249" s="589"/>
      <c r="N249" s="589"/>
      <c r="O249" s="589"/>
      <c r="P249" s="589"/>
      <c r="Q249" s="589"/>
      <c r="R249" s="589"/>
      <c r="S249" s="589"/>
      <c r="T249" s="589"/>
      <c r="U249" s="589"/>
      <c r="V249" s="589"/>
    </row>
    <row r="250" spans="1:22" ht="22.5" customHeight="1">
      <c r="A250" s="589"/>
      <c r="B250" s="589"/>
      <c r="C250" s="589"/>
      <c r="D250" s="589"/>
      <c r="E250" s="589"/>
      <c r="F250" s="589"/>
      <c r="G250" s="589"/>
      <c r="H250" s="589"/>
      <c r="I250" s="589"/>
      <c r="J250" s="589"/>
      <c r="K250" s="589"/>
      <c r="L250" s="589"/>
      <c r="M250" s="589"/>
      <c r="N250" s="589"/>
      <c r="O250" s="589"/>
      <c r="P250" s="589"/>
      <c r="Q250" s="589"/>
      <c r="R250" s="589"/>
      <c r="S250" s="589"/>
      <c r="T250" s="589"/>
      <c r="U250" s="589"/>
      <c r="V250" s="589"/>
    </row>
    <row r="251" spans="1:22" ht="22.5" customHeight="1">
      <c r="A251" s="589"/>
      <c r="B251" s="589"/>
      <c r="C251" s="589"/>
      <c r="D251" s="589"/>
      <c r="E251" s="589"/>
      <c r="F251" s="589"/>
      <c r="G251" s="589"/>
      <c r="H251" s="589"/>
      <c r="I251" s="589"/>
      <c r="J251" s="589"/>
      <c r="K251" s="589"/>
      <c r="L251" s="589"/>
      <c r="M251" s="589"/>
      <c r="N251" s="589"/>
      <c r="O251" s="589"/>
      <c r="P251" s="589"/>
      <c r="Q251" s="589"/>
      <c r="R251" s="589"/>
      <c r="S251" s="589"/>
      <c r="T251" s="589"/>
      <c r="U251" s="589"/>
      <c r="V251" s="589"/>
    </row>
    <row r="252" spans="1:22" ht="22.5" customHeight="1">
      <c r="A252" s="589"/>
      <c r="B252" s="589"/>
      <c r="C252" s="589"/>
      <c r="D252" s="589"/>
      <c r="E252" s="589"/>
      <c r="F252" s="589"/>
      <c r="G252" s="589"/>
      <c r="H252" s="589"/>
      <c r="I252" s="589"/>
      <c r="J252" s="589"/>
      <c r="K252" s="589"/>
      <c r="L252" s="589"/>
      <c r="M252" s="589"/>
      <c r="N252" s="589"/>
      <c r="O252" s="589"/>
      <c r="P252" s="589"/>
      <c r="Q252" s="589"/>
      <c r="R252" s="589"/>
      <c r="S252" s="589"/>
      <c r="T252" s="589"/>
      <c r="U252" s="589"/>
      <c r="V252" s="589"/>
    </row>
    <row r="253" spans="1:22" s="64" customFormat="1" ht="22.5" customHeight="1">
      <c r="A253" s="1313" t="s">
        <v>776</v>
      </c>
      <c r="B253" s="1313"/>
      <c r="C253" s="1313"/>
      <c r="D253" s="1313"/>
      <c r="E253" s="622"/>
      <c r="F253" s="110"/>
      <c r="G253" s="110"/>
      <c r="H253" s="110"/>
      <c r="I253" s="110"/>
      <c r="J253" s="110"/>
      <c r="K253" s="110"/>
      <c r="L253" s="110"/>
      <c r="M253" s="110"/>
      <c r="N253" s="110"/>
      <c r="O253" s="110"/>
      <c r="P253" s="110"/>
      <c r="Q253" s="110"/>
      <c r="R253" s="110"/>
      <c r="S253" s="110"/>
      <c r="T253" s="110"/>
      <c r="U253" s="110"/>
      <c r="V253" s="110"/>
    </row>
    <row r="254" spans="1:22" ht="22.5" customHeight="1">
      <c r="A254" s="1314" t="s">
        <v>747</v>
      </c>
      <c r="B254" s="587" t="s">
        <v>760</v>
      </c>
      <c r="C254" s="1314" t="s">
        <v>734</v>
      </c>
      <c r="D254" s="1314"/>
      <c r="E254" s="1314"/>
      <c r="F254" s="1314"/>
      <c r="G254" s="1314" t="s">
        <v>508</v>
      </c>
      <c r="H254" s="1314"/>
      <c r="I254" s="1314"/>
      <c r="J254" s="1314"/>
      <c r="K254" s="1314" t="s">
        <v>510</v>
      </c>
      <c r="L254" s="1314"/>
      <c r="M254" s="1314"/>
      <c r="N254" s="1314"/>
      <c r="O254" s="1314" t="s">
        <v>512</v>
      </c>
      <c r="P254" s="1314"/>
      <c r="Q254" s="1314"/>
      <c r="R254" s="1314"/>
      <c r="S254" s="1314" t="s">
        <v>516</v>
      </c>
      <c r="T254" s="1314"/>
      <c r="U254" s="1314"/>
      <c r="V254" s="1314"/>
    </row>
    <row r="255" spans="1:22" ht="22.5" customHeight="1">
      <c r="A255" s="1314"/>
      <c r="B255" s="587" t="s">
        <v>735</v>
      </c>
      <c r="C255" s="588" t="s">
        <v>736</v>
      </c>
      <c r="D255" s="588" t="s">
        <v>737</v>
      </c>
      <c r="E255" s="588" t="s">
        <v>738</v>
      </c>
      <c r="F255" s="588" t="s">
        <v>739</v>
      </c>
      <c r="G255" s="588" t="s">
        <v>736</v>
      </c>
      <c r="H255" s="588" t="s">
        <v>737</v>
      </c>
      <c r="I255" s="588" t="s">
        <v>738</v>
      </c>
      <c r="J255" s="588" t="s">
        <v>739</v>
      </c>
      <c r="K255" s="588" t="s">
        <v>736</v>
      </c>
      <c r="L255" s="588" t="s">
        <v>737</v>
      </c>
      <c r="M255" s="588" t="s">
        <v>738</v>
      </c>
      <c r="N255" s="588" t="s">
        <v>739</v>
      </c>
      <c r="O255" s="588" t="s">
        <v>736</v>
      </c>
      <c r="P255" s="588" t="s">
        <v>737</v>
      </c>
      <c r="Q255" s="588" t="s">
        <v>738</v>
      </c>
      <c r="R255" s="588" t="s">
        <v>739</v>
      </c>
      <c r="S255" s="588" t="s">
        <v>736</v>
      </c>
      <c r="T255" s="588" t="s">
        <v>737</v>
      </c>
      <c r="U255" s="588" t="s">
        <v>738</v>
      </c>
      <c r="V255" s="588" t="s">
        <v>739</v>
      </c>
    </row>
    <row r="256" spans="1:22" ht="22.5" customHeight="1">
      <c r="A256" s="1328" t="s">
        <v>418</v>
      </c>
      <c r="B256" s="617" t="s">
        <v>777</v>
      </c>
      <c r="C256" s="621">
        <f>'2. 의사결정 및 경영성과'!E44</f>
        <v>5400000</v>
      </c>
      <c r="D256" s="621">
        <f>'2. 의사결정 및 경영성과'!H44</f>
        <v>5580000</v>
      </c>
      <c r="E256" s="621">
        <f>'2. 의사결정 및 경영성과'!K44</f>
        <v>5670000</v>
      </c>
      <c r="F256" s="621">
        <f>'2. 의사결정 및 경영성과'!N44</f>
        <v>5760000</v>
      </c>
      <c r="G256" s="621">
        <f>'2. 의사결정 및 경영성과'!Q44</f>
        <v>5940000</v>
      </c>
      <c r="H256" s="621">
        <f>'2. 의사결정 및 경영성과'!T44</f>
        <v>6210000</v>
      </c>
      <c r="I256" s="621">
        <f>'2. 의사결정 및 경영성과'!W44</f>
        <v>6390000</v>
      </c>
      <c r="J256" s="621">
        <f>'2. 의사결정 및 경영성과'!Z44</f>
        <v>6516000</v>
      </c>
      <c r="K256" s="621">
        <f>'2. 의사결정 및 경영성과'!AC44</f>
        <v>6714000</v>
      </c>
      <c r="L256" s="621">
        <f>'2. 의사결정 및 경영성과'!AF44</f>
        <v>6840000</v>
      </c>
      <c r="M256" s="621">
        <f>'2. 의사결정 및 경영성과'!AI44</f>
        <v>7164000</v>
      </c>
      <c r="N256" s="621">
        <f>'2. 의사결정 및 경영성과'!AL44</f>
        <v>8000000</v>
      </c>
      <c r="O256" s="623">
        <f>'2. 의사결정 및 경영성과'!AO44</f>
        <v>0</v>
      </c>
      <c r="P256" s="623">
        <f>'2. 의사결정 및 경영성과'!AR44</f>
        <v>0</v>
      </c>
      <c r="Q256" s="623">
        <f>'2. 의사결정 및 경영성과'!AU44</f>
        <v>0</v>
      </c>
      <c r="R256" s="623">
        <f>'2. 의사결정 및 경영성과'!AX44</f>
        <v>0</v>
      </c>
      <c r="S256" s="623">
        <f>'2. 의사결정 및 경영성과'!BA44</f>
        <v>0</v>
      </c>
      <c r="T256" s="623">
        <f>'2. 의사결정 및 경영성과'!BD44</f>
        <v>0</v>
      </c>
      <c r="U256" s="623">
        <f>'2. 의사결정 및 경영성과'!BG44</f>
        <v>0</v>
      </c>
      <c r="V256" s="623">
        <f>'2. 의사결정 및 경영성과'!BJ44</f>
        <v>0</v>
      </c>
    </row>
    <row r="257" spans="1:22" ht="22.5" customHeight="1">
      <c r="A257" s="1329"/>
      <c r="B257" s="617" t="s">
        <v>762</v>
      </c>
      <c r="C257" s="621">
        <f t="shared" ref="C257:V257" si="25">C157</f>
        <v>38739</v>
      </c>
      <c r="D257" s="621">
        <f t="shared" si="25"/>
        <v>49455</v>
      </c>
      <c r="E257" s="621">
        <f t="shared" si="25"/>
        <v>46095</v>
      </c>
      <c r="F257" s="621">
        <f t="shared" si="25"/>
        <v>53923</v>
      </c>
      <c r="G257" s="621">
        <f t="shared" si="25"/>
        <v>38959</v>
      </c>
      <c r="H257" s="621">
        <f t="shared" si="25"/>
        <v>59451</v>
      </c>
      <c r="I257" s="621">
        <f t="shared" si="25"/>
        <v>53746</v>
      </c>
      <c r="J257" s="621">
        <f t="shared" si="25"/>
        <v>73267</v>
      </c>
      <c r="K257" s="621">
        <f t="shared" si="25"/>
        <v>65552</v>
      </c>
      <c r="L257" s="621">
        <f t="shared" si="25"/>
        <v>80232</v>
      </c>
      <c r="M257" s="621">
        <f t="shared" si="25"/>
        <v>69981</v>
      </c>
      <c r="N257" s="621">
        <f t="shared" si="25"/>
        <v>66680</v>
      </c>
      <c r="O257" s="621">
        <f t="shared" si="25"/>
        <v>0</v>
      </c>
      <c r="P257" s="621">
        <f t="shared" si="25"/>
        <v>0</v>
      </c>
      <c r="Q257" s="621">
        <f t="shared" si="25"/>
        <v>0</v>
      </c>
      <c r="R257" s="621">
        <f t="shared" si="25"/>
        <v>0</v>
      </c>
      <c r="S257" s="621">
        <f t="shared" si="25"/>
        <v>0</v>
      </c>
      <c r="T257" s="621">
        <f t="shared" si="25"/>
        <v>0</v>
      </c>
      <c r="U257" s="621">
        <f t="shared" si="25"/>
        <v>0</v>
      </c>
      <c r="V257" s="621">
        <f t="shared" si="25"/>
        <v>0</v>
      </c>
    </row>
    <row r="258" spans="1:22" ht="22.5" customHeight="1">
      <c r="A258" s="1328" t="s">
        <v>1163</v>
      </c>
      <c r="B258" s="617" t="s">
        <v>778</v>
      </c>
      <c r="C258" s="621">
        <f>'2. 의사결정 및 경영성과'!F44</f>
        <v>7884</v>
      </c>
      <c r="D258" s="621">
        <f>'2. 의사결정 및 경영성과'!I44</f>
        <v>8010</v>
      </c>
      <c r="E258" s="621">
        <f>'2. 의사결정 및 경영성과'!L44</f>
        <v>8100</v>
      </c>
      <c r="F258" s="621">
        <f>'2. 의사결정 및 경영성과'!O44</f>
        <v>8406</v>
      </c>
      <c r="G258" s="621">
        <f>'2. 의사결정 및 경영성과'!R44</f>
        <v>8460</v>
      </c>
      <c r="H258" s="621">
        <f>'2. 의사결정 및 경영성과'!U44</f>
        <v>8550</v>
      </c>
      <c r="I258" s="621">
        <f>'2. 의사결정 및 경영성과'!X44</f>
        <v>8676</v>
      </c>
      <c r="J258" s="621">
        <f>'2. 의사결정 및 경영성과'!AA44</f>
        <v>8730</v>
      </c>
      <c r="K258" s="621">
        <f>'2. 의사결정 및 경영성과'!AD44</f>
        <v>8937</v>
      </c>
      <c r="L258" s="621">
        <f>'2. 의사결정 및 경영성과'!AG44</f>
        <v>8964</v>
      </c>
      <c r="M258" s="621">
        <f>'2. 의사결정 및 경영성과'!AJ44</f>
        <v>8982</v>
      </c>
      <c r="N258" s="621">
        <f>'2. 의사결정 및 경영성과'!AM44</f>
        <v>10000</v>
      </c>
      <c r="O258" s="624">
        <f>'2. 의사결정 및 경영성과'!AP44</f>
        <v>0</v>
      </c>
      <c r="P258" s="624">
        <f>'2. 의사결정 및 경영성과'!AS44</f>
        <v>0</v>
      </c>
      <c r="Q258" s="624">
        <f>'2. 의사결정 및 경영성과'!AV44</f>
        <v>0</v>
      </c>
      <c r="R258" s="624">
        <f>'2. 의사결정 및 경영성과'!AY44</f>
        <v>0</v>
      </c>
      <c r="S258" s="624">
        <f>'2. 의사결정 및 경영성과'!BB44</f>
        <v>0</v>
      </c>
      <c r="T258" s="624">
        <f>'2. 의사결정 및 경영성과'!BE44</f>
        <v>0</v>
      </c>
      <c r="U258" s="624">
        <f>'2. 의사결정 및 경영성과'!BH44</f>
        <v>0</v>
      </c>
      <c r="V258" s="624">
        <f>'2. 의사결정 및 경영성과'!BK44</f>
        <v>0</v>
      </c>
    </row>
    <row r="259" spans="1:22" ht="22.5" customHeight="1">
      <c r="A259" s="1330"/>
      <c r="B259" s="617" t="s">
        <v>779</v>
      </c>
      <c r="C259" s="621">
        <f t="shared" ref="C259:V259" si="26">C258*C45</f>
        <v>8278200</v>
      </c>
      <c r="D259" s="621">
        <f t="shared" si="26"/>
        <v>8490600</v>
      </c>
      <c r="E259" s="621">
        <f t="shared" si="26"/>
        <v>8683200</v>
      </c>
      <c r="F259" s="621">
        <f t="shared" si="26"/>
        <v>9078480</v>
      </c>
      <c r="G259" s="621">
        <f t="shared" si="26"/>
        <v>9153720</v>
      </c>
      <c r="H259" s="621">
        <f t="shared" si="26"/>
        <v>9259650</v>
      </c>
      <c r="I259" s="621">
        <f t="shared" si="26"/>
        <v>9456840</v>
      </c>
      <c r="J259" s="621">
        <f t="shared" si="26"/>
        <v>9585540</v>
      </c>
      <c r="K259" s="621">
        <f t="shared" si="26"/>
        <v>9866448</v>
      </c>
      <c r="L259" s="621">
        <f t="shared" si="26"/>
        <v>9914184</v>
      </c>
      <c r="M259" s="621">
        <f t="shared" si="26"/>
        <v>9898164</v>
      </c>
      <c r="N259" s="621">
        <f t="shared" si="26"/>
        <v>11000000</v>
      </c>
      <c r="O259" s="621">
        <f t="shared" si="26"/>
        <v>0</v>
      </c>
      <c r="P259" s="621">
        <f t="shared" si="26"/>
        <v>0</v>
      </c>
      <c r="Q259" s="621">
        <f t="shared" si="26"/>
        <v>0</v>
      </c>
      <c r="R259" s="621">
        <f t="shared" si="26"/>
        <v>0</v>
      </c>
      <c r="S259" s="621">
        <f t="shared" si="26"/>
        <v>0</v>
      </c>
      <c r="T259" s="621">
        <f t="shared" si="26"/>
        <v>0</v>
      </c>
      <c r="U259" s="621">
        <f t="shared" si="26"/>
        <v>0</v>
      </c>
      <c r="V259" s="621">
        <f t="shared" si="26"/>
        <v>0</v>
      </c>
    </row>
    <row r="260" spans="1:22" ht="22.5" customHeight="1">
      <c r="A260" s="1329"/>
      <c r="B260" s="617" t="s">
        <v>771</v>
      </c>
      <c r="C260" s="621">
        <f t="shared" ref="C260:V260" si="27">C159</f>
        <v>23963</v>
      </c>
      <c r="D260" s="621">
        <f t="shared" si="27"/>
        <v>32381</v>
      </c>
      <c r="E260" s="621">
        <f t="shared" si="27"/>
        <v>34739</v>
      </c>
      <c r="F260" s="621">
        <f t="shared" si="27"/>
        <v>39025</v>
      </c>
      <c r="G260" s="621">
        <f t="shared" si="27"/>
        <v>34074</v>
      </c>
      <c r="H260" s="621">
        <f t="shared" si="27"/>
        <v>39074</v>
      </c>
      <c r="I260" s="621">
        <f t="shared" si="27"/>
        <v>39354</v>
      </c>
      <c r="J260" s="621">
        <f t="shared" si="27"/>
        <v>40033</v>
      </c>
      <c r="K260" s="621">
        <f t="shared" si="27"/>
        <v>33564</v>
      </c>
      <c r="L260" s="621">
        <f t="shared" si="27"/>
        <v>36277</v>
      </c>
      <c r="M260" s="621">
        <f t="shared" si="27"/>
        <v>33702</v>
      </c>
      <c r="N260" s="621">
        <f t="shared" si="27"/>
        <v>32680</v>
      </c>
      <c r="O260" s="621">
        <f t="shared" si="27"/>
        <v>0</v>
      </c>
      <c r="P260" s="621">
        <f t="shared" si="27"/>
        <v>0</v>
      </c>
      <c r="Q260" s="621">
        <f t="shared" si="27"/>
        <v>0</v>
      </c>
      <c r="R260" s="621">
        <f t="shared" si="27"/>
        <v>0</v>
      </c>
      <c r="S260" s="621">
        <f t="shared" si="27"/>
        <v>0</v>
      </c>
      <c r="T260" s="621">
        <f t="shared" si="27"/>
        <v>0</v>
      </c>
      <c r="U260" s="621">
        <f t="shared" si="27"/>
        <v>0</v>
      </c>
      <c r="V260" s="621">
        <f t="shared" si="27"/>
        <v>0</v>
      </c>
    </row>
    <row r="261" spans="1:22" ht="22.5" customHeight="1">
      <c r="A261" s="1328" t="s">
        <v>1206</v>
      </c>
      <c r="B261" s="625" t="s">
        <v>780</v>
      </c>
      <c r="C261" s="621">
        <f>'2. 의사결정 및 경영성과'!G44</f>
        <v>16200</v>
      </c>
      <c r="D261" s="621">
        <f>'2. 의사결정 및 경영성과'!J44</f>
        <v>16560</v>
      </c>
      <c r="E261" s="621">
        <f>'2. 의사결정 및 경영성과'!M44</f>
        <v>17640</v>
      </c>
      <c r="F261" s="621">
        <f>'2. 의사결정 및 경영성과'!P44</f>
        <v>18900</v>
      </c>
      <c r="G261" s="621">
        <f>'2. 의사결정 및 경영성과'!S44</f>
        <v>19800</v>
      </c>
      <c r="H261" s="621">
        <f>'2. 의사결정 및 경영성과'!V44</f>
        <v>20700</v>
      </c>
      <c r="I261" s="621">
        <f>'2. 의사결정 및 경영성과'!Y44</f>
        <v>22140</v>
      </c>
      <c r="J261" s="621">
        <f>'2. 의사결정 및 경영성과'!AB44</f>
        <v>23040</v>
      </c>
      <c r="K261" s="621">
        <f>'2. 의사결정 및 경영성과'!AE44</f>
        <v>23760</v>
      </c>
      <c r="L261" s="621">
        <f>'2. 의사결정 및 경영성과'!AH44</f>
        <v>25200</v>
      </c>
      <c r="M261" s="621">
        <f>'2. 의사결정 및 경영성과'!AK44</f>
        <v>26100</v>
      </c>
      <c r="N261" s="621">
        <f>'2. 의사결정 및 경영성과'!AN44</f>
        <v>30000</v>
      </c>
      <c r="O261" s="624">
        <f>'2. 의사결정 및 경영성과'!AQ44</f>
        <v>0</v>
      </c>
      <c r="P261" s="624">
        <f>'2. 의사결정 및 경영성과'!AT44</f>
        <v>0</v>
      </c>
      <c r="Q261" s="624">
        <f>'2. 의사결정 및 경영성과'!AW44</f>
        <v>0</v>
      </c>
      <c r="R261" s="624">
        <f>'2. 의사결정 및 경영성과'!AZ44</f>
        <v>0</v>
      </c>
      <c r="S261" s="624">
        <f>'2. 의사결정 및 경영성과'!BC44</f>
        <v>0</v>
      </c>
      <c r="T261" s="624">
        <f>'2. 의사결정 및 경영성과'!BF44</f>
        <v>0</v>
      </c>
      <c r="U261" s="624">
        <f>'2. 의사결정 및 경영성과'!BI44</f>
        <v>0</v>
      </c>
      <c r="V261" s="624">
        <f>'2. 의사결정 및 경영성과'!BL44</f>
        <v>0</v>
      </c>
    </row>
    <row r="262" spans="1:22" ht="22.5" customHeight="1">
      <c r="A262" s="1330"/>
      <c r="B262" s="625" t="s">
        <v>779</v>
      </c>
      <c r="C262" s="621">
        <f t="shared" ref="C262:V262" si="28">C261*C46</f>
        <v>3223800</v>
      </c>
      <c r="D262" s="621">
        <f t="shared" si="28"/>
        <v>3262320</v>
      </c>
      <c r="E262" s="621">
        <f t="shared" si="28"/>
        <v>3439800</v>
      </c>
      <c r="F262" s="621">
        <f t="shared" si="28"/>
        <v>3647700</v>
      </c>
      <c r="G262" s="621">
        <f t="shared" si="28"/>
        <v>3742200</v>
      </c>
      <c r="H262" s="621">
        <f t="shared" si="28"/>
        <v>3891600</v>
      </c>
      <c r="I262" s="621">
        <f t="shared" si="28"/>
        <v>4140180</v>
      </c>
      <c r="J262" s="621">
        <f t="shared" si="28"/>
        <v>4262400</v>
      </c>
      <c r="K262" s="621">
        <f t="shared" si="28"/>
        <v>4253040</v>
      </c>
      <c r="L262" s="621">
        <f t="shared" si="28"/>
        <v>4435200</v>
      </c>
      <c r="M262" s="621">
        <f t="shared" si="28"/>
        <v>4575330</v>
      </c>
      <c r="N262" s="621">
        <f t="shared" si="28"/>
        <v>5250000</v>
      </c>
      <c r="O262" s="621">
        <f t="shared" si="28"/>
        <v>0</v>
      </c>
      <c r="P262" s="621">
        <f t="shared" si="28"/>
        <v>0</v>
      </c>
      <c r="Q262" s="621">
        <f t="shared" si="28"/>
        <v>0</v>
      </c>
      <c r="R262" s="621">
        <f t="shared" si="28"/>
        <v>0</v>
      </c>
      <c r="S262" s="621">
        <f t="shared" si="28"/>
        <v>0</v>
      </c>
      <c r="T262" s="621">
        <f t="shared" si="28"/>
        <v>0</v>
      </c>
      <c r="U262" s="621">
        <f t="shared" si="28"/>
        <v>0</v>
      </c>
      <c r="V262" s="621">
        <f t="shared" si="28"/>
        <v>0</v>
      </c>
    </row>
    <row r="263" spans="1:22" ht="22.5" customHeight="1">
      <c r="A263" s="1329"/>
      <c r="B263" s="625" t="s">
        <v>762</v>
      </c>
      <c r="C263" s="621">
        <f t="shared" ref="C263:V263" si="29">C161</f>
        <v>5497</v>
      </c>
      <c r="D263" s="621">
        <f t="shared" si="29"/>
        <v>13894</v>
      </c>
      <c r="E263" s="621">
        <f t="shared" si="29"/>
        <v>10568</v>
      </c>
      <c r="F263" s="621">
        <f t="shared" si="29"/>
        <v>13227</v>
      </c>
      <c r="G263" s="621">
        <f t="shared" si="29"/>
        <v>4700</v>
      </c>
      <c r="H263" s="621">
        <f t="shared" si="29"/>
        <v>15478</v>
      </c>
      <c r="I263" s="621">
        <f t="shared" si="29"/>
        <v>15275</v>
      </c>
      <c r="J263" s="621">
        <f t="shared" si="29"/>
        <v>21414</v>
      </c>
      <c r="K263" s="621">
        <f t="shared" si="29"/>
        <v>17504</v>
      </c>
      <c r="L263" s="621">
        <f t="shared" si="29"/>
        <v>28354</v>
      </c>
      <c r="M263" s="621">
        <f t="shared" si="29"/>
        <v>28320</v>
      </c>
      <c r="N263" s="621">
        <f t="shared" si="29"/>
        <v>30500</v>
      </c>
      <c r="O263" s="621">
        <f t="shared" si="29"/>
        <v>0</v>
      </c>
      <c r="P263" s="621">
        <f t="shared" si="29"/>
        <v>0</v>
      </c>
      <c r="Q263" s="621">
        <f t="shared" si="29"/>
        <v>0</v>
      </c>
      <c r="R263" s="621">
        <f t="shared" si="29"/>
        <v>0</v>
      </c>
      <c r="S263" s="621">
        <f t="shared" si="29"/>
        <v>0</v>
      </c>
      <c r="T263" s="621">
        <f t="shared" si="29"/>
        <v>0</v>
      </c>
      <c r="U263" s="621">
        <f t="shared" si="29"/>
        <v>0</v>
      </c>
      <c r="V263" s="621">
        <f t="shared" si="29"/>
        <v>0</v>
      </c>
    </row>
    <row r="264" spans="1:22" ht="22.5" customHeight="1">
      <c r="A264" s="1328" t="s">
        <v>419</v>
      </c>
      <c r="B264" s="625" t="s">
        <v>781</v>
      </c>
      <c r="C264" s="621">
        <f>AVERAGE(C256,C259,C262)</f>
        <v>5634000</v>
      </c>
      <c r="D264" s="621">
        <f t="shared" ref="D264:V265" si="30">AVERAGE(D256,D259,D262)</f>
        <v>5777640</v>
      </c>
      <c r="E264" s="621">
        <f t="shared" si="30"/>
        <v>5931000</v>
      </c>
      <c r="F264" s="621">
        <f t="shared" si="30"/>
        <v>6162060</v>
      </c>
      <c r="G264" s="621">
        <f t="shared" si="30"/>
        <v>6278640</v>
      </c>
      <c r="H264" s="621">
        <f t="shared" si="30"/>
        <v>6453750</v>
      </c>
      <c r="I264" s="621">
        <f t="shared" si="30"/>
        <v>6662340</v>
      </c>
      <c r="J264" s="621">
        <f t="shared" si="30"/>
        <v>6787980</v>
      </c>
      <c r="K264" s="621">
        <f t="shared" si="30"/>
        <v>6944496</v>
      </c>
      <c r="L264" s="621">
        <f t="shared" si="30"/>
        <v>7063128</v>
      </c>
      <c r="M264" s="621">
        <f t="shared" si="30"/>
        <v>7212498</v>
      </c>
      <c r="N264" s="621">
        <f t="shared" si="30"/>
        <v>8083333.333333333</v>
      </c>
      <c r="O264" s="621">
        <f t="shared" si="30"/>
        <v>0</v>
      </c>
      <c r="P264" s="621">
        <f t="shared" si="30"/>
        <v>0</v>
      </c>
      <c r="Q264" s="621">
        <f t="shared" si="30"/>
        <v>0</v>
      </c>
      <c r="R264" s="621">
        <f t="shared" si="30"/>
        <v>0</v>
      </c>
      <c r="S264" s="621">
        <f t="shared" si="30"/>
        <v>0</v>
      </c>
      <c r="T264" s="621">
        <f t="shared" si="30"/>
        <v>0</v>
      </c>
      <c r="U264" s="621">
        <f t="shared" si="30"/>
        <v>0</v>
      </c>
      <c r="V264" s="621">
        <f t="shared" si="30"/>
        <v>0</v>
      </c>
    </row>
    <row r="265" spans="1:22" ht="22.5" customHeight="1">
      <c r="A265" s="1329"/>
      <c r="B265" s="625" t="s">
        <v>782</v>
      </c>
      <c r="C265" s="621">
        <f>AVERAGE(C257,C260,C263)</f>
        <v>22733</v>
      </c>
      <c r="D265" s="621">
        <f t="shared" si="30"/>
        <v>31910</v>
      </c>
      <c r="E265" s="621">
        <f t="shared" si="30"/>
        <v>30467.333333333332</v>
      </c>
      <c r="F265" s="621">
        <f t="shared" si="30"/>
        <v>35391.666666666664</v>
      </c>
      <c r="G265" s="621">
        <f t="shared" si="30"/>
        <v>25911</v>
      </c>
      <c r="H265" s="621">
        <f t="shared" si="30"/>
        <v>38001</v>
      </c>
      <c r="I265" s="621">
        <f t="shared" si="30"/>
        <v>36125</v>
      </c>
      <c r="J265" s="621">
        <f t="shared" si="30"/>
        <v>44904.666666666664</v>
      </c>
      <c r="K265" s="621">
        <f t="shared" si="30"/>
        <v>38873.333333333336</v>
      </c>
      <c r="L265" s="621">
        <f t="shared" si="30"/>
        <v>48287.666666666664</v>
      </c>
      <c r="M265" s="621">
        <f t="shared" si="30"/>
        <v>44001</v>
      </c>
      <c r="N265" s="621">
        <f t="shared" si="30"/>
        <v>43286.666666666664</v>
      </c>
      <c r="O265" s="621">
        <f t="shared" si="30"/>
        <v>0</v>
      </c>
      <c r="P265" s="621">
        <f t="shared" si="30"/>
        <v>0</v>
      </c>
      <c r="Q265" s="621">
        <f t="shared" si="30"/>
        <v>0</v>
      </c>
      <c r="R265" s="621">
        <f t="shared" si="30"/>
        <v>0</v>
      </c>
      <c r="S265" s="621">
        <f t="shared" si="30"/>
        <v>0</v>
      </c>
      <c r="T265" s="621">
        <f t="shared" si="30"/>
        <v>0</v>
      </c>
      <c r="U265" s="621">
        <f t="shared" si="30"/>
        <v>0</v>
      </c>
      <c r="V265" s="621">
        <f t="shared" si="30"/>
        <v>0</v>
      </c>
    </row>
    <row r="266" spans="1:22" s="64" customFormat="1" ht="22.5" customHeight="1"/>
    <row r="267" spans="1:22" s="64" customFormat="1" ht="22.5" customHeight="1"/>
    <row r="268" spans="1:22" s="64" customFormat="1" ht="22.5" customHeight="1"/>
    <row r="269" spans="1:22" s="64" customFormat="1" ht="22.5" customHeight="1">
      <c r="C269" s="626"/>
    </row>
    <row r="270" spans="1:22" s="64" customFormat="1" ht="22.5" customHeight="1">
      <c r="C270" s="626"/>
    </row>
    <row r="271" spans="1:22" s="64" customFormat="1" ht="22.5" customHeight="1">
      <c r="C271" s="626"/>
    </row>
    <row r="272" spans="1:22" s="64" customFormat="1" ht="22.5" customHeight="1"/>
    <row r="273" spans="1:46" s="64" customFormat="1" ht="22.5" customHeight="1"/>
    <row r="274" spans="1:46" s="64" customFormat="1" ht="22.5" customHeight="1"/>
    <row r="275" spans="1:46" s="64" customFormat="1" ht="22.5" customHeight="1"/>
    <row r="276" spans="1:46" s="64" customFormat="1" ht="22.5" customHeight="1"/>
    <row r="277" spans="1:46" s="64" customFormat="1" ht="22.5" customHeight="1"/>
    <row r="278" spans="1:46" s="64" customFormat="1" ht="22.5" customHeight="1"/>
    <row r="279" spans="1:46" s="64" customFormat="1" ht="22.5" customHeight="1">
      <c r="A279" s="110"/>
      <c r="B279" s="110"/>
      <c r="C279" s="110"/>
      <c r="D279" s="110"/>
      <c r="E279" s="110"/>
      <c r="F279" s="110"/>
      <c r="G279" s="110"/>
      <c r="H279" s="110"/>
      <c r="I279" s="110"/>
      <c r="J279" s="110"/>
      <c r="K279" s="110"/>
      <c r="L279" s="110"/>
      <c r="M279" s="110"/>
      <c r="N279" s="110"/>
      <c r="O279" s="110"/>
      <c r="P279" s="110"/>
      <c r="Q279" s="110"/>
      <c r="R279" s="110"/>
      <c r="S279" s="110"/>
      <c r="T279" s="110"/>
      <c r="U279" s="110"/>
      <c r="V279" s="110"/>
    </row>
    <row r="280" spans="1:46" s="64" customFormat="1" ht="22.5" customHeight="1">
      <c r="A280" s="1313" t="s">
        <v>783</v>
      </c>
      <c r="B280" s="1313"/>
      <c r="C280" s="1313"/>
      <c r="D280" s="1313"/>
      <c r="E280" s="110"/>
      <c r="F280" s="110"/>
      <c r="G280" s="110"/>
      <c r="H280" s="110"/>
      <c r="I280" s="110"/>
      <c r="J280" s="110"/>
      <c r="K280" s="110"/>
      <c r="L280" s="110"/>
      <c r="M280" s="110"/>
      <c r="N280" s="110"/>
      <c r="O280" s="110"/>
      <c r="P280" s="110"/>
      <c r="Q280" s="110"/>
      <c r="R280" s="110"/>
      <c r="S280" s="110"/>
      <c r="T280" s="110"/>
      <c r="U280" s="110"/>
      <c r="V280" s="110"/>
    </row>
    <row r="281" spans="1:46" s="594" customFormat="1" ht="22.5" customHeight="1">
      <c r="A281" s="110"/>
      <c r="B281" s="1314" t="s">
        <v>747</v>
      </c>
      <c r="C281" s="1314" t="s">
        <v>734</v>
      </c>
      <c r="D281" s="1314"/>
      <c r="E281" s="1314"/>
      <c r="F281" s="1314"/>
      <c r="G281" s="1314" t="s">
        <v>508</v>
      </c>
      <c r="H281" s="1314"/>
      <c r="I281" s="1314"/>
      <c r="J281" s="1314"/>
      <c r="K281" s="1314" t="s">
        <v>510</v>
      </c>
      <c r="L281" s="1314"/>
      <c r="M281" s="1314"/>
      <c r="N281" s="1314"/>
      <c r="O281" s="1314" t="s">
        <v>512</v>
      </c>
      <c r="P281" s="1314"/>
      <c r="Q281" s="1314"/>
      <c r="R281" s="1314"/>
      <c r="S281" s="1314" t="s">
        <v>516</v>
      </c>
      <c r="T281" s="1314"/>
      <c r="U281" s="1314"/>
      <c r="V281" s="1314"/>
      <c r="X281" s="595"/>
    </row>
    <row r="282" spans="1:46" s="594" customFormat="1" ht="22.5" customHeight="1">
      <c r="A282" s="110"/>
      <c r="B282" s="1314"/>
      <c r="C282" s="588" t="s">
        <v>736</v>
      </c>
      <c r="D282" s="588" t="s">
        <v>737</v>
      </c>
      <c r="E282" s="588" t="s">
        <v>738</v>
      </c>
      <c r="F282" s="588" t="s">
        <v>739</v>
      </c>
      <c r="G282" s="588" t="s">
        <v>736</v>
      </c>
      <c r="H282" s="588" t="s">
        <v>737</v>
      </c>
      <c r="I282" s="588" t="s">
        <v>738</v>
      </c>
      <c r="J282" s="588" t="s">
        <v>739</v>
      </c>
      <c r="K282" s="588" t="s">
        <v>736</v>
      </c>
      <c r="L282" s="588" t="s">
        <v>737</v>
      </c>
      <c r="M282" s="588" t="s">
        <v>738</v>
      </c>
      <c r="N282" s="588" t="s">
        <v>739</v>
      </c>
      <c r="O282" s="588" t="s">
        <v>736</v>
      </c>
      <c r="P282" s="588" t="s">
        <v>737</v>
      </c>
      <c r="Q282" s="588" t="s">
        <v>738</v>
      </c>
      <c r="R282" s="588" t="s">
        <v>739</v>
      </c>
      <c r="S282" s="588" t="s">
        <v>736</v>
      </c>
      <c r="T282" s="588" t="s">
        <v>737</v>
      </c>
      <c r="U282" s="588" t="s">
        <v>738</v>
      </c>
      <c r="V282" s="588" t="s">
        <v>739</v>
      </c>
      <c r="X282" s="595"/>
    </row>
    <row r="283" spans="1:46" s="594" customFormat="1" ht="22.5" customHeight="1">
      <c r="A283" s="110"/>
      <c r="B283" s="179" t="s">
        <v>784</v>
      </c>
      <c r="C283" s="747">
        <f>'2. 의사결정 및 경영성과'!E16</f>
        <v>0</v>
      </c>
      <c r="D283" s="747">
        <f>'2. 의사결정 및 경영성과'!H16</f>
        <v>0</v>
      </c>
      <c r="E283" s="747">
        <f>'2. 의사결정 및 경영성과'!K16</f>
        <v>0</v>
      </c>
      <c r="F283" s="747">
        <f>'2. 의사결정 및 경영성과'!N16</f>
        <v>100000000</v>
      </c>
      <c r="G283" s="747">
        <f>'2. 의사결정 및 경영성과'!Q16</f>
        <v>150000000</v>
      </c>
      <c r="H283" s="747">
        <f>'2. 의사결정 및 경영성과'!T16</f>
        <v>250000000</v>
      </c>
      <c r="I283" s="747">
        <f>'2. 의사결정 및 경영성과'!W16</f>
        <v>280000000</v>
      </c>
      <c r="J283" s="747">
        <f>'2. 의사결정 및 경영성과'!Z16</f>
        <v>350000000</v>
      </c>
      <c r="K283" s="747">
        <f>'2. 의사결정 및 경영성과'!AC16</f>
        <v>420000000</v>
      </c>
      <c r="L283" s="747">
        <f>'2. 의사결정 및 경영성과'!AF16</f>
        <v>460000000</v>
      </c>
      <c r="M283" s="747">
        <f>'2. 의사결정 및 경영성과'!AI16</f>
        <v>480000000</v>
      </c>
      <c r="N283" s="747">
        <f>'2. 의사결정 및 경영성과'!AL16</f>
        <v>500000000</v>
      </c>
      <c r="O283" s="613">
        <f>'2. 의사결정 및 경영성과'!AO16</f>
        <v>0</v>
      </c>
      <c r="P283" s="613">
        <f>'2. 의사결정 및 경영성과'!AR16</f>
        <v>0</v>
      </c>
      <c r="Q283" s="613">
        <f>'2. 의사결정 및 경영성과'!AU16</f>
        <v>0</v>
      </c>
      <c r="R283" s="613">
        <f>'2. 의사결정 및 경영성과'!AX16</f>
        <v>0</v>
      </c>
      <c r="S283" s="613">
        <f>'2. 의사결정 및 경영성과'!BA16</f>
        <v>0</v>
      </c>
      <c r="T283" s="613">
        <f>'2. 의사결정 및 경영성과'!BD16</f>
        <v>0</v>
      </c>
      <c r="U283" s="613">
        <f>'2. 의사결정 및 경영성과'!BG16</f>
        <v>0</v>
      </c>
      <c r="V283" s="613">
        <f>'2. 의사결정 및 경영성과'!BJ16</f>
        <v>0</v>
      </c>
      <c r="X283" s="595"/>
    </row>
    <row r="284" spans="1:46" s="64" customFormat="1" ht="22.5" customHeight="1">
      <c r="A284" s="110"/>
      <c r="B284" s="179" t="s">
        <v>785</v>
      </c>
      <c r="C284" s="747">
        <f>'2. 의사결정 및 경영성과'!E66</f>
        <v>7</v>
      </c>
      <c r="D284" s="747">
        <f>'2. 의사결정 및 경영성과'!H66</f>
        <v>7</v>
      </c>
      <c r="E284" s="747">
        <f>'2. 의사결정 및 경영성과'!K66</f>
        <v>6</v>
      </c>
      <c r="F284" s="747">
        <f>'2. 의사결정 및 경영성과'!N66</f>
        <v>6</v>
      </c>
      <c r="G284" s="747">
        <f>'2. 의사결정 및 경영성과'!Q66</f>
        <v>6</v>
      </c>
      <c r="H284" s="747">
        <f>'2. 의사결정 및 경영성과'!T66</f>
        <v>5</v>
      </c>
      <c r="I284" s="747">
        <f>'2. 의사결정 및 경영성과'!W66</f>
        <v>5</v>
      </c>
      <c r="J284" s="747">
        <f>'2. 의사결정 및 경영성과'!Z66</f>
        <v>5</v>
      </c>
      <c r="K284" s="747">
        <f>'2. 의사결정 및 경영성과'!AC66</f>
        <v>4</v>
      </c>
      <c r="L284" s="747">
        <f>'2. 의사결정 및 경영성과'!AF66</f>
        <v>4</v>
      </c>
      <c r="M284" s="747">
        <f>'2. 의사결정 및 경영성과'!AI66</f>
        <v>4</v>
      </c>
      <c r="N284" s="747">
        <f>'2. 의사결정 및 경영성과'!AL66</f>
        <v>4</v>
      </c>
      <c r="O284" s="627">
        <f>'2. 의사결정 및 경영성과'!AO66</f>
        <v>0</v>
      </c>
      <c r="P284" s="627">
        <f>'2. 의사결정 및 경영성과'!AR66</f>
        <v>0</v>
      </c>
      <c r="Q284" s="627">
        <f>'2. 의사결정 및 경영성과'!AU66</f>
        <v>0</v>
      </c>
      <c r="R284" s="627">
        <f>'2. 의사결정 및 경영성과'!AX66</f>
        <v>0</v>
      </c>
      <c r="S284" s="628">
        <f>'2. 의사결정 및 경영성과'!BA66</f>
        <v>0</v>
      </c>
      <c r="T284" s="628">
        <f>'2. 의사결정 및 경영성과'!BD66</f>
        <v>0</v>
      </c>
      <c r="U284" s="628">
        <f>'2. 의사결정 및 경영성과'!BG66</f>
        <v>0</v>
      </c>
      <c r="V284" s="628">
        <f>'2. 의사결정 및 경영성과'!BJ66</f>
        <v>0</v>
      </c>
    </row>
    <row r="285" spans="1:46" s="609" customFormat="1" ht="22.5" customHeight="1">
      <c r="A285" s="110"/>
      <c r="B285" s="610" t="s">
        <v>755</v>
      </c>
      <c r="C285" s="629">
        <f>C$47</f>
        <v>38739</v>
      </c>
      <c r="D285" s="629">
        <f t="shared" ref="D285:V285" si="31">D$47</f>
        <v>49455</v>
      </c>
      <c r="E285" s="629">
        <f t="shared" si="31"/>
        <v>46095</v>
      </c>
      <c r="F285" s="629">
        <f t="shared" si="31"/>
        <v>53923</v>
      </c>
      <c r="G285" s="629">
        <f t="shared" si="31"/>
        <v>38959</v>
      </c>
      <c r="H285" s="629">
        <f t="shared" si="31"/>
        <v>59451</v>
      </c>
      <c r="I285" s="629">
        <f t="shared" si="31"/>
        <v>53746</v>
      </c>
      <c r="J285" s="629">
        <f t="shared" si="31"/>
        <v>73267</v>
      </c>
      <c r="K285" s="629">
        <f t="shared" si="31"/>
        <v>65552</v>
      </c>
      <c r="L285" s="629">
        <f t="shared" si="31"/>
        <v>80232</v>
      </c>
      <c r="M285" s="629">
        <f t="shared" si="31"/>
        <v>69981</v>
      </c>
      <c r="N285" s="629">
        <f t="shared" si="31"/>
        <v>66680</v>
      </c>
      <c r="O285" s="629">
        <f t="shared" si="31"/>
        <v>0</v>
      </c>
      <c r="P285" s="629">
        <f t="shared" si="31"/>
        <v>0</v>
      </c>
      <c r="Q285" s="629">
        <f t="shared" si="31"/>
        <v>0</v>
      </c>
      <c r="R285" s="629">
        <f t="shared" si="31"/>
        <v>0</v>
      </c>
      <c r="S285" s="629">
        <f t="shared" si="31"/>
        <v>0</v>
      </c>
      <c r="T285" s="629">
        <f t="shared" si="31"/>
        <v>0</v>
      </c>
      <c r="U285" s="629">
        <f t="shared" si="31"/>
        <v>0</v>
      </c>
      <c r="V285" s="629">
        <f t="shared" si="31"/>
        <v>0</v>
      </c>
      <c r="W285" s="608"/>
      <c r="X285" s="608"/>
      <c r="Y285" s="608"/>
      <c r="Z285" s="608"/>
      <c r="AA285" s="608"/>
      <c r="AB285" s="608"/>
      <c r="AC285" s="608"/>
      <c r="AD285" s="608"/>
      <c r="AE285" s="608"/>
      <c r="AF285" s="608"/>
      <c r="AG285" s="608"/>
      <c r="AH285" s="608"/>
      <c r="AI285" s="608"/>
      <c r="AJ285" s="608"/>
      <c r="AK285" s="608"/>
      <c r="AL285" s="608"/>
      <c r="AM285" s="608"/>
      <c r="AN285" s="608"/>
      <c r="AO285" s="608"/>
      <c r="AP285" s="608"/>
      <c r="AQ285" s="608"/>
      <c r="AR285" s="608"/>
      <c r="AS285" s="608"/>
      <c r="AT285" s="608"/>
    </row>
    <row r="286" spans="1:46" s="609" customFormat="1" ht="22.5" customHeight="1">
      <c r="A286" s="110"/>
      <c r="B286" s="610" t="s">
        <v>1201</v>
      </c>
      <c r="C286" s="629">
        <f>C$48</f>
        <v>23963</v>
      </c>
      <c r="D286" s="629">
        <f t="shared" ref="D286:V286" si="32">D$48</f>
        <v>32381</v>
      </c>
      <c r="E286" s="629">
        <f t="shared" si="32"/>
        <v>34739</v>
      </c>
      <c r="F286" s="629">
        <f t="shared" si="32"/>
        <v>39025</v>
      </c>
      <c r="G286" s="629">
        <f t="shared" si="32"/>
        <v>34074</v>
      </c>
      <c r="H286" s="629">
        <f t="shared" si="32"/>
        <v>39074</v>
      </c>
      <c r="I286" s="629">
        <f t="shared" si="32"/>
        <v>39354</v>
      </c>
      <c r="J286" s="629">
        <f t="shared" si="32"/>
        <v>40033</v>
      </c>
      <c r="K286" s="629">
        <f t="shared" si="32"/>
        <v>33564</v>
      </c>
      <c r="L286" s="629">
        <f t="shared" si="32"/>
        <v>36277</v>
      </c>
      <c r="M286" s="629">
        <f t="shared" si="32"/>
        <v>33702</v>
      </c>
      <c r="N286" s="629">
        <f t="shared" si="32"/>
        <v>32680</v>
      </c>
      <c r="O286" s="629">
        <f t="shared" si="32"/>
        <v>0</v>
      </c>
      <c r="P286" s="629">
        <f t="shared" si="32"/>
        <v>0</v>
      </c>
      <c r="Q286" s="629">
        <f t="shared" si="32"/>
        <v>0</v>
      </c>
      <c r="R286" s="629">
        <f t="shared" si="32"/>
        <v>0</v>
      </c>
      <c r="S286" s="629">
        <f t="shared" si="32"/>
        <v>0</v>
      </c>
      <c r="T286" s="629">
        <f t="shared" si="32"/>
        <v>0</v>
      </c>
      <c r="U286" s="629">
        <f t="shared" si="32"/>
        <v>0</v>
      </c>
      <c r="V286" s="629">
        <f t="shared" si="32"/>
        <v>0</v>
      </c>
      <c r="W286" s="608"/>
      <c r="X286" s="608"/>
      <c r="Y286" s="608"/>
      <c r="Z286" s="608"/>
      <c r="AA286" s="608"/>
      <c r="AB286" s="608"/>
      <c r="AC286" s="608"/>
      <c r="AD286" s="608"/>
      <c r="AE286" s="608"/>
      <c r="AF286" s="608"/>
      <c r="AG286" s="608"/>
      <c r="AH286" s="608"/>
      <c r="AI286" s="608"/>
      <c r="AJ286" s="608"/>
      <c r="AK286" s="608"/>
      <c r="AL286" s="608"/>
      <c r="AM286" s="608"/>
      <c r="AN286" s="608"/>
      <c r="AO286" s="608"/>
      <c r="AP286" s="608"/>
      <c r="AQ286" s="608"/>
      <c r="AR286" s="608"/>
      <c r="AS286" s="608"/>
      <c r="AT286" s="608"/>
    </row>
    <row r="287" spans="1:46" s="609" customFormat="1" ht="22.5" customHeight="1">
      <c r="A287" s="110"/>
      <c r="B287" s="610" t="s">
        <v>1207</v>
      </c>
      <c r="C287" s="629">
        <f>C$49</f>
        <v>5497</v>
      </c>
      <c r="D287" s="629">
        <f t="shared" ref="D287:V287" si="33">D$49</f>
        <v>13894</v>
      </c>
      <c r="E287" s="629">
        <f t="shared" si="33"/>
        <v>10568</v>
      </c>
      <c r="F287" s="629">
        <f t="shared" si="33"/>
        <v>13227</v>
      </c>
      <c r="G287" s="629">
        <f t="shared" si="33"/>
        <v>4700</v>
      </c>
      <c r="H287" s="629">
        <f t="shared" si="33"/>
        <v>15478</v>
      </c>
      <c r="I287" s="629">
        <f t="shared" si="33"/>
        <v>15275</v>
      </c>
      <c r="J287" s="629">
        <f t="shared" si="33"/>
        <v>21414</v>
      </c>
      <c r="K287" s="629">
        <f t="shared" si="33"/>
        <v>17504</v>
      </c>
      <c r="L287" s="629">
        <f t="shared" si="33"/>
        <v>28354</v>
      </c>
      <c r="M287" s="629">
        <f t="shared" si="33"/>
        <v>28320</v>
      </c>
      <c r="N287" s="629">
        <f t="shared" si="33"/>
        <v>30500</v>
      </c>
      <c r="O287" s="629">
        <f t="shared" si="33"/>
        <v>0</v>
      </c>
      <c r="P287" s="629">
        <f t="shared" si="33"/>
        <v>0</v>
      </c>
      <c r="Q287" s="629">
        <f t="shared" si="33"/>
        <v>0</v>
      </c>
      <c r="R287" s="629">
        <f t="shared" si="33"/>
        <v>0</v>
      </c>
      <c r="S287" s="629">
        <f t="shared" si="33"/>
        <v>0</v>
      </c>
      <c r="T287" s="629">
        <f t="shared" si="33"/>
        <v>0</v>
      </c>
      <c r="U287" s="629">
        <f t="shared" si="33"/>
        <v>0</v>
      </c>
      <c r="V287" s="629">
        <f t="shared" si="33"/>
        <v>0</v>
      </c>
      <c r="W287" s="608"/>
      <c r="X287" s="608"/>
      <c r="Y287" s="608"/>
      <c r="Z287" s="608"/>
      <c r="AA287" s="608"/>
      <c r="AB287" s="608"/>
      <c r="AC287" s="608"/>
      <c r="AD287" s="608"/>
      <c r="AE287" s="608"/>
      <c r="AF287" s="608"/>
      <c r="AG287" s="608"/>
      <c r="AH287" s="608"/>
      <c r="AI287" s="608"/>
      <c r="AJ287" s="608"/>
      <c r="AK287" s="608"/>
      <c r="AL287" s="608"/>
      <c r="AM287" s="608"/>
      <c r="AN287" s="608"/>
      <c r="AO287" s="608"/>
      <c r="AP287" s="608"/>
      <c r="AQ287" s="608"/>
      <c r="AR287" s="608"/>
      <c r="AS287" s="608"/>
      <c r="AT287" s="608"/>
    </row>
    <row r="288" spans="1:46" s="609" customFormat="1" ht="22.5" customHeight="1">
      <c r="A288" s="110"/>
      <c r="B288" s="610" t="s">
        <v>756</v>
      </c>
      <c r="C288" s="629">
        <f>C$50</f>
        <v>68199</v>
      </c>
      <c r="D288" s="629">
        <f t="shared" ref="D288:V288" si="34">D$50</f>
        <v>95730</v>
      </c>
      <c r="E288" s="629">
        <f t="shared" si="34"/>
        <v>91402</v>
      </c>
      <c r="F288" s="629">
        <f t="shared" si="34"/>
        <v>106175</v>
      </c>
      <c r="G288" s="629">
        <f t="shared" si="34"/>
        <v>77733</v>
      </c>
      <c r="H288" s="629">
        <f t="shared" si="34"/>
        <v>114003</v>
      </c>
      <c r="I288" s="629">
        <f t="shared" si="34"/>
        <v>108375</v>
      </c>
      <c r="J288" s="629">
        <f t="shared" si="34"/>
        <v>134714</v>
      </c>
      <c r="K288" s="629">
        <f t="shared" si="34"/>
        <v>116620</v>
      </c>
      <c r="L288" s="629">
        <f t="shared" si="34"/>
        <v>144863</v>
      </c>
      <c r="M288" s="629">
        <f t="shared" si="34"/>
        <v>132003</v>
      </c>
      <c r="N288" s="629">
        <f t="shared" si="34"/>
        <v>129860</v>
      </c>
      <c r="O288" s="629">
        <f t="shared" si="34"/>
        <v>0</v>
      </c>
      <c r="P288" s="629">
        <f t="shared" si="34"/>
        <v>0</v>
      </c>
      <c r="Q288" s="629">
        <f t="shared" si="34"/>
        <v>0</v>
      </c>
      <c r="R288" s="629">
        <f t="shared" si="34"/>
        <v>0</v>
      </c>
      <c r="S288" s="629">
        <f t="shared" si="34"/>
        <v>0</v>
      </c>
      <c r="T288" s="629">
        <f t="shared" si="34"/>
        <v>0</v>
      </c>
      <c r="U288" s="629">
        <f t="shared" si="34"/>
        <v>0</v>
      </c>
      <c r="V288" s="629">
        <f t="shared" si="34"/>
        <v>0</v>
      </c>
      <c r="W288" s="608"/>
      <c r="X288" s="608"/>
      <c r="Y288" s="608"/>
      <c r="Z288" s="608"/>
      <c r="AA288" s="608"/>
      <c r="AB288" s="608"/>
      <c r="AC288" s="608"/>
      <c r="AD288" s="608"/>
      <c r="AE288" s="608"/>
      <c r="AF288" s="608"/>
      <c r="AG288" s="608"/>
      <c r="AH288" s="608"/>
      <c r="AI288" s="608"/>
      <c r="AJ288" s="608"/>
      <c r="AK288" s="608"/>
      <c r="AL288" s="608"/>
      <c r="AM288" s="608"/>
      <c r="AN288" s="608"/>
      <c r="AO288" s="608"/>
      <c r="AP288" s="608"/>
      <c r="AQ288" s="608"/>
      <c r="AR288" s="608"/>
      <c r="AS288" s="608"/>
      <c r="AT288" s="608"/>
    </row>
    <row r="290" spans="1:22" s="64" customFormat="1" ht="22.5" customHeight="1">
      <c r="A290" s="110"/>
      <c r="B290" s="110"/>
      <c r="C290" s="110"/>
      <c r="D290" s="110"/>
      <c r="E290" s="110"/>
      <c r="F290" s="110"/>
      <c r="G290" s="110"/>
      <c r="H290" s="110"/>
      <c r="I290" s="110"/>
      <c r="J290" s="110"/>
      <c r="K290" s="110"/>
      <c r="L290" s="110"/>
      <c r="M290" s="110"/>
      <c r="N290" s="110"/>
      <c r="O290" s="110"/>
      <c r="P290" s="110"/>
      <c r="Q290" s="110"/>
      <c r="R290" s="110"/>
      <c r="S290" s="616"/>
      <c r="T290" s="616"/>
      <c r="U290" s="616"/>
      <c r="V290" s="616"/>
    </row>
    <row r="291" spans="1:22" s="64" customFormat="1" ht="22.5" customHeight="1">
      <c r="A291" s="110"/>
      <c r="B291" s="110"/>
      <c r="C291" s="110"/>
      <c r="D291" s="110"/>
      <c r="E291" s="110"/>
      <c r="F291" s="110"/>
      <c r="G291" s="110"/>
      <c r="H291" s="110"/>
      <c r="I291" s="110"/>
      <c r="J291" s="110"/>
      <c r="K291" s="110"/>
      <c r="L291" s="110"/>
      <c r="M291" s="110"/>
      <c r="N291" s="110"/>
      <c r="O291" s="110"/>
      <c r="P291" s="110"/>
      <c r="Q291" s="110"/>
      <c r="R291" s="110"/>
      <c r="S291" s="616"/>
      <c r="T291" s="616"/>
      <c r="U291" s="616"/>
      <c r="V291" s="616"/>
    </row>
    <row r="292" spans="1:22" s="64" customFormat="1" ht="22.5" customHeight="1">
      <c r="A292" s="110"/>
      <c r="B292" s="110"/>
      <c r="C292" s="110"/>
      <c r="D292" s="110"/>
      <c r="E292" s="110"/>
      <c r="F292" s="110"/>
      <c r="G292" s="110"/>
      <c r="H292" s="110"/>
      <c r="I292" s="110"/>
      <c r="J292" s="110"/>
      <c r="K292" s="110"/>
      <c r="L292" s="110"/>
      <c r="M292" s="110"/>
      <c r="N292" s="110"/>
      <c r="O292" s="110"/>
      <c r="P292" s="110"/>
      <c r="Q292" s="110"/>
      <c r="R292" s="110"/>
      <c r="S292" s="616"/>
      <c r="T292" s="616"/>
      <c r="U292" s="616"/>
      <c r="V292" s="616"/>
    </row>
    <row r="293" spans="1:22" s="64" customFormat="1" ht="22.5" customHeight="1">
      <c r="A293" s="110"/>
      <c r="B293" s="110"/>
      <c r="C293" s="110"/>
      <c r="D293" s="110"/>
      <c r="E293" s="110"/>
      <c r="F293" s="110"/>
      <c r="G293" s="110"/>
      <c r="H293" s="110"/>
      <c r="I293" s="110"/>
      <c r="J293" s="110"/>
      <c r="K293" s="110"/>
      <c r="L293" s="110"/>
      <c r="M293" s="110"/>
      <c r="N293" s="110"/>
      <c r="O293" s="110"/>
      <c r="P293" s="110"/>
      <c r="Q293" s="110"/>
      <c r="R293" s="110"/>
      <c r="S293" s="616"/>
      <c r="T293" s="616"/>
      <c r="U293" s="616"/>
      <c r="V293" s="616"/>
    </row>
    <row r="294" spans="1:22" s="64" customFormat="1" ht="22.5" customHeight="1">
      <c r="A294" s="110"/>
      <c r="B294" s="110"/>
      <c r="C294" s="110"/>
      <c r="D294" s="110"/>
      <c r="E294" s="110"/>
      <c r="F294" s="110"/>
      <c r="G294" s="110"/>
      <c r="H294" s="110"/>
      <c r="I294" s="110"/>
      <c r="J294" s="110"/>
      <c r="K294" s="110"/>
      <c r="L294" s="110"/>
      <c r="M294" s="110"/>
      <c r="N294" s="110"/>
      <c r="O294" s="110"/>
      <c r="P294" s="110"/>
      <c r="Q294" s="110"/>
      <c r="R294" s="110"/>
      <c r="S294" s="616"/>
      <c r="T294" s="616"/>
      <c r="U294" s="616"/>
      <c r="V294" s="616"/>
    </row>
    <row r="295" spans="1:22" s="64" customFormat="1" ht="22.5" customHeight="1">
      <c r="A295" s="110"/>
      <c r="B295" s="110"/>
      <c r="C295" s="110"/>
      <c r="D295" s="110"/>
      <c r="E295" s="110"/>
      <c r="F295" s="110"/>
      <c r="G295" s="110"/>
      <c r="H295" s="110"/>
      <c r="I295" s="110"/>
      <c r="J295" s="110"/>
      <c r="K295" s="110"/>
      <c r="L295" s="110"/>
      <c r="M295" s="110"/>
      <c r="N295" s="110"/>
      <c r="O295" s="110"/>
      <c r="P295" s="110"/>
      <c r="Q295" s="110"/>
      <c r="R295" s="110"/>
      <c r="S295" s="616"/>
      <c r="T295" s="616"/>
      <c r="U295" s="616"/>
      <c r="V295" s="616"/>
    </row>
    <row r="296" spans="1:22" s="64" customFormat="1" ht="22.5" customHeight="1">
      <c r="A296" s="110"/>
      <c r="B296" s="110"/>
      <c r="C296" s="110"/>
      <c r="D296" s="110"/>
      <c r="E296" s="110"/>
      <c r="F296" s="110"/>
      <c r="G296" s="110"/>
      <c r="H296" s="110"/>
      <c r="I296" s="110"/>
      <c r="J296" s="110"/>
      <c r="K296" s="110"/>
      <c r="L296" s="110"/>
      <c r="M296" s="110"/>
      <c r="N296" s="110"/>
      <c r="O296" s="110"/>
      <c r="P296" s="110"/>
      <c r="Q296" s="110"/>
      <c r="R296" s="110"/>
      <c r="S296" s="616"/>
      <c r="T296" s="616"/>
      <c r="U296" s="616"/>
      <c r="V296" s="616"/>
    </row>
    <row r="297" spans="1:22" s="64" customFormat="1" ht="22.5" customHeight="1">
      <c r="A297" s="110"/>
      <c r="B297" s="110"/>
      <c r="C297" s="110"/>
      <c r="D297" s="110"/>
      <c r="E297" s="110"/>
      <c r="F297" s="110"/>
      <c r="G297" s="110"/>
      <c r="H297" s="110"/>
      <c r="I297" s="110"/>
      <c r="J297" s="110"/>
      <c r="K297" s="110"/>
      <c r="L297" s="110"/>
      <c r="M297" s="110"/>
      <c r="N297" s="110"/>
      <c r="O297" s="110"/>
      <c r="P297" s="110"/>
      <c r="Q297" s="110"/>
      <c r="R297" s="110"/>
      <c r="S297" s="616"/>
      <c r="T297" s="616"/>
      <c r="U297" s="616"/>
      <c r="V297" s="616"/>
    </row>
    <row r="298" spans="1:22" s="64" customFormat="1" ht="22.5" customHeight="1">
      <c r="A298" s="110"/>
      <c r="B298" s="110"/>
      <c r="C298" s="110"/>
      <c r="D298" s="110"/>
      <c r="E298" s="110"/>
      <c r="F298" s="110"/>
      <c r="G298" s="110"/>
      <c r="H298" s="110"/>
      <c r="I298" s="110"/>
      <c r="J298" s="110"/>
      <c r="K298" s="110"/>
      <c r="L298" s="110"/>
      <c r="M298" s="110"/>
      <c r="N298" s="110"/>
      <c r="O298" s="110"/>
      <c r="P298" s="110"/>
      <c r="Q298" s="110"/>
      <c r="R298" s="110"/>
      <c r="S298" s="616"/>
      <c r="T298" s="616"/>
      <c r="U298" s="616"/>
      <c r="V298" s="616"/>
    </row>
    <row r="299" spans="1:22" ht="22.5" customHeight="1">
      <c r="S299" s="616"/>
      <c r="T299" s="616"/>
      <c r="U299" s="616"/>
      <c r="V299" s="616"/>
    </row>
    <row r="300" spans="1:22" ht="22.5" customHeight="1">
      <c r="S300" s="616"/>
      <c r="T300" s="616"/>
      <c r="U300" s="616"/>
      <c r="V300" s="616"/>
    </row>
    <row r="301" spans="1:22" ht="22.5" customHeight="1">
      <c r="S301" s="616"/>
      <c r="T301" s="616"/>
      <c r="U301" s="616"/>
      <c r="V301" s="616"/>
    </row>
    <row r="302" spans="1:22" ht="22.5" customHeight="1">
      <c r="S302" s="616"/>
      <c r="T302" s="616"/>
      <c r="U302" s="616"/>
      <c r="V302" s="616"/>
    </row>
    <row r="303" spans="1:22" ht="22.5" customHeight="1">
      <c r="S303" s="616"/>
      <c r="T303" s="616"/>
      <c r="U303" s="616"/>
      <c r="V303" s="616"/>
    </row>
    <row r="304" spans="1:22" ht="25.5" customHeight="1">
      <c r="A304" s="630"/>
      <c r="B304" s="630"/>
      <c r="C304" s="630"/>
      <c r="D304" s="630"/>
      <c r="E304" s="630"/>
    </row>
    <row r="305" spans="1:46" s="64" customFormat="1" ht="22.5" customHeight="1">
      <c r="A305" s="1313" t="s">
        <v>1151</v>
      </c>
      <c r="B305" s="1313"/>
      <c r="C305" s="1313"/>
      <c r="D305" s="1313"/>
      <c r="E305" s="110"/>
      <c r="F305" s="110"/>
      <c r="G305" s="110"/>
      <c r="H305" s="110"/>
      <c r="I305" s="110"/>
      <c r="J305" s="110"/>
      <c r="K305" s="110"/>
      <c r="L305" s="110"/>
      <c r="M305" s="110"/>
      <c r="N305" s="110"/>
      <c r="O305" s="110"/>
      <c r="P305" s="110"/>
      <c r="Q305" s="110"/>
      <c r="R305" s="110"/>
      <c r="S305" s="110"/>
      <c r="T305" s="110"/>
      <c r="U305" s="110"/>
      <c r="V305" s="110"/>
    </row>
    <row r="306" spans="1:46" s="594" customFormat="1" ht="22.5" customHeight="1">
      <c r="A306" s="110"/>
      <c r="B306" s="1314" t="s">
        <v>747</v>
      </c>
      <c r="C306" s="1314" t="s">
        <v>734</v>
      </c>
      <c r="D306" s="1314"/>
      <c r="E306" s="1314"/>
      <c r="F306" s="1314"/>
      <c r="G306" s="1314" t="s">
        <v>508</v>
      </c>
      <c r="H306" s="1314"/>
      <c r="I306" s="1314"/>
      <c r="J306" s="1314"/>
      <c r="K306" s="1314" t="s">
        <v>510</v>
      </c>
      <c r="L306" s="1314"/>
      <c r="M306" s="1314"/>
      <c r="N306" s="1314"/>
      <c r="O306" s="1314" t="s">
        <v>512</v>
      </c>
      <c r="P306" s="1314"/>
      <c r="Q306" s="1314"/>
      <c r="R306" s="1314"/>
      <c r="S306" s="1314" t="s">
        <v>516</v>
      </c>
      <c r="T306" s="1314"/>
      <c r="U306" s="1314"/>
      <c r="V306" s="1314"/>
      <c r="X306" s="595"/>
    </row>
    <row r="307" spans="1:46" s="594" customFormat="1" ht="22.5" customHeight="1">
      <c r="A307" s="110"/>
      <c r="B307" s="1314"/>
      <c r="C307" s="588" t="s">
        <v>736</v>
      </c>
      <c r="D307" s="588" t="s">
        <v>737</v>
      </c>
      <c r="E307" s="588" t="s">
        <v>738</v>
      </c>
      <c r="F307" s="588" t="s">
        <v>739</v>
      </c>
      <c r="G307" s="588" t="s">
        <v>736</v>
      </c>
      <c r="H307" s="588" t="s">
        <v>737</v>
      </c>
      <c r="I307" s="588" t="s">
        <v>738</v>
      </c>
      <c r="J307" s="588" t="s">
        <v>739</v>
      </c>
      <c r="K307" s="588" t="s">
        <v>736</v>
      </c>
      <c r="L307" s="588" t="s">
        <v>737</v>
      </c>
      <c r="M307" s="588" t="s">
        <v>738</v>
      </c>
      <c r="N307" s="588" t="s">
        <v>739</v>
      </c>
      <c r="O307" s="588" t="s">
        <v>736</v>
      </c>
      <c r="P307" s="588" t="s">
        <v>737</v>
      </c>
      <c r="Q307" s="588" t="s">
        <v>738</v>
      </c>
      <c r="R307" s="588" t="s">
        <v>739</v>
      </c>
      <c r="S307" s="588" t="s">
        <v>736</v>
      </c>
      <c r="T307" s="588" t="s">
        <v>737</v>
      </c>
      <c r="U307" s="588" t="s">
        <v>738</v>
      </c>
      <c r="V307" s="588" t="s">
        <v>739</v>
      </c>
      <c r="X307" s="595"/>
    </row>
    <row r="308" spans="1:46" s="594" customFormat="1" ht="22.5" customHeight="1">
      <c r="A308" s="110"/>
      <c r="B308" s="179" t="s">
        <v>1150</v>
      </c>
      <c r="C308" s="747">
        <f>'2. 의사결정 및 경영성과'!E38</f>
        <v>640000000</v>
      </c>
      <c r="D308" s="747">
        <f>'2. 의사결정 및 경영성과'!H38</f>
        <v>650000000</v>
      </c>
      <c r="E308" s="747">
        <f>'2. 의사결정 및 경영성과'!K38</f>
        <v>750000000</v>
      </c>
      <c r="F308" s="747">
        <f>'2. 의사결정 및 경영성과'!N38</f>
        <v>810000000</v>
      </c>
      <c r="G308" s="747">
        <f>'2. 의사결정 및 경영성과'!Q38</f>
        <v>920000000</v>
      </c>
      <c r="H308" s="747">
        <f>'2. 의사결정 및 경영성과'!T38</f>
        <v>980000000</v>
      </c>
      <c r="I308" s="747">
        <f>'2. 의사결정 및 경영성과'!W38</f>
        <v>1000000000</v>
      </c>
      <c r="J308" s="747">
        <f>'2. 의사결정 및 경영성과'!AF38</f>
        <v>1100000000</v>
      </c>
      <c r="K308" s="747">
        <f>'2. 의사결정 및 경영성과'!AC38</f>
        <v>1080000000</v>
      </c>
      <c r="L308" s="747">
        <f>'2. 의사결정 및 경영성과'!AF38</f>
        <v>1100000000</v>
      </c>
      <c r="M308" s="747">
        <f>'2. 의사결정 및 경영성과'!AI38</f>
        <v>1160000000</v>
      </c>
      <c r="N308" s="747">
        <f>'2. 의사결정 및 경영성과'!AL38</f>
        <v>1200000000</v>
      </c>
      <c r="O308" s="629">
        <f>'2. 의사결정 및 경영성과'!AO38</f>
        <v>0</v>
      </c>
      <c r="P308" s="629">
        <f>'2. 의사결정 및 경영성과'!AR38</f>
        <v>0</v>
      </c>
      <c r="Q308" s="629">
        <f>'2. 의사결정 및 경영성과'!AU38</f>
        <v>0</v>
      </c>
      <c r="R308" s="629">
        <f>'2. 의사결정 및 경영성과'!AX38</f>
        <v>0</v>
      </c>
      <c r="S308" s="629">
        <f>'2. 의사결정 및 경영성과'!BA38</f>
        <v>0</v>
      </c>
      <c r="T308" s="629">
        <f>'3. 기초 분석 자료'!BD38</f>
        <v>0</v>
      </c>
      <c r="U308" s="629">
        <f>'2. 의사결정 및 경영성과'!BG38</f>
        <v>0</v>
      </c>
      <c r="V308" s="629">
        <f>'2. 의사결정 및 경영성과'!BJ38</f>
        <v>0</v>
      </c>
      <c r="X308" s="595"/>
    </row>
    <row r="309" spans="1:46" s="64" customFormat="1" ht="22.5" customHeight="1">
      <c r="A309" s="110"/>
      <c r="B309" s="179" t="s">
        <v>787</v>
      </c>
      <c r="C309" s="747">
        <f>'2. 의사결정 및 경영성과'!E77</f>
        <v>7</v>
      </c>
      <c r="D309" s="747">
        <f>'2. 의사결정 및 경영성과'!H77</f>
        <v>7</v>
      </c>
      <c r="E309" s="747">
        <f>'2. 의사결정 및 경영성과'!K77</f>
        <v>7</v>
      </c>
      <c r="F309" s="747">
        <f>'2. 의사결정 및 경영성과'!N77</f>
        <v>6</v>
      </c>
      <c r="G309" s="747">
        <f>'2. 의사결정 및 경영성과'!Q77</f>
        <v>6</v>
      </c>
      <c r="H309" s="747">
        <f>'2. 의사결정 및 경영성과'!T77</f>
        <v>5</v>
      </c>
      <c r="I309" s="747">
        <f>'2. 의사결정 및 경영성과'!W77</f>
        <v>5</v>
      </c>
      <c r="J309" s="747">
        <f>'2. 의사결정 및 경영성과'!Z77</f>
        <v>5</v>
      </c>
      <c r="K309" s="747">
        <f>'2. 의사결정 및 경영성과'!AC79</f>
        <v>5</v>
      </c>
      <c r="L309" s="747">
        <f>'2. 의사결정 및 경영성과'!AF79</f>
        <v>4</v>
      </c>
      <c r="M309" s="747">
        <f>'2. 의사결정 및 경영성과'!AI77</f>
        <v>4</v>
      </c>
      <c r="N309" s="747">
        <f>'2. 의사결정 및 경영성과'!AL77</f>
        <v>4</v>
      </c>
      <c r="O309" s="629">
        <f>'2. 의사결정 및 경영성과'!AO77</f>
        <v>0</v>
      </c>
      <c r="P309" s="629">
        <f>'2. 의사결정 및 경영성과'!AR77</f>
        <v>0</v>
      </c>
      <c r="Q309" s="629">
        <f>'2. 의사결정 및 경영성과'!AU77</f>
        <v>0</v>
      </c>
      <c r="R309" s="629">
        <f>'2. 의사결정 및 경영성과'!AX77</f>
        <v>0</v>
      </c>
      <c r="S309" s="629">
        <f>'2. 의사결정 및 경영성과'!BA77</f>
        <v>0</v>
      </c>
      <c r="T309" s="629">
        <f>'2. 의사결정 및 경영성과'!BD77</f>
        <v>0</v>
      </c>
      <c r="U309" s="629">
        <f>'2. 의사결정 및 경영성과'!BG77</f>
        <v>0</v>
      </c>
      <c r="V309" s="629">
        <f>'2. 의사결정 및 경영성과'!BJ77</f>
        <v>0</v>
      </c>
    </row>
    <row r="310" spans="1:46" s="609" customFormat="1" ht="22.5" customHeight="1">
      <c r="A310" s="110"/>
      <c r="B310" s="610" t="s">
        <v>755</v>
      </c>
      <c r="C310" s="629">
        <f>C$47</f>
        <v>38739</v>
      </c>
      <c r="D310" s="629">
        <f t="shared" ref="D310:V310" si="35">D$47</f>
        <v>49455</v>
      </c>
      <c r="E310" s="629">
        <f t="shared" si="35"/>
        <v>46095</v>
      </c>
      <c r="F310" s="629">
        <f t="shared" si="35"/>
        <v>53923</v>
      </c>
      <c r="G310" s="629">
        <f t="shared" si="35"/>
        <v>38959</v>
      </c>
      <c r="H310" s="629">
        <f t="shared" si="35"/>
        <v>59451</v>
      </c>
      <c r="I310" s="629">
        <f t="shared" si="35"/>
        <v>53746</v>
      </c>
      <c r="J310" s="629">
        <f t="shared" si="35"/>
        <v>73267</v>
      </c>
      <c r="K310" s="629">
        <f t="shared" si="35"/>
        <v>65552</v>
      </c>
      <c r="L310" s="629">
        <f t="shared" si="35"/>
        <v>80232</v>
      </c>
      <c r="M310" s="629">
        <f t="shared" si="35"/>
        <v>69981</v>
      </c>
      <c r="N310" s="629">
        <f t="shared" si="35"/>
        <v>66680</v>
      </c>
      <c r="O310" s="629">
        <f t="shared" si="35"/>
        <v>0</v>
      </c>
      <c r="P310" s="629">
        <f t="shared" si="35"/>
        <v>0</v>
      </c>
      <c r="Q310" s="629">
        <f t="shared" si="35"/>
        <v>0</v>
      </c>
      <c r="R310" s="629">
        <f t="shared" si="35"/>
        <v>0</v>
      </c>
      <c r="S310" s="629">
        <f t="shared" si="35"/>
        <v>0</v>
      </c>
      <c r="T310" s="629">
        <f t="shared" si="35"/>
        <v>0</v>
      </c>
      <c r="U310" s="629">
        <f t="shared" si="35"/>
        <v>0</v>
      </c>
      <c r="V310" s="629">
        <f t="shared" si="35"/>
        <v>0</v>
      </c>
      <c r="W310" s="608"/>
      <c r="X310" s="608"/>
      <c r="Y310" s="608"/>
      <c r="Z310" s="608"/>
      <c r="AA310" s="608"/>
      <c r="AB310" s="608"/>
      <c r="AC310" s="608"/>
      <c r="AD310" s="608"/>
      <c r="AE310" s="608"/>
      <c r="AF310" s="608"/>
      <c r="AG310" s="608"/>
      <c r="AH310" s="608"/>
      <c r="AI310" s="608"/>
      <c r="AJ310" s="608"/>
      <c r="AK310" s="608"/>
      <c r="AL310" s="608"/>
      <c r="AM310" s="608"/>
      <c r="AN310" s="608"/>
      <c r="AO310" s="608"/>
      <c r="AP310" s="608"/>
      <c r="AQ310" s="608"/>
      <c r="AR310" s="608"/>
      <c r="AS310" s="608"/>
      <c r="AT310" s="608"/>
    </row>
    <row r="311" spans="1:46" s="609" customFormat="1" ht="22.5" customHeight="1">
      <c r="A311" s="110"/>
      <c r="B311" s="610" t="s">
        <v>1201</v>
      </c>
      <c r="C311" s="629">
        <f>C$48</f>
        <v>23963</v>
      </c>
      <c r="D311" s="629">
        <f t="shared" ref="D311:V311" si="36">D$48</f>
        <v>32381</v>
      </c>
      <c r="E311" s="629">
        <f t="shared" si="36"/>
        <v>34739</v>
      </c>
      <c r="F311" s="629">
        <f t="shared" si="36"/>
        <v>39025</v>
      </c>
      <c r="G311" s="629">
        <f t="shared" si="36"/>
        <v>34074</v>
      </c>
      <c r="H311" s="629">
        <f t="shared" si="36"/>
        <v>39074</v>
      </c>
      <c r="I311" s="629">
        <f t="shared" si="36"/>
        <v>39354</v>
      </c>
      <c r="J311" s="629">
        <f t="shared" si="36"/>
        <v>40033</v>
      </c>
      <c r="K311" s="629">
        <f t="shared" si="36"/>
        <v>33564</v>
      </c>
      <c r="L311" s="629">
        <f t="shared" si="36"/>
        <v>36277</v>
      </c>
      <c r="M311" s="629">
        <f t="shared" si="36"/>
        <v>33702</v>
      </c>
      <c r="N311" s="629">
        <f t="shared" si="36"/>
        <v>32680</v>
      </c>
      <c r="O311" s="629">
        <f t="shared" si="36"/>
        <v>0</v>
      </c>
      <c r="P311" s="629">
        <f t="shared" si="36"/>
        <v>0</v>
      </c>
      <c r="Q311" s="629">
        <f t="shared" si="36"/>
        <v>0</v>
      </c>
      <c r="R311" s="629">
        <f t="shared" si="36"/>
        <v>0</v>
      </c>
      <c r="S311" s="629">
        <f t="shared" si="36"/>
        <v>0</v>
      </c>
      <c r="T311" s="629">
        <f t="shared" si="36"/>
        <v>0</v>
      </c>
      <c r="U311" s="629">
        <f t="shared" si="36"/>
        <v>0</v>
      </c>
      <c r="V311" s="629">
        <f t="shared" si="36"/>
        <v>0</v>
      </c>
      <c r="W311" s="608"/>
      <c r="X311" s="608"/>
      <c r="Y311" s="608"/>
      <c r="Z311" s="608"/>
      <c r="AA311" s="608"/>
      <c r="AB311" s="608"/>
      <c r="AC311" s="608"/>
      <c r="AD311" s="608"/>
      <c r="AE311" s="608"/>
      <c r="AF311" s="608"/>
      <c r="AG311" s="608"/>
      <c r="AH311" s="608"/>
      <c r="AI311" s="608"/>
      <c r="AJ311" s="608"/>
      <c r="AK311" s="608"/>
      <c r="AL311" s="608"/>
      <c r="AM311" s="608"/>
      <c r="AN311" s="608"/>
      <c r="AO311" s="608"/>
      <c r="AP311" s="608"/>
      <c r="AQ311" s="608"/>
      <c r="AR311" s="608"/>
      <c r="AS311" s="608"/>
      <c r="AT311" s="608"/>
    </row>
    <row r="312" spans="1:46" s="609" customFormat="1" ht="22.5" customHeight="1">
      <c r="A312" s="110"/>
      <c r="B312" s="610" t="s">
        <v>1207</v>
      </c>
      <c r="C312" s="629">
        <f>C$49</f>
        <v>5497</v>
      </c>
      <c r="D312" s="629">
        <f t="shared" ref="D312:V312" si="37">D$49</f>
        <v>13894</v>
      </c>
      <c r="E312" s="629">
        <f t="shared" si="37"/>
        <v>10568</v>
      </c>
      <c r="F312" s="629">
        <f t="shared" si="37"/>
        <v>13227</v>
      </c>
      <c r="G312" s="629">
        <f t="shared" si="37"/>
        <v>4700</v>
      </c>
      <c r="H312" s="629">
        <f t="shared" si="37"/>
        <v>15478</v>
      </c>
      <c r="I312" s="629">
        <f t="shared" si="37"/>
        <v>15275</v>
      </c>
      <c r="J312" s="629">
        <f t="shared" si="37"/>
        <v>21414</v>
      </c>
      <c r="K312" s="629">
        <f t="shared" si="37"/>
        <v>17504</v>
      </c>
      <c r="L312" s="629">
        <f t="shared" si="37"/>
        <v>28354</v>
      </c>
      <c r="M312" s="629">
        <f t="shared" si="37"/>
        <v>28320</v>
      </c>
      <c r="N312" s="629">
        <f t="shared" si="37"/>
        <v>30500</v>
      </c>
      <c r="O312" s="629">
        <f t="shared" si="37"/>
        <v>0</v>
      </c>
      <c r="P312" s="629">
        <f t="shared" si="37"/>
        <v>0</v>
      </c>
      <c r="Q312" s="629">
        <f t="shared" si="37"/>
        <v>0</v>
      </c>
      <c r="R312" s="629">
        <f t="shared" si="37"/>
        <v>0</v>
      </c>
      <c r="S312" s="629">
        <f t="shared" si="37"/>
        <v>0</v>
      </c>
      <c r="T312" s="629">
        <f t="shared" si="37"/>
        <v>0</v>
      </c>
      <c r="U312" s="629">
        <f t="shared" si="37"/>
        <v>0</v>
      </c>
      <c r="V312" s="629">
        <f t="shared" si="37"/>
        <v>0</v>
      </c>
      <c r="W312" s="608"/>
      <c r="X312" s="608"/>
      <c r="Y312" s="608"/>
      <c r="Z312" s="608"/>
      <c r="AA312" s="608"/>
      <c r="AB312" s="608"/>
      <c r="AC312" s="608"/>
      <c r="AD312" s="608"/>
      <c r="AE312" s="608"/>
      <c r="AF312" s="608"/>
      <c r="AG312" s="608"/>
      <c r="AH312" s="608"/>
      <c r="AI312" s="608"/>
      <c r="AJ312" s="608"/>
      <c r="AK312" s="608"/>
      <c r="AL312" s="608"/>
      <c r="AM312" s="608"/>
      <c r="AN312" s="608"/>
      <c r="AO312" s="608"/>
      <c r="AP312" s="608"/>
      <c r="AQ312" s="608"/>
      <c r="AR312" s="608"/>
      <c r="AS312" s="608"/>
      <c r="AT312" s="608"/>
    </row>
    <row r="313" spans="1:46" s="609" customFormat="1" ht="22.5" customHeight="1">
      <c r="A313" s="110"/>
      <c r="B313" s="610" t="s">
        <v>756</v>
      </c>
      <c r="C313" s="629">
        <f>C$50</f>
        <v>68199</v>
      </c>
      <c r="D313" s="629">
        <f t="shared" ref="D313:V313" si="38">D$50</f>
        <v>95730</v>
      </c>
      <c r="E313" s="629">
        <f t="shared" si="38"/>
        <v>91402</v>
      </c>
      <c r="F313" s="629">
        <f t="shared" si="38"/>
        <v>106175</v>
      </c>
      <c r="G313" s="629">
        <f t="shared" si="38"/>
        <v>77733</v>
      </c>
      <c r="H313" s="629">
        <f t="shared" si="38"/>
        <v>114003</v>
      </c>
      <c r="I313" s="629">
        <f t="shared" si="38"/>
        <v>108375</v>
      </c>
      <c r="J313" s="629">
        <f t="shared" si="38"/>
        <v>134714</v>
      </c>
      <c r="K313" s="629">
        <f t="shared" si="38"/>
        <v>116620</v>
      </c>
      <c r="L313" s="629">
        <f t="shared" si="38"/>
        <v>144863</v>
      </c>
      <c r="M313" s="629">
        <f t="shared" si="38"/>
        <v>132003</v>
      </c>
      <c r="N313" s="629">
        <f t="shared" si="38"/>
        <v>129860</v>
      </c>
      <c r="O313" s="629">
        <f t="shared" si="38"/>
        <v>0</v>
      </c>
      <c r="P313" s="629">
        <f t="shared" si="38"/>
        <v>0</v>
      </c>
      <c r="Q313" s="629">
        <f t="shared" si="38"/>
        <v>0</v>
      </c>
      <c r="R313" s="629">
        <f t="shared" si="38"/>
        <v>0</v>
      </c>
      <c r="S313" s="629">
        <f t="shared" si="38"/>
        <v>0</v>
      </c>
      <c r="T313" s="629">
        <f t="shared" si="38"/>
        <v>0</v>
      </c>
      <c r="U313" s="629">
        <f t="shared" si="38"/>
        <v>0</v>
      </c>
      <c r="V313" s="629">
        <f t="shared" si="38"/>
        <v>0</v>
      </c>
      <c r="W313" s="608"/>
      <c r="X313" s="608"/>
      <c r="Y313" s="608"/>
      <c r="Z313" s="608"/>
      <c r="AA313" s="608"/>
      <c r="AB313" s="608"/>
      <c r="AC313" s="608"/>
      <c r="AD313" s="608"/>
      <c r="AE313" s="608"/>
      <c r="AF313" s="608"/>
      <c r="AG313" s="608"/>
      <c r="AH313" s="608"/>
      <c r="AI313" s="608"/>
      <c r="AJ313" s="608"/>
      <c r="AK313" s="608"/>
      <c r="AL313" s="608"/>
      <c r="AM313" s="608"/>
      <c r="AN313" s="608"/>
      <c r="AO313" s="608"/>
      <c r="AP313" s="608"/>
      <c r="AQ313" s="608"/>
      <c r="AR313" s="608"/>
      <c r="AS313" s="608"/>
      <c r="AT313" s="608"/>
    </row>
    <row r="315" spans="1:46" s="64" customFormat="1" ht="22.5" customHeight="1">
      <c r="A315" s="110"/>
      <c r="B315" s="110"/>
      <c r="C315" s="110"/>
      <c r="D315" s="110"/>
      <c r="E315" s="110"/>
      <c r="F315" s="110"/>
      <c r="G315" s="110"/>
      <c r="H315" s="110"/>
      <c r="I315" s="110"/>
      <c r="J315" s="110"/>
      <c r="K315" s="110"/>
      <c r="L315" s="110"/>
      <c r="M315" s="110"/>
      <c r="N315" s="110"/>
      <c r="O315" s="110"/>
      <c r="P315" s="110"/>
      <c r="Q315" s="110"/>
      <c r="R315" s="110"/>
      <c r="S315" s="616"/>
      <c r="T315" s="616"/>
      <c r="U315" s="616"/>
      <c r="V315" s="616"/>
    </row>
    <row r="316" spans="1:46" s="64" customFormat="1" ht="22.5" customHeight="1">
      <c r="A316" s="110"/>
      <c r="B316" s="110"/>
      <c r="C316" s="110"/>
      <c r="D316" s="110"/>
      <c r="E316" s="110"/>
      <c r="F316" s="110"/>
      <c r="G316" s="110"/>
      <c r="H316" s="110"/>
      <c r="I316" s="110"/>
      <c r="J316" s="110"/>
      <c r="K316" s="110"/>
      <c r="L316" s="110"/>
      <c r="M316" s="110"/>
      <c r="N316" s="110"/>
      <c r="O316" s="110"/>
      <c r="P316" s="110"/>
      <c r="Q316" s="110"/>
      <c r="R316" s="110"/>
      <c r="S316" s="616"/>
      <c r="T316" s="616"/>
      <c r="U316" s="616"/>
      <c r="V316" s="616"/>
    </row>
    <row r="317" spans="1:46" s="64" customFormat="1" ht="22.5" customHeight="1">
      <c r="A317" s="110"/>
      <c r="B317" s="110"/>
      <c r="C317" s="110"/>
      <c r="D317" s="110"/>
      <c r="E317" s="110"/>
      <c r="F317" s="110"/>
      <c r="G317" s="110"/>
      <c r="H317" s="110"/>
      <c r="I317" s="110"/>
      <c r="J317" s="110"/>
      <c r="K317" s="110"/>
      <c r="L317" s="110"/>
      <c r="M317" s="110"/>
      <c r="N317" s="110"/>
      <c r="O317" s="110"/>
      <c r="P317" s="110"/>
      <c r="Q317" s="110"/>
      <c r="R317" s="110"/>
      <c r="S317" s="616"/>
      <c r="T317" s="616"/>
      <c r="U317" s="616"/>
      <c r="V317" s="616"/>
    </row>
    <row r="318" spans="1:46" s="64" customFormat="1" ht="22.5" customHeight="1">
      <c r="A318" s="110"/>
      <c r="B318" s="110"/>
      <c r="C318" s="110"/>
      <c r="D318" s="110"/>
      <c r="E318" s="110"/>
      <c r="F318" s="110"/>
      <c r="G318" s="110"/>
      <c r="H318" s="110"/>
      <c r="I318" s="110"/>
      <c r="J318" s="110"/>
      <c r="K318" s="110"/>
      <c r="L318" s="110"/>
      <c r="M318" s="110"/>
      <c r="N318" s="110"/>
      <c r="O318" s="110"/>
      <c r="P318" s="110"/>
      <c r="Q318" s="110"/>
      <c r="R318" s="110"/>
      <c r="S318" s="616"/>
      <c r="T318" s="616"/>
      <c r="U318" s="616"/>
      <c r="V318" s="616"/>
    </row>
    <row r="319" spans="1:46" s="64" customFormat="1" ht="22.5" customHeight="1">
      <c r="A319" s="110"/>
      <c r="B319" s="110"/>
      <c r="C319" s="110"/>
      <c r="D319" s="110"/>
      <c r="E319" s="110"/>
      <c r="F319" s="110"/>
      <c r="G319" s="110"/>
      <c r="H319" s="110"/>
      <c r="I319" s="110"/>
      <c r="J319" s="110"/>
      <c r="K319" s="110"/>
      <c r="L319" s="110"/>
      <c r="M319" s="110"/>
      <c r="N319" s="110"/>
      <c r="O319" s="110"/>
      <c r="P319" s="110"/>
      <c r="Q319" s="110"/>
      <c r="R319" s="110"/>
      <c r="S319" s="616"/>
      <c r="T319" s="616"/>
      <c r="U319" s="616"/>
      <c r="V319" s="616"/>
    </row>
    <row r="320" spans="1:46" s="64" customFormat="1" ht="22.5" customHeight="1">
      <c r="A320" s="110"/>
      <c r="B320" s="110"/>
      <c r="C320" s="110"/>
      <c r="D320" s="110"/>
      <c r="E320" s="110"/>
      <c r="F320" s="110"/>
      <c r="G320" s="110"/>
      <c r="H320" s="110"/>
      <c r="I320" s="110"/>
      <c r="J320" s="110"/>
      <c r="K320" s="110"/>
      <c r="L320" s="110"/>
      <c r="M320" s="110"/>
      <c r="N320" s="110"/>
      <c r="O320" s="110"/>
      <c r="P320" s="110"/>
      <c r="Q320" s="110"/>
      <c r="R320" s="110"/>
      <c r="S320" s="616"/>
      <c r="T320" s="616"/>
      <c r="U320" s="616"/>
      <c r="V320" s="616"/>
    </row>
    <row r="321" spans="1:24" s="64" customFormat="1" ht="22.5" customHeight="1">
      <c r="A321" s="110"/>
      <c r="B321" s="110"/>
      <c r="C321" s="110"/>
      <c r="D321" s="110"/>
      <c r="E321" s="110"/>
      <c r="F321" s="110"/>
      <c r="G321" s="110"/>
      <c r="H321" s="110"/>
      <c r="I321" s="110"/>
      <c r="J321" s="110"/>
      <c r="K321" s="110"/>
      <c r="L321" s="110"/>
      <c r="M321" s="110"/>
      <c r="N321" s="110"/>
      <c r="O321" s="110"/>
      <c r="P321" s="110"/>
      <c r="Q321" s="110"/>
      <c r="R321" s="110"/>
      <c r="S321" s="616"/>
      <c r="T321" s="616"/>
      <c r="U321" s="616"/>
      <c r="V321" s="616"/>
    </row>
    <row r="322" spans="1:24" s="64" customFormat="1" ht="22.5" customHeight="1">
      <c r="A322" s="110"/>
      <c r="B322" s="110"/>
      <c r="C322" s="110"/>
      <c r="D322" s="110"/>
      <c r="E322" s="110"/>
      <c r="F322" s="110"/>
      <c r="G322" s="110"/>
      <c r="H322" s="110"/>
      <c r="I322" s="110"/>
      <c r="J322" s="110"/>
      <c r="K322" s="110"/>
      <c r="L322" s="110"/>
      <c r="M322" s="110"/>
      <c r="N322" s="110"/>
      <c r="O322" s="110"/>
      <c r="P322" s="110"/>
      <c r="Q322" s="110"/>
      <c r="R322" s="110"/>
      <c r="S322" s="616"/>
      <c r="T322" s="616"/>
      <c r="U322" s="616"/>
      <c r="V322" s="616"/>
    </row>
    <row r="323" spans="1:24" s="64" customFormat="1" ht="22.5" customHeight="1">
      <c r="A323" s="110"/>
      <c r="B323" s="110"/>
      <c r="C323" s="110"/>
      <c r="D323" s="110"/>
      <c r="E323" s="110"/>
      <c r="F323" s="110"/>
      <c r="G323" s="110"/>
      <c r="H323" s="110"/>
      <c r="I323" s="110"/>
      <c r="J323" s="110"/>
      <c r="K323" s="110"/>
      <c r="L323" s="110"/>
      <c r="M323" s="110"/>
      <c r="N323" s="110"/>
      <c r="O323" s="110"/>
      <c r="P323" s="110"/>
      <c r="Q323" s="110"/>
      <c r="R323" s="110"/>
      <c r="S323" s="616"/>
      <c r="T323" s="616"/>
      <c r="U323" s="616"/>
      <c r="V323" s="616"/>
    </row>
    <row r="324" spans="1:24" ht="22.5" customHeight="1">
      <c r="S324" s="616"/>
      <c r="T324" s="616"/>
      <c r="U324" s="616"/>
      <c r="V324" s="616"/>
    </row>
    <row r="325" spans="1:24" ht="22.5" customHeight="1">
      <c r="S325" s="616"/>
      <c r="T325" s="616"/>
      <c r="U325" s="616"/>
      <c r="V325" s="616"/>
    </row>
    <row r="326" spans="1:24" ht="22.5" customHeight="1">
      <c r="S326" s="616"/>
      <c r="T326" s="616"/>
      <c r="U326" s="616"/>
      <c r="V326" s="616"/>
    </row>
    <row r="327" spans="1:24" ht="22.5" customHeight="1">
      <c r="S327" s="616"/>
      <c r="T327" s="616"/>
      <c r="U327" s="616"/>
      <c r="V327" s="616"/>
    </row>
    <row r="328" spans="1:24" ht="22.5" customHeight="1">
      <c r="S328" s="616"/>
      <c r="T328" s="616"/>
      <c r="U328" s="616"/>
      <c r="V328" s="616"/>
    </row>
    <row r="329" spans="1:24" ht="25.5" customHeight="1">
      <c r="A329" s="630"/>
      <c r="B329" s="630"/>
      <c r="C329" s="630"/>
      <c r="D329" s="630"/>
      <c r="E329" s="630"/>
    </row>
    <row r="330" spans="1:24" s="64" customFormat="1" ht="22.5" customHeight="1">
      <c r="A330" s="1313" t="s">
        <v>879</v>
      </c>
      <c r="B330" s="1313"/>
      <c r="C330" s="1313"/>
      <c r="D330" s="1313"/>
      <c r="E330" s="1313"/>
      <c r="F330" s="110"/>
      <c r="G330" s="110"/>
      <c r="H330" s="110"/>
      <c r="I330" s="110"/>
      <c r="J330" s="110"/>
      <c r="K330" s="110"/>
      <c r="L330" s="110"/>
      <c r="M330" s="110"/>
      <c r="N330" s="110"/>
      <c r="O330" s="110"/>
      <c r="P330" s="110"/>
      <c r="Q330" s="110"/>
      <c r="R330" s="110"/>
      <c r="S330" s="110"/>
      <c r="T330" s="110"/>
      <c r="U330" s="110"/>
      <c r="V330" s="110"/>
    </row>
    <row r="331" spans="1:24" s="594" customFormat="1" ht="22.5" customHeight="1">
      <c r="A331" s="110"/>
      <c r="B331" s="1314" t="s">
        <v>747</v>
      </c>
      <c r="C331" s="1314" t="s">
        <v>734</v>
      </c>
      <c r="D331" s="1314"/>
      <c r="E331" s="1314"/>
      <c r="F331" s="1314"/>
      <c r="G331" s="1314" t="s">
        <v>508</v>
      </c>
      <c r="H331" s="1314"/>
      <c r="I331" s="1314"/>
      <c r="J331" s="1314"/>
      <c r="K331" s="1314" t="s">
        <v>510</v>
      </c>
      <c r="L331" s="1314"/>
      <c r="M331" s="1314"/>
      <c r="N331" s="1314"/>
      <c r="O331" s="1314" t="s">
        <v>512</v>
      </c>
      <c r="P331" s="1314"/>
      <c r="Q331" s="1314"/>
      <c r="R331" s="1314"/>
      <c r="S331" s="1314" t="s">
        <v>516</v>
      </c>
      <c r="T331" s="1314"/>
      <c r="U331" s="1314"/>
      <c r="V331" s="1314"/>
      <c r="X331" s="595"/>
    </row>
    <row r="332" spans="1:24" s="594" customFormat="1" ht="22.5" customHeight="1">
      <c r="A332" s="110"/>
      <c r="B332" s="1314"/>
      <c r="C332" s="588" t="s">
        <v>736</v>
      </c>
      <c r="D332" s="588" t="s">
        <v>737</v>
      </c>
      <c r="E332" s="588" t="s">
        <v>738</v>
      </c>
      <c r="F332" s="588" t="s">
        <v>739</v>
      </c>
      <c r="G332" s="588" t="s">
        <v>736</v>
      </c>
      <c r="H332" s="588" t="s">
        <v>737</v>
      </c>
      <c r="I332" s="588" t="s">
        <v>738</v>
      </c>
      <c r="J332" s="588" t="s">
        <v>739</v>
      </c>
      <c r="K332" s="588" t="s">
        <v>736</v>
      </c>
      <c r="L332" s="588" t="s">
        <v>737</v>
      </c>
      <c r="M332" s="588" t="s">
        <v>738</v>
      </c>
      <c r="N332" s="588" t="s">
        <v>739</v>
      </c>
      <c r="O332" s="588" t="s">
        <v>736</v>
      </c>
      <c r="P332" s="588" t="s">
        <v>737</v>
      </c>
      <c r="Q332" s="588" t="s">
        <v>738</v>
      </c>
      <c r="R332" s="588" t="s">
        <v>739</v>
      </c>
      <c r="S332" s="588" t="s">
        <v>736</v>
      </c>
      <c r="T332" s="588" t="s">
        <v>737</v>
      </c>
      <c r="U332" s="588" t="s">
        <v>738</v>
      </c>
      <c r="V332" s="588" t="s">
        <v>739</v>
      </c>
      <c r="X332" s="595"/>
    </row>
    <row r="333" spans="1:24" s="594" customFormat="1" ht="22.5" customHeight="1">
      <c r="A333" s="110"/>
      <c r="B333" s="179" t="s">
        <v>873</v>
      </c>
      <c r="C333" s="629">
        <f>'2. 의사결정 및 경영성과'!E17</f>
        <v>0</v>
      </c>
      <c r="D333" s="629">
        <f>'2. 의사결정 및 경영성과'!H17</f>
        <v>0</v>
      </c>
      <c r="E333" s="629">
        <f>'2. 의사결정 및 경영성과'!K17</f>
        <v>200000000</v>
      </c>
      <c r="F333" s="629">
        <f>'2. 의사결정 및 경영성과'!N17</f>
        <v>300000000</v>
      </c>
      <c r="G333" s="629">
        <f>'2. 의사결정 및 경영성과'!Q17</f>
        <v>500000000</v>
      </c>
      <c r="H333" s="629">
        <f>'2. 의사결정 및 경영성과'!T17</f>
        <v>900000000</v>
      </c>
      <c r="I333" s="629">
        <f>'2. 의사결정 및 경영성과'!W17</f>
        <v>950000000</v>
      </c>
      <c r="J333" s="629">
        <f>'2. 의사결정 및 경영성과'!Z17</f>
        <v>1000000000</v>
      </c>
      <c r="K333" s="629">
        <f>'2. 의사결정 및 경영성과'!AC17</f>
        <v>1100000000</v>
      </c>
      <c r="L333" s="629">
        <f>'2. 의사결정 및 경영성과'!AF17</f>
        <v>1350000000</v>
      </c>
      <c r="M333" s="629">
        <f>'2. 의사결정 및 경영성과'!AI17</f>
        <v>1400000000</v>
      </c>
      <c r="N333" s="629">
        <f>'2. 의사결정 및 경영성과'!AL17</f>
        <v>1500000000</v>
      </c>
      <c r="O333" s="629">
        <f>'2. 의사결정 및 경영성과'!AO17</f>
        <v>0</v>
      </c>
      <c r="P333" s="629">
        <f>'2. 의사결정 및 경영성과'!AR17</f>
        <v>0</v>
      </c>
      <c r="Q333" s="629">
        <f>'2. 의사결정 및 경영성과'!AU17</f>
        <v>0</v>
      </c>
      <c r="R333" s="629">
        <f>'2. 의사결정 및 경영성과'!AX17</f>
        <v>0</v>
      </c>
      <c r="S333" s="629">
        <f>'2. 의사결정 및 경영성과'!BA17</f>
        <v>0</v>
      </c>
      <c r="T333" s="629">
        <f>'2. 의사결정 및 경영성과'!BD17</f>
        <v>0</v>
      </c>
      <c r="U333" s="629">
        <f>'2. 의사결정 및 경영성과'!BG17</f>
        <v>0</v>
      </c>
      <c r="V333" s="629">
        <f>'2. 의사결정 및 경영성과'!BJ17</f>
        <v>0</v>
      </c>
      <c r="X333" s="595"/>
    </row>
    <row r="334" spans="1:24" s="594" customFormat="1" ht="22.5" customHeight="1">
      <c r="A334" s="110"/>
      <c r="B334" s="179" t="s">
        <v>788</v>
      </c>
      <c r="C334" s="629">
        <f>C335+C336*C45+C337*C46</f>
        <v>307420000</v>
      </c>
      <c r="D334" s="629">
        <f t="shared" ref="D334:V334" si="39">D335+D336*D45+D337*D46</f>
        <v>355960000</v>
      </c>
      <c r="E334" s="629">
        <f t="shared" si="39"/>
        <v>509922000</v>
      </c>
      <c r="F334" s="629">
        <f t="shared" si="39"/>
        <v>509670000</v>
      </c>
      <c r="G334" s="629">
        <f t="shared" si="39"/>
        <v>402700000</v>
      </c>
      <c r="H334" s="629">
        <f t="shared" si="39"/>
        <v>555174000</v>
      </c>
      <c r="I334" s="629">
        <f t="shared" si="39"/>
        <v>652050000</v>
      </c>
      <c r="J334" s="629">
        <f t="shared" si="39"/>
        <v>675864000</v>
      </c>
      <c r="K334" s="629">
        <f t="shared" si="39"/>
        <v>694826250</v>
      </c>
      <c r="L334" s="629">
        <f t="shared" si="39"/>
        <v>697550000</v>
      </c>
      <c r="M334" s="629">
        <f t="shared" si="39"/>
        <v>775807500</v>
      </c>
      <c r="N334" s="629">
        <f t="shared" si="39"/>
        <v>795000000</v>
      </c>
      <c r="O334" s="629">
        <f t="shared" si="39"/>
        <v>0</v>
      </c>
      <c r="P334" s="629">
        <f t="shared" si="39"/>
        <v>0</v>
      </c>
      <c r="Q334" s="629">
        <f t="shared" si="39"/>
        <v>0</v>
      </c>
      <c r="R334" s="629">
        <f t="shared" si="39"/>
        <v>0</v>
      </c>
      <c r="S334" s="629">
        <f t="shared" si="39"/>
        <v>0</v>
      </c>
      <c r="T334" s="629">
        <f t="shared" si="39"/>
        <v>0</v>
      </c>
      <c r="U334" s="629">
        <f t="shared" si="39"/>
        <v>0</v>
      </c>
      <c r="V334" s="629">
        <f t="shared" si="39"/>
        <v>0</v>
      </c>
      <c r="X334" s="595"/>
    </row>
    <row r="335" spans="1:24" s="594" customFormat="1" ht="22.5" customHeight="1">
      <c r="A335" s="110"/>
      <c r="B335" s="179" t="s">
        <v>876</v>
      </c>
      <c r="C335" s="629">
        <f>'2. 의사결정 및 경영성과'!E48</f>
        <v>152000000</v>
      </c>
      <c r="D335" s="629">
        <f>'2. 의사결정 및 경영성과'!H48</f>
        <v>176000000</v>
      </c>
      <c r="E335" s="629">
        <f>'2. 의사결정 및 경영성과'!K48</f>
        <v>252000000</v>
      </c>
      <c r="F335" s="629">
        <f>'2. 의사결정 및 경영성과'!N48</f>
        <v>252000000</v>
      </c>
      <c r="G335" s="629">
        <f>'2. 의사결정 및 경영성과'!Q48</f>
        <v>200000000</v>
      </c>
      <c r="H335" s="629">
        <f>'2. 의사결정 및 경영성과'!T48</f>
        <v>276000000</v>
      </c>
      <c r="I335" s="629">
        <f>'2. 의사결정 및 경영성과'!W48</f>
        <v>324000000</v>
      </c>
      <c r="J335" s="629">
        <f>'2. 의사결정 및 경영성과'!Z48</f>
        <v>336000000</v>
      </c>
      <c r="K335" s="629">
        <f>'2. 의사결정 및 경영성과'!AC48</f>
        <v>347500000</v>
      </c>
      <c r="L335" s="629">
        <f>'2. 의사결정 및 경영성과'!AF48</f>
        <v>350000000</v>
      </c>
      <c r="M335" s="629">
        <f>'2. 의사결정 및 경영성과'!AI48</f>
        <v>390000000</v>
      </c>
      <c r="N335" s="629">
        <f>'2. 의사결정 및 경영성과'!AL48</f>
        <v>400000000</v>
      </c>
      <c r="O335" s="629">
        <f>'2. 의사결정 및 경영성과'!AO48</f>
        <v>0</v>
      </c>
      <c r="P335" s="629">
        <f>'2. 의사결정 및 경영성과'!AR48</f>
        <v>0</v>
      </c>
      <c r="Q335" s="629">
        <f>'2. 의사결정 및 경영성과'!AU48</f>
        <v>0</v>
      </c>
      <c r="R335" s="629">
        <f>'2. 의사결정 및 경영성과'!AX48</f>
        <v>0</v>
      </c>
      <c r="S335" s="629">
        <f>'2. 의사결정 및 경영성과'!BA48</f>
        <v>0</v>
      </c>
      <c r="T335" s="629">
        <f>'2. 의사결정 및 경영성과'!BD48</f>
        <v>0</v>
      </c>
      <c r="U335" s="629">
        <f>'2. 의사결정 및 경영성과'!BG48</f>
        <v>0</v>
      </c>
      <c r="V335" s="629">
        <f>'2. 의사결정 및 경영성과'!BJ48</f>
        <v>0</v>
      </c>
      <c r="X335" s="595"/>
    </row>
    <row r="336" spans="1:24" s="594" customFormat="1" ht="22.5" customHeight="1">
      <c r="A336" s="110"/>
      <c r="B336" s="179" t="s">
        <v>1163</v>
      </c>
      <c r="C336" s="629">
        <f>'2. 의사결정 및 경영성과'!F48</f>
        <v>76000</v>
      </c>
      <c r="D336" s="629">
        <f>'2. 의사결정 및 경영성과'!I48</f>
        <v>88000</v>
      </c>
      <c r="E336" s="629">
        <f>'2. 의사결정 및 경영성과'!L48</f>
        <v>126000</v>
      </c>
      <c r="F336" s="629">
        <f>'2. 의사결정 및 경영성과'!O48</f>
        <v>126000</v>
      </c>
      <c r="G336" s="629">
        <f>'2. 의사결정 및 경영성과'!R48</f>
        <v>100000</v>
      </c>
      <c r="H336" s="629">
        <f>'2. 의사결정 및 경영성과'!U48</f>
        <v>138000</v>
      </c>
      <c r="I336" s="629">
        <f>'2. 의사결정 및 경영성과'!X48</f>
        <v>162000</v>
      </c>
      <c r="J336" s="629">
        <f>'2. 의사결정 및 경영성과'!AA48</f>
        <v>168000</v>
      </c>
      <c r="K336" s="629">
        <f>'2. 의사결정 및 경영성과'!AD48</f>
        <v>173750</v>
      </c>
      <c r="L336" s="629">
        <f>'2. 의사결정 및 경영성과'!AG48</f>
        <v>175000</v>
      </c>
      <c r="M336" s="629">
        <f>'2. 의사결정 및 경영성과'!AJ48</f>
        <v>195000</v>
      </c>
      <c r="N336" s="629">
        <f>'2. 의사결정 및 경영성과'!AM48</f>
        <v>200000</v>
      </c>
      <c r="O336" s="629">
        <f>'2. 의사결정 및 경영성과'!AP48</f>
        <v>0</v>
      </c>
      <c r="P336" s="629">
        <f>'2. 의사결정 및 경영성과'!AS48</f>
        <v>0</v>
      </c>
      <c r="Q336" s="629">
        <f>'2. 의사결정 및 경영성과'!AV48</f>
        <v>0</v>
      </c>
      <c r="R336" s="629">
        <f>'2. 의사결정 및 경영성과'!AY48</f>
        <v>0</v>
      </c>
      <c r="S336" s="629">
        <f>'2. 의사결정 및 경영성과'!BB48</f>
        <v>0</v>
      </c>
      <c r="T336" s="629">
        <f>'2. 의사결정 및 경영성과'!BE48</f>
        <v>0</v>
      </c>
      <c r="U336" s="629">
        <f>'2. 의사결정 및 경영성과'!BH48</f>
        <v>0</v>
      </c>
      <c r="V336" s="629">
        <f>'2. 의사결정 및 경영성과'!BK48</f>
        <v>0</v>
      </c>
      <c r="X336" s="595"/>
    </row>
    <row r="337" spans="1:46" s="594" customFormat="1" ht="22.5" customHeight="1">
      <c r="A337" s="110"/>
      <c r="B337" s="179" t="s">
        <v>1206</v>
      </c>
      <c r="C337" s="629">
        <f>'2. 의사결정 및 경영성과'!G48</f>
        <v>380000</v>
      </c>
      <c r="D337" s="629">
        <f>'2. 의사결정 및 경영성과'!J48</f>
        <v>440000</v>
      </c>
      <c r="E337" s="629">
        <f>'2. 의사결정 및 경영성과'!M48</f>
        <v>630000</v>
      </c>
      <c r="F337" s="629">
        <f>'2. 의사결정 및 경영성과'!P48</f>
        <v>630000</v>
      </c>
      <c r="G337" s="629">
        <f>'2. 의사결정 및 경영성과'!S48</f>
        <v>500000</v>
      </c>
      <c r="H337" s="629">
        <f>'2. 의사결정 및 경영성과'!V48</f>
        <v>690000</v>
      </c>
      <c r="I337" s="629">
        <f>'2. 의사결정 및 경영성과'!Y48</f>
        <v>810000</v>
      </c>
      <c r="J337" s="629">
        <f>'2. 의사결정 및 경영성과'!AB48</f>
        <v>840000</v>
      </c>
      <c r="K337" s="629">
        <f>'2. 의사결정 및 경영성과'!AE48</f>
        <v>868750</v>
      </c>
      <c r="L337" s="629">
        <f>'2. 의사결정 및 경영성과'!AH48</f>
        <v>875000</v>
      </c>
      <c r="M337" s="629">
        <f>'2. 의사결정 및 경영성과'!AK48</f>
        <v>975000</v>
      </c>
      <c r="N337" s="629">
        <f>'2. 의사결정 및 경영성과'!AN48</f>
        <v>1000000</v>
      </c>
      <c r="O337" s="629">
        <f>'2. 의사결정 및 경영성과'!AQ48</f>
        <v>0</v>
      </c>
      <c r="P337" s="629">
        <f>'2. 의사결정 및 경영성과'!AT48</f>
        <v>0</v>
      </c>
      <c r="Q337" s="629">
        <f>'2. 의사결정 및 경영성과'!AW48</f>
        <v>0</v>
      </c>
      <c r="R337" s="629">
        <f>'2. 의사결정 및 경영성과'!AZ48</f>
        <v>0</v>
      </c>
      <c r="S337" s="629">
        <f>'2. 의사결정 및 경영성과'!BC48</f>
        <v>0</v>
      </c>
      <c r="T337" s="629">
        <f>'2. 의사결정 및 경영성과'!BF48</f>
        <v>0</v>
      </c>
      <c r="U337" s="629">
        <f>'2. 의사결정 및 경영성과'!BI48</f>
        <v>0</v>
      </c>
      <c r="V337" s="629">
        <f>'2. 의사결정 및 경영성과'!BL48</f>
        <v>0</v>
      </c>
      <c r="X337" s="595"/>
    </row>
    <row r="338" spans="1:46" s="64" customFormat="1" ht="22.5" customHeight="1">
      <c r="A338" s="110"/>
      <c r="B338" s="179" t="s">
        <v>874</v>
      </c>
      <c r="C338" s="629">
        <f>'2. 의사결정 및 경영성과'!E83</f>
        <v>7</v>
      </c>
      <c r="D338" s="629">
        <f>'2. 의사결정 및 경영성과'!H83</f>
        <v>6</v>
      </c>
      <c r="E338" s="629">
        <f>'2. 의사결정 및 경영성과'!K83</f>
        <v>6</v>
      </c>
      <c r="F338" s="629">
        <f>'2. 의사결정 및 경영성과'!N83</f>
        <v>5</v>
      </c>
      <c r="G338" s="629">
        <f>'2. 의사결정 및 경영성과'!Q83</f>
        <v>5</v>
      </c>
      <c r="H338" s="629">
        <f>'2. 의사결정 및 경영성과'!T83</f>
        <v>5</v>
      </c>
      <c r="I338" s="629">
        <f>'2. 의사결정 및 경영성과'!W83</f>
        <v>5</v>
      </c>
      <c r="J338" s="629">
        <f>'2. 의사결정 및 경영성과'!Z83</f>
        <v>5</v>
      </c>
      <c r="K338" s="629">
        <f>'2. 의사결정 및 경영성과'!AC83</f>
        <v>5</v>
      </c>
      <c r="L338" s="629">
        <f>'2. 의사결정 및 경영성과'!AF83</f>
        <v>4</v>
      </c>
      <c r="M338" s="629">
        <f>'2. 의사결정 및 경영성과'!AI83</f>
        <v>4</v>
      </c>
      <c r="N338" s="629">
        <f>'2. 의사결정 및 경영성과'!AL83</f>
        <v>4</v>
      </c>
      <c r="O338" s="629">
        <f>'2. 의사결정 및 경영성과'!AO83</f>
        <v>0</v>
      </c>
      <c r="P338" s="629">
        <f>'2. 의사결정 및 경영성과'!AR83</f>
        <v>0</v>
      </c>
      <c r="Q338" s="629">
        <f>'2. 의사결정 및 경영성과'!AU83</f>
        <v>0</v>
      </c>
      <c r="R338" s="629">
        <f>'2. 의사결정 및 경영성과'!AX83</f>
        <v>0</v>
      </c>
      <c r="S338" s="629">
        <f>'2. 의사결정 및 경영성과'!BA83</f>
        <v>0</v>
      </c>
      <c r="T338" s="629">
        <f>'2. 의사결정 및 경영성과'!BD83</f>
        <v>0</v>
      </c>
      <c r="U338" s="629">
        <f>'2. 의사결정 및 경영성과'!BG83</f>
        <v>0</v>
      </c>
      <c r="V338" s="629">
        <f>'2. 의사결정 및 경영성과'!BJ83</f>
        <v>0</v>
      </c>
    </row>
    <row r="339" spans="1:46" s="609" customFormat="1" ht="22.5" customHeight="1">
      <c r="A339" s="110"/>
      <c r="B339" s="610" t="s">
        <v>755</v>
      </c>
      <c r="C339" s="629">
        <f>C$47</f>
        <v>38739</v>
      </c>
      <c r="D339" s="629">
        <f t="shared" ref="D339:V339" si="40">D$47</f>
        <v>49455</v>
      </c>
      <c r="E339" s="629">
        <f t="shared" si="40"/>
        <v>46095</v>
      </c>
      <c r="F339" s="629">
        <f t="shared" si="40"/>
        <v>53923</v>
      </c>
      <c r="G339" s="629">
        <f t="shared" si="40"/>
        <v>38959</v>
      </c>
      <c r="H339" s="629">
        <f t="shared" si="40"/>
        <v>59451</v>
      </c>
      <c r="I339" s="629">
        <f t="shared" si="40"/>
        <v>53746</v>
      </c>
      <c r="J339" s="629">
        <f t="shared" si="40"/>
        <v>73267</v>
      </c>
      <c r="K339" s="629">
        <f t="shared" si="40"/>
        <v>65552</v>
      </c>
      <c r="L339" s="629">
        <f t="shared" si="40"/>
        <v>80232</v>
      </c>
      <c r="M339" s="629">
        <f t="shared" si="40"/>
        <v>69981</v>
      </c>
      <c r="N339" s="629">
        <f t="shared" si="40"/>
        <v>66680</v>
      </c>
      <c r="O339" s="629">
        <f t="shared" si="40"/>
        <v>0</v>
      </c>
      <c r="P339" s="629">
        <f t="shared" si="40"/>
        <v>0</v>
      </c>
      <c r="Q339" s="629">
        <f t="shared" si="40"/>
        <v>0</v>
      </c>
      <c r="R339" s="629">
        <f t="shared" si="40"/>
        <v>0</v>
      </c>
      <c r="S339" s="629">
        <f t="shared" si="40"/>
        <v>0</v>
      </c>
      <c r="T339" s="629">
        <f t="shared" si="40"/>
        <v>0</v>
      </c>
      <c r="U339" s="629">
        <f t="shared" si="40"/>
        <v>0</v>
      </c>
      <c r="V339" s="629">
        <f t="shared" si="40"/>
        <v>0</v>
      </c>
      <c r="W339" s="608"/>
      <c r="X339" s="608"/>
      <c r="Y339" s="608"/>
      <c r="Z339" s="608"/>
      <c r="AA339" s="608"/>
      <c r="AB339" s="608"/>
      <c r="AC339" s="608"/>
      <c r="AD339" s="608"/>
      <c r="AE339" s="608"/>
      <c r="AF339" s="608"/>
      <c r="AG339" s="608"/>
      <c r="AH339" s="608"/>
      <c r="AI339" s="608"/>
      <c r="AJ339" s="608"/>
      <c r="AK339" s="608"/>
      <c r="AL339" s="608"/>
      <c r="AM339" s="608"/>
      <c r="AN339" s="608"/>
      <c r="AO339" s="608"/>
      <c r="AP339" s="608"/>
      <c r="AQ339" s="608"/>
      <c r="AR339" s="608"/>
      <c r="AS339" s="608"/>
      <c r="AT339" s="608"/>
    </row>
    <row r="340" spans="1:46" s="609" customFormat="1" ht="22.5" customHeight="1">
      <c r="A340" s="110"/>
      <c r="B340" s="610" t="s">
        <v>1201</v>
      </c>
      <c r="C340" s="629">
        <f>C$48</f>
        <v>23963</v>
      </c>
      <c r="D340" s="629">
        <f t="shared" ref="D340:V340" si="41">D$48</f>
        <v>32381</v>
      </c>
      <c r="E340" s="629">
        <f t="shared" si="41"/>
        <v>34739</v>
      </c>
      <c r="F340" s="629">
        <f t="shared" si="41"/>
        <v>39025</v>
      </c>
      <c r="G340" s="629">
        <f t="shared" si="41"/>
        <v>34074</v>
      </c>
      <c r="H340" s="629">
        <f t="shared" si="41"/>
        <v>39074</v>
      </c>
      <c r="I340" s="629">
        <f t="shared" si="41"/>
        <v>39354</v>
      </c>
      <c r="J340" s="629">
        <f t="shared" si="41"/>
        <v>40033</v>
      </c>
      <c r="K340" s="629">
        <f t="shared" si="41"/>
        <v>33564</v>
      </c>
      <c r="L340" s="629">
        <f t="shared" si="41"/>
        <v>36277</v>
      </c>
      <c r="M340" s="629">
        <f t="shared" si="41"/>
        <v>33702</v>
      </c>
      <c r="N340" s="629">
        <f t="shared" si="41"/>
        <v>32680</v>
      </c>
      <c r="O340" s="629">
        <f t="shared" si="41"/>
        <v>0</v>
      </c>
      <c r="P340" s="629">
        <f t="shared" si="41"/>
        <v>0</v>
      </c>
      <c r="Q340" s="629">
        <f t="shared" si="41"/>
        <v>0</v>
      </c>
      <c r="R340" s="629">
        <f t="shared" si="41"/>
        <v>0</v>
      </c>
      <c r="S340" s="629">
        <f t="shared" si="41"/>
        <v>0</v>
      </c>
      <c r="T340" s="629">
        <f t="shared" si="41"/>
        <v>0</v>
      </c>
      <c r="U340" s="629">
        <f t="shared" si="41"/>
        <v>0</v>
      </c>
      <c r="V340" s="629">
        <f t="shared" si="41"/>
        <v>0</v>
      </c>
      <c r="W340" s="608"/>
      <c r="X340" s="608"/>
      <c r="Y340" s="608"/>
      <c r="Z340" s="608"/>
      <c r="AA340" s="608"/>
      <c r="AB340" s="608"/>
      <c r="AC340" s="608"/>
      <c r="AD340" s="608"/>
      <c r="AE340" s="608"/>
      <c r="AF340" s="608"/>
      <c r="AG340" s="608"/>
      <c r="AH340" s="608"/>
      <c r="AI340" s="608"/>
      <c r="AJ340" s="608"/>
      <c r="AK340" s="608"/>
      <c r="AL340" s="608"/>
      <c r="AM340" s="608"/>
      <c r="AN340" s="608"/>
      <c r="AO340" s="608"/>
      <c r="AP340" s="608"/>
      <c r="AQ340" s="608"/>
      <c r="AR340" s="608"/>
      <c r="AS340" s="608"/>
      <c r="AT340" s="608"/>
    </row>
    <row r="341" spans="1:46" s="609" customFormat="1" ht="22.5" customHeight="1">
      <c r="A341" s="110"/>
      <c r="B341" s="610" t="s">
        <v>1207</v>
      </c>
      <c r="C341" s="629">
        <f>C$49</f>
        <v>5497</v>
      </c>
      <c r="D341" s="629">
        <f t="shared" ref="D341:V341" si="42">D$49</f>
        <v>13894</v>
      </c>
      <c r="E341" s="629">
        <f t="shared" si="42"/>
        <v>10568</v>
      </c>
      <c r="F341" s="629">
        <f t="shared" si="42"/>
        <v>13227</v>
      </c>
      <c r="G341" s="629">
        <f t="shared" si="42"/>
        <v>4700</v>
      </c>
      <c r="H341" s="629">
        <f t="shared" si="42"/>
        <v>15478</v>
      </c>
      <c r="I341" s="629">
        <f t="shared" si="42"/>
        <v>15275</v>
      </c>
      <c r="J341" s="629">
        <f t="shared" si="42"/>
        <v>21414</v>
      </c>
      <c r="K341" s="629">
        <f t="shared" si="42"/>
        <v>17504</v>
      </c>
      <c r="L341" s="629">
        <f t="shared" si="42"/>
        <v>28354</v>
      </c>
      <c r="M341" s="629">
        <f t="shared" si="42"/>
        <v>28320</v>
      </c>
      <c r="N341" s="629">
        <f t="shared" si="42"/>
        <v>30500</v>
      </c>
      <c r="O341" s="629">
        <f t="shared" si="42"/>
        <v>0</v>
      </c>
      <c r="P341" s="629">
        <f t="shared" si="42"/>
        <v>0</v>
      </c>
      <c r="Q341" s="629">
        <f t="shared" si="42"/>
        <v>0</v>
      </c>
      <c r="R341" s="629">
        <f t="shared" si="42"/>
        <v>0</v>
      </c>
      <c r="S341" s="629">
        <f t="shared" si="42"/>
        <v>0</v>
      </c>
      <c r="T341" s="629">
        <f t="shared" si="42"/>
        <v>0</v>
      </c>
      <c r="U341" s="629">
        <f t="shared" si="42"/>
        <v>0</v>
      </c>
      <c r="V341" s="629">
        <f t="shared" si="42"/>
        <v>0</v>
      </c>
      <c r="W341" s="608"/>
      <c r="X341" s="608"/>
      <c r="Y341" s="608"/>
      <c r="Z341" s="608"/>
      <c r="AA341" s="608"/>
      <c r="AB341" s="608"/>
      <c r="AC341" s="608"/>
      <c r="AD341" s="608"/>
      <c r="AE341" s="608"/>
      <c r="AF341" s="608"/>
      <c r="AG341" s="608"/>
      <c r="AH341" s="608"/>
      <c r="AI341" s="608"/>
      <c r="AJ341" s="608"/>
      <c r="AK341" s="608"/>
      <c r="AL341" s="608"/>
      <c r="AM341" s="608"/>
      <c r="AN341" s="608"/>
      <c r="AO341" s="608"/>
      <c r="AP341" s="608"/>
      <c r="AQ341" s="608"/>
      <c r="AR341" s="608"/>
      <c r="AS341" s="608"/>
      <c r="AT341" s="608"/>
    </row>
    <row r="342" spans="1:46" s="609" customFormat="1" ht="22.5" customHeight="1">
      <c r="A342" s="110"/>
      <c r="B342" s="610" t="s">
        <v>756</v>
      </c>
      <c r="C342" s="629">
        <f>C$50</f>
        <v>68199</v>
      </c>
      <c r="D342" s="629">
        <f t="shared" ref="D342:V342" si="43">D$50</f>
        <v>95730</v>
      </c>
      <c r="E342" s="629">
        <f t="shared" si="43"/>
        <v>91402</v>
      </c>
      <c r="F342" s="629">
        <f t="shared" si="43"/>
        <v>106175</v>
      </c>
      <c r="G342" s="629">
        <f t="shared" si="43"/>
        <v>77733</v>
      </c>
      <c r="H342" s="629">
        <f t="shared" si="43"/>
        <v>114003</v>
      </c>
      <c r="I342" s="629">
        <f t="shared" si="43"/>
        <v>108375</v>
      </c>
      <c r="J342" s="629">
        <f t="shared" si="43"/>
        <v>134714</v>
      </c>
      <c r="K342" s="629">
        <f t="shared" si="43"/>
        <v>116620</v>
      </c>
      <c r="L342" s="629">
        <f t="shared" si="43"/>
        <v>144863</v>
      </c>
      <c r="M342" s="629">
        <f t="shared" si="43"/>
        <v>132003</v>
      </c>
      <c r="N342" s="629">
        <f t="shared" si="43"/>
        <v>129860</v>
      </c>
      <c r="O342" s="629">
        <f t="shared" si="43"/>
        <v>0</v>
      </c>
      <c r="P342" s="629">
        <f t="shared" si="43"/>
        <v>0</v>
      </c>
      <c r="Q342" s="629">
        <f t="shared" si="43"/>
        <v>0</v>
      </c>
      <c r="R342" s="629">
        <f t="shared" si="43"/>
        <v>0</v>
      </c>
      <c r="S342" s="629">
        <f t="shared" si="43"/>
        <v>0</v>
      </c>
      <c r="T342" s="629">
        <f t="shared" si="43"/>
        <v>0</v>
      </c>
      <c r="U342" s="629">
        <f t="shared" si="43"/>
        <v>0</v>
      </c>
      <c r="V342" s="629">
        <f t="shared" si="43"/>
        <v>0</v>
      </c>
      <c r="W342" s="608"/>
      <c r="X342" s="608"/>
      <c r="Y342" s="608"/>
      <c r="Z342" s="608"/>
      <c r="AA342" s="608"/>
      <c r="AB342" s="608"/>
      <c r="AC342" s="608"/>
      <c r="AD342" s="608"/>
      <c r="AE342" s="608"/>
      <c r="AF342" s="608"/>
      <c r="AG342" s="608"/>
      <c r="AH342" s="608"/>
      <c r="AI342" s="608"/>
      <c r="AJ342" s="608"/>
      <c r="AK342" s="608"/>
      <c r="AL342" s="608"/>
      <c r="AM342" s="608"/>
      <c r="AN342" s="608"/>
      <c r="AO342" s="608"/>
      <c r="AP342" s="608"/>
      <c r="AQ342" s="608"/>
      <c r="AR342" s="608"/>
      <c r="AS342" s="608"/>
      <c r="AT342" s="608"/>
    </row>
    <row r="344" spans="1:46" s="64" customFormat="1" ht="22.5" customHeight="1">
      <c r="A344" s="110"/>
      <c r="B344" s="110"/>
      <c r="C344" s="110"/>
      <c r="D344" s="110"/>
      <c r="E344" s="110"/>
      <c r="F344" s="110"/>
      <c r="G344" s="110"/>
      <c r="H344" s="110"/>
      <c r="I344" s="110"/>
      <c r="J344" s="110"/>
      <c r="K344" s="110"/>
      <c r="L344" s="110"/>
      <c r="M344" s="110"/>
      <c r="N344" s="110"/>
      <c r="O344" s="110"/>
      <c r="P344" s="110"/>
      <c r="Q344" s="110"/>
      <c r="R344" s="110"/>
      <c r="S344" s="616"/>
      <c r="T344" s="616"/>
      <c r="U344" s="616"/>
      <c r="V344" s="616"/>
    </row>
    <row r="345" spans="1:46" s="64" customFormat="1" ht="22.5" customHeight="1">
      <c r="A345" s="110"/>
      <c r="B345" s="110"/>
      <c r="C345" s="110"/>
      <c r="D345" s="110"/>
      <c r="E345" s="110"/>
      <c r="F345" s="110"/>
      <c r="G345" s="110"/>
      <c r="H345" s="110"/>
      <c r="I345" s="110"/>
      <c r="J345" s="110"/>
      <c r="K345" s="110"/>
      <c r="L345" s="110"/>
      <c r="M345" s="110"/>
      <c r="N345" s="110"/>
      <c r="O345" s="110"/>
      <c r="P345" s="110"/>
      <c r="Q345" s="110"/>
      <c r="R345" s="110"/>
      <c r="S345" s="616"/>
      <c r="T345" s="616"/>
      <c r="U345" s="616"/>
      <c r="V345" s="616"/>
    </row>
    <row r="346" spans="1:46" s="64" customFormat="1" ht="22.5" customHeight="1">
      <c r="A346" s="110"/>
      <c r="B346" s="110"/>
      <c r="C346" s="110"/>
      <c r="D346" s="110"/>
      <c r="E346" s="110"/>
      <c r="F346" s="110"/>
      <c r="G346" s="110"/>
      <c r="H346" s="110"/>
      <c r="I346" s="110"/>
      <c r="J346" s="110"/>
      <c r="K346" s="110"/>
      <c r="L346" s="110"/>
      <c r="M346" s="110"/>
      <c r="N346" s="110"/>
      <c r="O346" s="110"/>
      <c r="P346" s="110"/>
      <c r="Q346" s="110"/>
      <c r="R346" s="110"/>
      <c r="S346" s="616"/>
      <c r="T346" s="616"/>
      <c r="U346" s="616"/>
      <c r="V346" s="616"/>
    </row>
    <row r="347" spans="1:46" s="64" customFormat="1" ht="22.5" customHeight="1">
      <c r="A347" s="110"/>
      <c r="B347" s="110"/>
      <c r="C347" s="110"/>
      <c r="D347" s="110"/>
      <c r="E347" s="110"/>
      <c r="F347" s="110"/>
      <c r="G347" s="110"/>
      <c r="H347" s="110"/>
      <c r="I347" s="110"/>
      <c r="J347" s="110"/>
      <c r="K347" s="110"/>
      <c r="L347" s="110"/>
      <c r="M347" s="110"/>
      <c r="N347" s="110"/>
      <c r="O347" s="110"/>
      <c r="P347" s="110"/>
      <c r="Q347" s="110"/>
      <c r="R347" s="110"/>
      <c r="S347" s="616"/>
      <c r="T347" s="616"/>
      <c r="U347" s="616"/>
      <c r="V347" s="616"/>
    </row>
    <row r="348" spans="1:46" s="64" customFormat="1" ht="22.5" customHeight="1">
      <c r="A348" s="110"/>
      <c r="B348" s="110"/>
      <c r="C348" s="110"/>
      <c r="D348" s="110"/>
      <c r="E348" s="110"/>
      <c r="F348" s="110"/>
      <c r="G348" s="110"/>
      <c r="H348" s="110"/>
      <c r="I348" s="110"/>
      <c r="J348" s="110"/>
      <c r="K348" s="110"/>
      <c r="L348" s="110"/>
      <c r="M348" s="110"/>
      <c r="N348" s="110"/>
      <c r="O348" s="110"/>
      <c r="P348" s="110"/>
      <c r="Q348" s="110"/>
      <c r="R348" s="110"/>
      <c r="S348" s="616"/>
      <c r="T348" s="616"/>
      <c r="U348" s="616"/>
      <c r="V348" s="616"/>
    </row>
    <row r="349" spans="1:46" s="64" customFormat="1" ht="22.5" customHeight="1">
      <c r="A349" s="110"/>
      <c r="B349" s="110"/>
      <c r="C349" s="110"/>
      <c r="D349" s="110"/>
      <c r="E349" s="110"/>
      <c r="F349" s="110"/>
      <c r="G349" s="110"/>
      <c r="H349" s="110"/>
      <c r="I349" s="110"/>
      <c r="J349" s="110"/>
      <c r="K349" s="110"/>
      <c r="L349" s="110"/>
      <c r="M349" s="110"/>
      <c r="N349" s="110"/>
      <c r="O349" s="110"/>
      <c r="P349" s="110"/>
      <c r="Q349" s="110"/>
      <c r="R349" s="110"/>
      <c r="S349" s="616"/>
      <c r="T349" s="616"/>
      <c r="U349" s="616"/>
      <c r="V349" s="616"/>
    </row>
    <row r="350" spans="1:46" s="64" customFormat="1" ht="22.5" customHeight="1">
      <c r="A350" s="110"/>
      <c r="B350" s="110"/>
      <c r="C350" s="110"/>
      <c r="D350" s="110"/>
      <c r="E350" s="110"/>
      <c r="F350" s="110"/>
      <c r="G350" s="110"/>
      <c r="H350" s="110"/>
      <c r="I350" s="110"/>
      <c r="J350" s="110"/>
      <c r="K350" s="110"/>
      <c r="L350" s="110"/>
      <c r="M350" s="110"/>
      <c r="N350" s="110"/>
      <c r="O350" s="110"/>
      <c r="P350" s="110"/>
      <c r="Q350" s="110"/>
      <c r="R350" s="110"/>
      <c r="S350" s="616"/>
      <c r="T350" s="616"/>
      <c r="U350" s="616"/>
      <c r="V350" s="616"/>
    </row>
    <row r="351" spans="1:46" s="64" customFormat="1" ht="22.5" customHeight="1">
      <c r="A351" s="110"/>
      <c r="B351" s="110"/>
      <c r="C351" s="110"/>
      <c r="D351" s="110"/>
      <c r="E351" s="110"/>
      <c r="F351" s="110"/>
      <c r="G351" s="110"/>
      <c r="H351" s="110"/>
      <c r="I351" s="110"/>
      <c r="J351" s="110"/>
      <c r="K351" s="110"/>
      <c r="L351" s="110"/>
      <c r="M351" s="110"/>
      <c r="N351" s="110"/>
      <c r="O351" s="110"/>
      <c r="P351" s="110"/>
      <c r="Q351" s="110"/>
      <c r="R351" s="110"/>
      <c r="S351" s="616"/>
      <c r="T351" s="616"/>
      <c r="U351" s="616"/>
      <c r="V351" s="616"/>
    </row>
    <row r="352" spans="1:46" s="64" customFormat="1" ht="22.5" customHeight="1">
      <c r="A352" s="110"/>
      <c r="B352" s="110"/>
      <c r="C352" s="110"/>
      <c r="D352" s="110"/>
      <c r="E352" s="110"/>
      <c r="F352" s="110"/>
      <c r="G352" s="110"/>
      <c r="H352" s="110"/>
      <c r="I352" s="110"/>
      <c r="J352" s="110"/>
      <c r="K352" s="110"/>
      <c r="L352" s="110"/>
      <c r="M352" s="110"/>
      <c r="N352" s="110"/>
      <c r="O352" s="110"/>
      <c r="P352" s="110"/>
      <c r="Q352" s="110"/>
      <c r="R352" s="110"/>
      <c r="S352" s="616"/>
      <c r="T352" s="616"/>
      <c r="U352" s="616"/>
      <c r="V352" s="616"/>
    </row>
    <row r="353" spans="1:23" ht="22.5" customHeight="1">
      <c r="S353" s="616"/>
      <c r="T353" s="616"/>
      <c r="U353" s="616"/>
      <c r="V353" s="616"/>
    </row>
    <row r="354" spans="1:23" ht="22.5" customHeight="1">
      <c r="S354" s="616"/>
      <c r="T354" s="616"/>
      <c r="U354" s="616"/>
      <c r="V354" s="616"/>
    </row>
    <row r="355" spans="1:23" ht="22.5" customHeight="1">
      <c r="S355" s="616"/>
      <c r="T355" s="616"/>
      <c r="U355" s="616"/>
      <c r="V355" s="616"/>
    </row>
    <row r="356" spans="1:23" ht="22.5" customHeight="1">
      <c r="S356" s="616"/>
      <c r="T356" s="616"/>
      <c r="U356" s="616"/>
      <c r="V356" s="616"/>
    </row>
    <row r="357" spans="1:23" ht="22.5" customHeight="1">
      <c r="S357" s="616"/>
      <c r="T357" s="616"/>
      <c r="U357" s="616"/>
      <c r="V357" s="616"/>
    </row>
    <row r="358" spans="1:23" s="64" customFormat="1" ht="22.5" customHeight="1">
      <c r="A358" s="631"/>
      <c r="B358" s="632"/>
      <c r="C358" s="633"/>
      <c r="D358" s="633"/>
      <c r="E358" s="633"/>
      <c r="F358" s="633"/>
      <c r="G358" s="633"/>
      <c r="H358" s="633"/>
      <c r="I358" s="633"/>
      <c r="J358" s="633"/>
    </row>
    <row r="359" spans="1:23" s="64" customFormat="1" ht="22.5" customHeight="1">
      <c r="A359" s="634" t="s">
        <v>789</v>
      </c>
      <c r="B359" s="634"/>
      <c r="C359" s="634"/>
      <c r="D359" s="634"/>
      <c r="E359" s="635"/>
      <c r="F359" s="110"/>
      <c r="G359" s="110"/>
      <c r="H359" s="110"/>
      <c r="I359" s="110"/>
      <c r="J359" s="110"/>
      <c r="K359" s="110"/>
      <c r="L359" s="110"/>
      <c r="M359" s="110"/>
      <c r="N359" s="110"/>
      <c r="O359" s="110"/>
      <c r="P359" s="110"/>
      <c r="Q359" s="110"/>
      <c r="R359" s="110"/>
      <c r="S359" s="110"/>
      <c r="T359" s="110"/>
      <c r="U359" s="110"/>
      <c r="V359" s="110"/>
    </row>
    <row r="360" spans="1:23" s="589" customFormat="1" ht="22.5" customHeight="1">
      <c r="A360" s="1331"/>
      <c r="B360" s="587" t="s">
        <v>733</v>
      </c>
      <c r="C360" s="1314" t="s">
        <v>734</v>
      </c>
      <c r="D360" s="1314"/>
      <c r="E360" s="1314"/>
      <c r="F360" s="1314"/>
      <c r="G360" s="1314" t="s">
        <v>508</v>
      </c>
      <c r="H360" s="1314"/>
      <c r="I360" s="1314"/>
      <c r="J360" s="1314"/>
      <c r="K360" s="1314" t="s">
        <v>510</v>
      </c>
      <c r="L360" s="1314"/>
      <c r="M360" s="1314"/>
      <c r="N360" s="1314"/>
      <c r="O360" s="1314" t="s">
        <v>512</v>
      </c>
      <c r="P360" s="1314"/>
      <c r="Q360" s="1314"/>
      <c r="R360" s="1314"/>
      <c r="S360" s="1314" t="s">
        <v>516</v>
      </c>
      <c r="T360" s="1314"/>
      <c r="U360" s="1314"/>
      <c r="V360" s="1314"/>
    </row>
    <row r="361" spans="1:23" s="589" customFormat="1" ht="22.5" customHeight="1">
      <c r="A361" s="1331"/>
      <c r="B361" s="587" t="s">
        <v>735</v>
      </c>
      <c r="C361" s="588" t="s">
        <v>736</v>
      </c>
      <c r="D361" s="588" t="s">
        <v>737</v>
      </c>
      <c r="E361" s="588" t="s">
        <v>738</v>
      </c>
      <c r="F361" s="588" t="s">
        <v>739</v>
      </c>
      <c r="G361" s="588" t="s">
        <v>736</v>
      </c>
      <c r="H361" s="588" t="s">
        <v>737</v>
      </c>
      <c r="I361" s="588" t="s">
        <v>738</v>
      </c>
      <c r="J361" s="588" t="s">
        <v>739</v>
      </c>
      <c r="K361" s="588" t="s">
        <v>736</v>
      </c>
      <c r="L361" s="588" t="s">
        <v>737</v>
      </c>
      <c r="M361" s="588" t="s">
        <v>738</v>
      </c>
      <c r="N361" s="588" t="s">
        <v>739</v>
      </c>
      <c r="O361" s="588" t="s">
        <v>736</v>
      </c>
      <c r="P361" s="588" t="s">
        <v>737</v>
      </c>
      <c r="Q361" s="588" t="s">
        <v>738</v>
      </c>
      <c r="R361" s="588" t="s">
        <v>739</v>
      </c>
      <c r="S361" s="588" t="s">
        <v>736</v>
      </c>
      <c r="T361" s="588" t="s">
        <v>737</v>
      </c>
      <c r="U361" s="588" t="s">
        <v>738</v>
      </c>
      <c r="V361" s="588" t="s">
        <v>739</v>
      </c>
    </row>
    <row r="362" spans="1:23" s="589" customFormat="1" ht="22.5" customHeight="1">
      <c r="A362" s="1331"/>
      <c r="B362" s="636" t="s">
        <v>790</v>
      </c>
      <c r="C362" s="747">
        <f>'2. 의사결정 및 경영성과'!E72</f>
        <v>83166</v>
      </c>
      <c r="D362" s="747">
        <f>'2. 의사결정 및 경영성과'!H72</f>
        <v>86561</v>
      </c>
      <c r="E362" s="747">
        <f>'2. 의사결정 및 경영성과'!K72</f>
        <v>98841</v>
      </c>
      <c r="F362" s="747">
        <f>'2. 의사결정 및 경영성과'!N72</f>
        <v>100838</v>
      </c>
      <c r="G362" s="747">
        <f>'2. 의사결정 및 경영성과'!Q72</f>
        <v>89689</v>
      </c>
      <c r="H362" s="747">
        <f>'2. 의사결정 및 경영성과'!T72</f>
        <v>108201</v>
      </c>
      <c r="I362" s="747">
        <f>'2. 의사결정 및 경영성과'!W72</f>
        <v>121846</v>
      </c>
      <c r="J362" s="747">
        <f>'2. 의사결정 및 경영성과'!Z72</f>
        <v>128679</v>
      </c>
      <c r="K362" s="747">
        <f>'2. 의사결정 및 경영성과'!AC72</f>
        <v>122351</v>
      </c>
      <c r="L362" s="747">
        <f>'2. 의사결정 및 경영성과'!AF72</f>
        <v>137532</v>
      </c>
      <c r="M362" s="747">
        <f>'2. 의사결정 및 경영성과'!AI72</f>
        <v>130020</v>
      </c>
      <c r="N362" s="747">
        <f>'2. 의사결정 및 경영성과'!AL72</f>
        <v>136080</v>
      </c>
      <c r="O362" s="621">
        <f>'2. 의사결정 및 경영성과'!AO72</f>
        <v>0</v>
      </c>
      <c r="P362" s="621">
        <f>'2. 의사결정 및 경영성과'!AR72</f>
        <v>0</v>
      </c>
      <c r="Q362" s="621">
        <f>'2. 의사결정 및 경영성과'!AU72</f>
        <v>0</v>
      </c>
      <c r="R362" s="621">
        <f>'2. 의사결정 및 경영성과'!AX72</f>
        <v>0</v>
      </c>
      <c r="S362" s="621">
        <f>'2. 의사결정 및 경영성과'!BA72</f>
        <v>0</v>
      </c>
      <c r="T362" s="621">
        <f>'2. 의사결정 및 경영성과'!BD72</f>
        <v>0</v>
      </c>
      <c r="U362" s="621">
        <f>'2. 의사결정 및 경영성과'!BG72</f>
        <v>0</v>
      </c>
      <c r="V362" s="621">
        <f>'2. 의사결정 및 경영성과'!BJ72</f>
        <v>0</v>
      </c>
    </row>
    <row r="363" spans="1:23" s="589" customFormat="1" ht="22.5" customHeight="1">
      <c r="A363" s="1331"/>
      <c r="B363" s="588" t="s">
        <v>877</v>
      </c>
      <c r="C363" s="629">
        <f>'2. 의사결정 및 경영성과'!E73</f>
        <v>243800</v>
      </c>
      <c r="D363" s="629">
        <f>'2. 의사결정 및 경영성과'!H73</f>
        <v>249100</v>
      </c>
      <c r="E363" s="629">
        <f>'2. 의사결정 및 경영성과'!K73</f>
        <v>251750</v>
      </c>
      <c r="F363" s="629">
        <f>'2. 의사결정 및 경영성과'!N73</f>
        <v>254400</v>
      </c>
      <c r="G363" s="629">
        <f>'2. 의사결정 및 경영성과'!Q73</f>
        <v>278250</v>
      </c>
      <c r="H363" s="629">
        <f>'2. 의사결정 및 경영성과'!T73</f>
        <v>280900</v>
      </c>
      <c r="I363" s="629">
        <f>'2. 의사결정 및 경영성과'!W73</f>
        <v>286200</v>
      </c>
      <c r="J363" s="629">
        <f>'2. 의사결정 및 경영성과'!Z73</f>
        <v>312700</v>
      </c>
      <c r="K363" s="629">
        <f>'2. 의사결정 및 경영성과'!AC73</f>
        <v>318000</v>
      </c>
      <c r="L363" s="629">
        <f>'2. 의사결정 및 경영성과'!AF73</f>
        <v>323300</v>
      </c>
      <c r="M363" s="629">
        <f>'2. 의사결정 및 경영성과'!AI73</f>
        <v>360000</v>
      </c>
      <c r="N363" s="629">
        <f>'2. 의사결정 및 경영성과'!AL73</f>
        <v>361523</v>
      </c>
      <c r="O363" s="621">
        <f>'2. 의사결정 및 경영성과'!AO73</f>
        <v>0</v>
      </c>
      <c r="P363" s="621">
        <f>'2. 의사결정 및 경영성과'!AR73</f>
        <v>0</v>
      </c>
      <c r="Q363" s="621">
        <f>'2. 의사결정 및 경영성과'!AU73</f>
        <v>0</v>
      </c>
      <c r="R363" s="621">
        <f>'2. 의사결정 및 경영성과'!AX73</f>
        <v>0</v>
      </c>
      <c r="S363" s="621">
        <f>'2. 의사결정 및 경영성과'!BA73</f>
        <v>0</v>
      </c>
      <c r="T363" s="621">
        <f>'2. 의사결정 및 경영성과'!BD73</f>
        <v>0</v>
      </c>
      <c r="U363" s="621">
        <f>'2. 의사결정 및 경영성과'!BG73</f>
        <v>0</v>
      </c>
      <c r="V363" s="637">
        <f>'2. 의사결정 및 경영성과'!BJ73</f>
        <v>0</v>
      </c>
    </row>
    <row r="364" spans="1:23" s="589" customFormat="1" ht="22.5" customHeight="1">
      <c r="A364" s="1331"/>
      <c r="B364" s="588" t="s">
        <v>791</v>
      </c>
      <c r="C364" s="614">
        <f t="shared" ref="C364:V364" si="44">C109</f>
        <v>1</v>
      </c>
      <c r="D364" s="614">
        <f t="shared" si="44"/>
        <v>1</v>
      </c>
      <c r="E364" s="614">
        <f t="shared" si="44"/>
        <v>1</v>
      </c>
      <c r="F364" s="614">
        <f t="shared" si="44"/>
        <v>1</v>
      </c>
      <c r="G364" s="614">
        <f t="shared" si="44"/>
        <v>2</v>
      </c>
      <c r="H364" s="614">
        <f t="shared" si="44"/>
        <v>2</v>
      </c>
      <c r="I364" s="614">
        <f t="shared" si="44"/>
        <v>2</v>
      </c>
      <c r="J364" s="614">
        <f t="shared" si="44"/>
        <v>2</v>
      </c>
      <c r="K364" s="614">
        <f t="shared" si="44"/>
        <v>3</v>
      </c>
      <c r="L364" s="614">
        <f t="shared" si="44"/>
        <v>3</v>
      </c>
      <c r="M364" s="614">
        <f t="shared" si="44"/>
        <v>4</v>
      </c>
      <c r="N364" s="614">
        <f t="shared" si="44"/>
        <v>4</v>
      </c>
      <c r="O364" s="614">
        <f t="shared" si="44"/>
        <v>0</v>
      </c>
      <c r="P364" s="614">
        <f t="shared" si="44"/>
        <v>0</v>
      </c>
      <c r="Q364" s="614">
        <f t="shared" si="44"/>
        <v>0</v>
      </c>
      <c r="R364" s="614">
        <f t="shared" si="44"/>
        <v>0</v>
      </c>
      <c r="S364" s="614">
        <f t="shared" si="44"/>
        <v>0</v>
      </c>
      <c r="T364" s="614">
        <f t="shared" si="44"/>
        <v>0</v>
      </c>
      <c r="U364" s="614">
        <f t="shared" si="44"/>
        <v>0</v>
      </c>
      <c r="V364" s="614">
        <f t="shared" si="44"/>
        <v>0</v>
      </c>
      <c r="W364" s="591"/>
    </row>
    <row r="365" spans="1:23" s="589" customFormat="1" ht="22.5" customHeight="1">
      <c r="A365" s="110"/>
      <c r="B365" s="110"/>
      <c r="C365" s="110"/>
      <c r="D365" s="110"/>
      <c r="E365" s="110"/>
      <c r="F365" s="110"/>
      <c r="G365" s="110"/>
      <c r="H365" s="110"/>
      <c r="I365" s="110"/>
      <c r="J365" s="110"/>
      <c r="K365" s="110"/>
      <c r="L365" s="110"/>
      <c r="M365" s="110"/>
      <c r="N365" s="110"/>
      <c r="O365" s="110"/>
      <c r="P365" s="110"/>
      <c r="Q365" s="110"/>
      <c r="R365" s="110"/>
      <c r="S365" s="110"/>
      <c r="T365" s="110"/>
      <c r="U365" s="110"/>
    </row>
    <row r="366" spans="1:23" s="589" customFormat="1" ht="22.5" customHeight="1">
      <c r="A366" s="110"/>
      <c r="B366" s="110"/>
      <c r="C366" s="110"/>
      <c r="D366" s="110"/>
      <c r="E366" s="110"/>
      <c r="F366" s="110"/>
      <c r="G366" s="110"/>
      <c r="H366" s="110"/>
      <c r="I366" s="110"/>
      <c r="J366" s="110"/>
      <c r="K366" s="110"/>
      <c r="L366" s="110"/>
      <c r="M366" s="110"/>
      <c r="N366" s="110"/>
      <c r="O366" s="110"/>
      <c r="P366" s="110"/>
      <c r="Q366" s="110"/>
      <c r="R366" s="110"/>
      <c r="S366" s="110"/>
      <c r="T366" s="110"/>
      <c r="U366" s="110"/>
    </row>
    <row r="367" spans="1:23" s="589" customFormat="1" ht="22.5" customHeight="1">
      <c r="A367" s="110"/>
      <c r="B367" s="110"/>
      <c r="C367" s="110"/>
      <c r="D367" s="110"/>
      <c r="E367" s="110"/>
      <c r="F367" s="110"/>
      <c r="G367" s="110"/>
      <c r="H367" s="110"/>
      <c r="I367" s="110"/>
      <c r="J367" s="110"/>
      <c r="K367" s="110"/>
      <c r="L367" s="110"/>
      <c r="M367" s="110"/>
      <c r="N367" s="110"/>
      <c r="O367" s="110"/>
      <c r="P367" s="110"/>
      <c r="Q367" s="110"/>
      <c r="R367" s="110"/>
      <c r="S367" s="110"/>
      <c r="T367" s="110"/>
      <c r="U367" s="110"/>
    </row>
    <row r="368" spans="1:23" s="589" customFormat="1" ht="22.5" customHeight="1">
      <c r="A368" s="110"/>
      <c r="B368" s="110"/>
      <c r="C368" s="110"/>
      <c r="D368" s="110"/>
      <c r="E368" s="110"/>
      <c r="F368" s="110"/>
      <c r="G368" s="110"/>
      <c r="H368" s="110"/>
      <c r="I368" s="110"/>
      <c r="J368" s="110"/>
      <c r="K368" s="110"/>
      <c r="L368" s="110"/>
      <c r="M368" s="110"/>
      <c r="N368" s="110"/>
      <c r="O368" s="110"/>
      <c r="P368" s="110"/>
      <c r="Q368" s="110"/>
      <c r="R368" s="110"/>
      <c r="S368" s="110"/>
      <c r="T368" s="110"/>
      <c r="U368" s="110"/>
    </row>
    <row r="369" spans="1:23" s="589" customFormat="1" ht="22.5" customHeight="1">
      <c r="A369" s="110"/>
      <c r="B369" s="110"/>
      <c r="C369" s="110"/>
      <c r="D369" s="110"/>
      <c r="E369" s="110"/>
      <c r="F369" s="110"/>
      <c r="G369" s="110"/>
      <c r="H369" s="110"/>
      <c r="I369" s="110"/>
      <c r="J369" s="110"/>
      <c r="K369" s="110"/>
      <c r="L369" s="110"/>
      <c r="M369" s="110"/>
      <c r="N369" s="110"/>
      <c r="O369" s="110"/>
      <c r="P369" s="110"/>
      <c r="Q369" s="110"/>
      <c r="R369" s="110"/>
      <c r="S369" s="110"/>
      <c r="T369" s="110"/>
      <c r="U369" s="110"/>
    </row>
    <row r="370" spans="1:23" s="589" customFormat="1" ht="22.5" customHeight="1">
      <c r="A370" s="110"/>
      <c r="B370" s="110"/>
      <c r="C370" s="110"/>
      <c r="D370" s="110"/>
      <c r="E370" s="110"/>
      <c r="F370" s="110"/>
      <c r="G370" s="110"/>
      <c r="H370" s="110"/>
      <c r="I370" s="110"/>
      <c r="J370" s="110"/>
      <c r="K370" s="110"/>
      <c r="L370" s="110"/>
      <c r="M370" s="110"/>
      <c r="N370" s="110"/>
      <c r="O370" s="110"/>
      <c r="P370" s="110"/>
      <c r="Q370" s="110"/>
      <c r="R370" s="110"/>
      <c r="S370" s="110"/>
      <c r="T370" s="110"/>
      <c r="U370" s="110"/>
    </row>
    <row r="371" spans="1:23" s="589" customFormat="1" ht="22.5" customHeight="1">
      <c r="A371" s="110"/>
      <c r="B371" s="110"/>
      <c r="C371" s="110"/>
      <c r="D371" s="110"/>
      <c r="E371" s="110"/>
      <c r="F371" s="110"/>
      <c r="G371" s="110"/>
      <c r="H371" s="110"/>
      <c r="I371" s="110"/>
      <c r="J371" s="110"/>
      <c r="K371" s="110"/>
      <c r="L371" s="110"/>
      <c r="M371" s="110"/>
      <c r="N371" s="110"/>
      <c r="O371" s="110"/>
      <c r="P371" s="110"/>
      <c r="Q371" s="110"/>
      <c r="R371" s="110"/>
      <c r="S371" s="110"/>
      <c r="T371" s="110"/>
      <c r="U371" s="110"/>
    </row>
    <row r="372" spans="1:23" s="589" customFormat="1" ht="22.5" customHeight="1">
      <c r="A372" s="110"/>
      <c r="B372" s="110"/>
      <c r="C372" s="110"/>
      <c r="D372" s="110"/>
      <c r="E372" s="110"/>
      <c r="F372" s="110"/>
      <c r="G372" s="110"/>
      <c r="H372" s="110"/>
      <c r="I372" s="110"/>
      <c r="J372" s="110"/>
      <c r="K372" s="110"/>
      <c r="L372" s="110"/>
      <c r="M372" s="110"/>
      <c r="N372" s="110"/>
      <c r="O372" s="110"/>
      <c r="P372" s="110"/>
      <c r="Q372" s="110"/>
      <c r="R372" s="110"/>
      <c r="S372" s="110"/>
      <c r="T372" s="110"/>
      <c r="U372" s="110"/>
    </row>
    <row r="373" spans="1:23" s="589" customFormat="1" ht="22.5" customHeight="1">
      <c r="A373" s="110"/>
      <c r="B373" s="110"/>
      <c r="C373" s="110"/>
      <c r="D373" s="110"/>
      <c r="E373" s="110"/>
      <c r="F373" s="110"/>
      <c r="G373" s="110"/>
      <c r="H373" s="110"/>
      <c r="I373" s="110"/>
      <c r="J373" s="110"/>
      <c r="K373" s="110"/>
      <c r="L373" s="110"/>
      <c r="M373" s="110"/>
      <c r="N373" s="110"/>
      <c r="O373" s="110"/>
      <c r="P373" s="110"/>
      <c r="Q373" s="110"/>
      <c r="R373" s="110"/>
      <c r="S373" s="110"/>
      <c r="T373" s="110"/>
      <c r="U373" s="110"/>
    </row>
    <row r="374" spans="1:23" s="589" customFormat="1" ht="22.5" customHeight="1">
      <c r="A374" s="110"/>
      <c r="B374" s="110"/>
      <c r="C374" s="110"/>
      <c r="D374" s="110"/>
      <c r="E374" s="110"/>
      <c r="F374" s="110"/>
      <c r="G374" s="110"/>
      <c r="H374" s="110"/>
      <c r="I374" s="110"/>
      <c r="J374" s="110"/>
      <c r="K374" s="110"/>
      <c r="L374" s="110"/>
      <c r="M374" s="110"/>
      <c r="N374" s="110"/>
      <c r="O374" s="110"/>
      <c r="P374" s="110"/>
      <c r="Q374" s="110"/>
      <c r="R374" s="110"/>
      <c r="S374" s="110"/>
      <c r="T374" s="110"/>
      <c r="U374" s="110"/>
    </row>
    <row r="375" spans="1:23" s="589" customFormat="1" ht="22.5" customHeight="1">
      <c r="A375" s="630"/>
    </row>
    <row r="376" spans="1:23" ht="22.5" customHeight="1">
      <c r="A376" s="630"/>
      <c r="B376" s="630"/>
      <c r="C376" s="630"/>
      <c r="D376" s="630"/>
      <c r="E376" s="630"/>
    </row>
    <row r="377" spans="1:23" ht="22.5" customHeight="1">
      <c r="A377" s="630"/>
      <c r="B377" s="630"/>
      <c r="C377" s="630"/>
      <c r="D377" s="630"/>
      <c r="E377" s="630"/>
    </row>
    <row r="378" spans="1:23" ht="22.5" customHeight="1">
      <c r="A378" s="630"/>
      <c r="B378" s="630"/>
      <c r="C378" s="630"/>
      <c r="D378" s="630"/>
      <c r="E378" s="630"/>
    </row>
    <row r="379" spans="1:23" ht="22.5" customHeight="1">
      <c r="A379" s="630"/>
      <c r="B379" s="630"/>
      <c r="C379" s="630"/>
      <c r="D379" s="630"/>
      <c r="E379" s="630"/>
    </row>
    <row r="380" spans="1:23" ht="25.5" customHeight="1"/>
    <row r="381" spans="1:23" s="64" customFormat="1" ht="22.5" customHeight="1">
      <c r="A381" s="1313" t="s">
        <v>792</v>
      </c>
      <c r="B381" s="1313"/>
      <c r="C381" s="1313"/>
      <c r="D381" s="1313"/>
      <c r="E381" s="1313"/>
      <c r="F381" s="110"/>
      <c r="G381" s="110"/>
      <c r="H381" s="110"/>
      <c r="I381" s="110"/>
      <c r="J381" s="110"/>
      <c r="K381" s="110"/>
      <c r="L381" s="110"/>
      <c r="M381" s="110"/>
      <c r="N381" s="110"/>
      <c r="O381" s="110"/>
      <c r="P381" s="110"/>
      <c r="Q381" s="110"/>
      <c r="R381" s="110"/>
      <c r="S381" s="110"/>
      <c r="T381" s="110"/>
      <c r="U381" s="110"/>
      <c r="V381" s="110"/>
    </row>
    <row r="382" spans="1:23" s="589" customFormat="1" ht="22.5" customHeight="1">
      <c r="A382" s="586"/>
      <c r="B382" s="587" t="s">
        <v>733</v>
      </c>
      <c r="C382" s="1314" t="s">
        <v>734</v>
      </c>
      <c r="D382" s="1314"/>
      <c r="E382" s="1314"/>
      <c r="F382" s="1314"/>
      <c r="G382" s="1314" t="s">
        <v>508</v>
      </c>
      <c r="H382" s="1314"/>
      <c r="I382" s="1314"/>
      <c r="J382" s="1314"/>
      <c r="K382" s="1314" t="s">
        <v>510</v>
      </c>
      <c r="L382" s="1314"/>
      <c r="M382" s="1314"/>
      <c r="N382" s="1314"/>
      <c r="O382" s="1314" t="s">
        <v>512</v>
      </c>
      <c r="P382" s="1314"/>
      <c r="Q382" s="1314"/>
      <c r="R382" s="1314"/>
      <c r="S382" s="1314" t="s">
        <v>516</v>
      </c>
      <c r="T382" s="1314"/>
      <c r="U382" s="1314"/>
      <c r="V382" s="1314"/>
    </row>
    <row r="383" spans="1:23" s="589" customFormat="1" ht="22.5" customHeight="1">
      <c r="A383" s="586"/>
      <c r="B383" s="587" t="s">
        <v>735</v>
      </c>
      <c r="C383" s="588" t="s">
        <v>736</v>
      </c>
      <c r="D383" s="588" t="s">
        <v>737</v>
      </c>
      <c r="E383" s="588" t="s">
        <v>738</v>
      </c>
      <c r="F383" s="588" t="s">
        <v>739</v>
      </c>
      <c r="G383" s="588" t="s">
        <v>736</v>
      </c>
      <c r="H383" s="588" t="s">
        <v>737</v>
      </c>
      <c r="I383" s="588" t="s">
        <v>738</v>
      </c>
      <c r="J383" s="588" t="s">
        <v>739</v>
      </c>
      <c r="K383" s="588" t="s">
        <v>736</v>
      </c>
      <c r="L383" s="588" t="s">
        <v>737</v>
      </c>
      <c r="M383" s="588" t="s">
        <v>738</v>
      </c>
      <c r="N383" s="588" t="s">
        <v>739</v>
      </c>
      <c r="O383" s="588" t="s">
        <v>736</v>
      </c>
      <c r="P383" s="588" t="s">
        <v>737</v>
      </c>
      <c r="Q383" s="588" t="s">
        <v>738</v>
      </c>
      <c r="R383" s="588" t="s">
        <v>739</v>
      </c>
      <c r="S383" s="588" t="s">
        <v>736</v>
      </c>
      <c r="T383" s="588" t="s">
        <v>737</v>
      </c>
      <c r="U383" s="588" t="s">
        <v>738</v>
      </c>
      <c r="V383" s="588" t="s">
        <v>739</v>
      </c>
    </row>
    <row r="384" spans="1:23" s="589" customFormat="1" ht="22.5" customHeight="1">
      <c r="A384" s="586"/>
      <c r="B384" s="588" t="s">
        <v>1032</v>
      </c>
      <c r="C384" s="627">
        <f t="shared" ref="C384:V384" si="45">C362</f>
        <v>83166</v>
      </c>
      <c r="D384" s="627">
        <f t="shared" si="45"/>
        <v>86561</v>
      </c>
      <c r="E384" s="627">
        <f t="shared" si="45"/>
        <v>98841</v>
      </c>
      <c r="F384" s="627">
        <f t="shared" si="45"/>
        <v>100838</v>
      </c>
      <c r="G384" s="627">
        <f t="shared" si="45"/>
        <v>89689</v>
      </c>
      <c r="H384" s="627">
        <f t="shared" si="45"/>
        <v>108201</v>
      </c>
      <c r="I384" s="627">
        <f t="shared" si="45"/>
        <v>121846</v>
      </c>
      <c r="J384" s="627">
        <f t="shared" si="45"/>
        <v>128679</v>
      </c>
      <c r="K384" s="627">
        <f t="shared" si="45"/>
        <v>122351</v>
      </c>
      <c r="L384" s="627">
        <f t="shared" si="45"/>
        <v>137532</v>
      </c>
      <c r="M384" s="627">
        <f t="shared" si="45"/>
        <v>130020</v>
      </c>
      <c r="N384" s="627">
        <f t="shared" si="45"/>
        <v>136080</v>
      </c>
      <c r="O384" s="627">
        <f t="shared" si="45"/>
        <v>0</v>
      </c>
      <c r="P384" s="627">
        <f t="shared" si="45"/>
        <v>0</v>
      </c>
      <c r="Q384" s="627">
        <f t="shared" si="45"/>
        <v>0</v>
      </c>
      <c r="R384" s="627">
        <f t="shared" si="45"/>
        <v>0</v>
      </c>
      <c r="S384" s="627">
        <f t="shared" si="45"/>
        <v>0</v>
      </c>
      <c r="T384" s="627">
        <f t="shared" si="45"/>
        <v>0</v>
      </c>
      <c r="U384" s="627">
        <f t="shared" si="45"/>
        <v>0</v>
      </c>
      <c r="V384" s="627">
        <f t="shared" si="45"/>
        <v>0</v>
      </c>
      <c r="W384" s="591"/>
    </row>
    <row r="385" spans="1:22" s="589" customFormat="1" ht="22.5" customHeight="1">
      <c r="A385" s="586"/>
      <c r="B385" s="636" t="s">
        <v>875</v>
      </c>
      <c r="C385" s="629">
        <f>'2. 의사결정 및 경영성과'!E46</f>
        <v>1395000000</v>
      </c>
      <c r="D385" s="629">
        <f>'2. 의사결정 및 경영성과'!H46</f>
        <v>1422000000</v>
      </c>
      <c r="E385" s="629">
        <f>'2. 의사결정 및 경영성과'!K46</f>
        <v>1485000000</v>
      </c>
      <c r="F385" s="629">
        <f>'2. 의사결정 및 경영성과'!N46</f>
        <v>1512000000</v>
      </c>
      <c r="G385" s="629">
        <f>'2. 의사결정 및 경영성과'!Q46</f>
        <v>1521000000</v>
      </c>
      <c r="H385" s="629">
        <f>'2. 의사결정 및 경영성과'!T46</f>
        <v>1530000000</v>
      </c>
      <c r="I385" s="629">
        <f>'2. 의사결정 및 경영성과'!W46</f>
        <v>1548000000</v>
      </c>
      <c r="J385" s="629">
        <f>'2. 의사결정 및 경영성과'!Z46</f>
        <v>1575000000</v>
      </c>
      <c r="K385" s="629">
        <f>'2. 의사결정 및 경영성과'!AC46</f>
        <v>1620000000</v>
      </c>
      <c r="L385" s="629">
        <f>'2. 의사결정 및 경영성과'!AF46</f>
        <v>1710000000</v>
      </c>
      <c r="M385" s="629">
        <f>'2. 의사결정 및 경영성과'!AI46</f>
        <v>1755000000</v>
      </c>
      <c r="N385" s="629">
        <f>'2. 의사결정 및 경영성과'!AL46</f>
        <v>1800000000</v>
      </c>
      <c r="O385" s="621">
        <f>'2. 의사결정 및 경영성과'!AO46</f>
        <v>0</v>
      </c>
      <c r="P385" s="621">
        <f>'2. 의사결정 및 경영성과'!AR46</f>
        <v>0</v>
      </c>
      <c r="Q385" s="621">
        <f>'2. 의사결정 및 경영성과'!AU46</f>
        <v>0</v>
      </c>
      <c r="R385" s="621">
        <f>'2. 의사결정 및 경영성과'!AX46</f>
        <v>0</v>
      </c>
      <c r="S385" s="621">
        <f>'2. 의사결정 및 경영성과'!BA46</f>
        <v>0</v>
      </c>
      <c r="T385" s="621">
        <f>'2. 의사결정 및 경영성과'!BD46</f>
        <v>0</v>
      </c>
      <c r="U385" s="621">
        <f>'2. 의사결정 및 경영성과'!BG46</f>
        <v>0</v>
      </c>
      <c r="V385" s="637">
        <f>'2. 의사결정 및 경영성과'!BJ46</f>
        <v>0</v>
      </c>
    </row>
    <row r="386" spans="1:22" s="589" customFormat="1" ht="22.5" customHeight="1">
      <c r="A386" s="586"/>
      <c r="B386" s="588" t="s">
        <v>786</v>
      </c>
      <c r="C386" s="590">
        <f>'2. 의사결정 및 경영성과'!$E$38</f>
        <v>640000000</v>
      </c>
      <c r="D386" s="590">
        <f>'2. 의사결정 및 경영성과'!$E$38</f>
        <v>640000000</v>
      </c>
      <c r="E386" s="590">
        <f>'2. 의사결정 및 경영성과'!$E$38</f>
        <v>640000000</v>
      </c>
      <c r="F386" s="590">
        <f>'2. 의사결정 및 경영성과'!$E$38</f>
        <v>640000000</v>
      </c>
      <c r="G386" s="590">
        <f>'2. 의사결정 및 경영성과'!$E$38</f>
        <v>640000000</v>
      </c>
      <c r="H386" s="590">
        <f>'2. 의사결정 및 경영성과'!$E$38</f>
        <v>640000000</v>
      </c>
      <c r="I386" s="590">
        <f>'2. 의사결정 및 경영성과'!$E$38</f>
        <v>640000000</v>
      </c>
      <c r="J386" s="590">
        <f>'2. 의사결정 및 경영성과'!$E$38</f>
        <v>640000000</v>
      </c>
      <c r="K386" s="590">
        <f>'2. 의사결정 및 경영성과'!$E$38</f>
        <v>640000000</v>
      </c>
      <c r="L386" s="590">
        <f>'2. 의사결정 및 경영성과'!$E$38</f>
        <v>640000000</v>
      </c>
      <c r="M386" s="590">
        <f>'2. 의사결정 및 경영성과'!$E$38</f>
        <v>640000000</v>
      </c>
      <c r="N386" s="590">
        <f>'2. 의사결정 및 경영성과'!$E$38</f>
        <v>640000000</v>
      </c>
      <c r="O386" s="627">
        <f t="shared" ref="O386:V386" si="46">O308</f>
        <v>0</v>
      </c>
      <c r="P386" s="627">
        <f t="shared" si="46"/>
        <v>0</v>
      </c>
      <c r="Q386" s="627">
        <f t="shared" si="46"/>
        <v>0</v>
      </c>
      <c r="R386" s="627">
        <f t="shared" si="46"/>
        <v>0</v>
      </c>
      <c r="S386" s="627">
        <f t="shared" si="46"/>
        <v>0</v>
      </c>
      <c r="T386" s="627">
        <f t="shared" si="46"/>
        <v>0</v>
      </c>
      <c r="U386" s="627">
        <f t="shared" si="46"/>
        <v>0</v>
      </c>
      <c r="V386" s="627">
        <f t="shared" si="46"/>
        <v>0</v>
      </c>
    </row>
    <row r="388" spans="1:22" s="589" customFormat="1" ht="22.5" customHeight="1">
      <c r="A388" s="110"/>
      <c r="B388" s="110"/>
      <c r="C388" s="110"/>
      <c r="D388" s="110"/>
      <c r="E388" s="110"/>
      <c r="F388" s="110"/>
      <c r="G388" s="110"/>
      <c r="H388" s="110"/>
      <c r="I388" s="110"/>
      <c r="J388" s="110"/>
      <c r="K388" s="110"/>
      <c r="L388" s="110"/>
      <c r="M388" s="110"/>
      <c r="N388" s="110"/>
      <c r="O388" s="110"/>
      <c r="P388" s="110"/>
      <c r="Q388" s="110"/>
      <c r="R388" s="110"/>
      <c r="S388" s="110"/>
      <c r="T388" s="110"/>
      <c r="U388" s="110"/>
    </row>
    <row r="389" spans="1:22" s="589" customFormat="1" ht="22.5" customHeight="1">
      <c r="A389" s="110"/>
      <c r="B389" s="110"/>
      <c r="C389" s="110"/>
      <c r="D389" s="110"/>
      <c r="E389" s="110"/>
      <c r="F389" s="110"/>
      <c r="G389" s="110"/>
      <c r="H389" s="110"/>
      <c r="I389" s="110"/>
      <c r="J389" s="110"/>
      <c r="K389" s="110"/>
      <c r="L389" s="110"/>
      <c r="M389" s="110"/>
      <c r="N389" s="110"/>
      <c r="O389" s="110"/>
      <c r="P389" s="110"/>
      <c r="Q389" s="110"/>
      <c r="R389" s="110"/>
      <c r="S389" s="110"/>
      <c r="T389" s="110"/>
      <c r="U389" s="110"/>
    </row>
    <row r="390" spans="1:22" s="589" customFormat="1" ht="22.5" customHeight="1">
      <c r="A390" s="110"/>
      <c r="B390" s="110"/>
      <c r="C390" s="110"/>
      <c r="D390" s="110"/>
      <c r="E390" s="110"/>
      <c r="F390" s="110"/>
      <c r="G390" s="110"/>
      <c r="H390" s="110"/>
      <c r="I390" s="110"/>
      <c r="J390" s="110"/>
      <c r="K390" s="110"/>
      <c r="L390" s="110"/>
      <c r="M390" s="110"/>
      <c r="N390" s="110"/>
      <c r="O390" s="110"/>
      <c r="P390" s="110"/>
      <c r="Q390" s="110"/>
      <c r="R390" s="110"/>
      <c r="S390" s="110"/>
      <c r="T390" s="110"/>
      <c r="U390" s="110"/>
    </row>
    <row r="391" spans="1:22" s="589" customFormat="1" ht="22.5" customHeight="1">
      <c r="A391" s="110"/>
      <c r="B391" s="110"/>
      <c r="C391" s="110"/>
      <c r="D391" s="110"/>
      <c r="E391" s="110"/>
      <c r="F391" s="110"/>
      <c r="G391" s="110"/>
      <c r="H391" s="110"/>
      <c r="I391" s="110"/>
      <c r="J391" s="110"/>
      <c r="K391" s="110"/>
      <c r="L391" s="110"/>
      <c r="M391" s="110"/>
      <c r="N391" s="110"/>
      <c r="O391" s="110"/>
      <c r="P391" s="110"/>
      <c r="Q391" s="110"/>
      <c r="R391" s="110"/>
      <c r="S391" s="110"/>
      <c r="T391" s="110"/>
      <c r="U391" s="110"/>
    </row>
    <row r="392" spans="1:22" s="589" customFormat="1" ht="22.5" customHeight="1">
      <c r="A392" s="110"/>
      <c r="B392" s="110"/>
      <c r="C392" s="110"/>
      <c r="D392" s="110"/>
      <c r="E392" s="110"/>
      <c r="F392" s="110"/>
      <c r="G392" s="110"/>
      <c r="H392" s="110"/>
      <c r="I392" s="110"/>
      <c r="J392" s="110"/>
      <c r="K392" s="110"/>
      <c r="L392" s="110"/>
      <c r="M392" s="110"/>
      <c r="N392" s="110"/>
      <c r="O392" s="110"/>
      <c r="P392" s="110"/>
      <c r="Q392" s="110"/>
      <c r="R392" s="110"/>
      <c r="S392" s="110"/>
      <c r="T392" s="110"/>
      <c r="U392" s="110"/>
    </row>
    <row r="393" spans="1:22" s="589" customFormat="1" ht="22.5" customHeight="1">
      <c r="A393" s="110"/>
      <c r="B393" s="110"/>
      <c r="C393" s="110"/>
      <c r="D393" s="110"/>
      <c r="E393" s="110"/>
      <c r="F393" s="110"/>
      <c r="G393" s="110"/>
      <c r="H393" s="110"/>
      <c r="I393" s="110"/>
      <c r="J393" s="110"/>
      <c r="K393" s="110"/>
      <c r="L393" s="110"/>
      <c r="M393" s="110"/>
      <c r="N393" s="110"/>
      <c r="O393" s="110"/>
      <c r="P393" s="110"/>
      <c r="Q393" s="110"/>
      <c r="R393" s="110"/>
      <c r="S393" s="110"/>
      <c r="T393" s="110"/>
      <c r="U393" s="110"/>
    </row>
    <row r="394" spans="1:22" s="589" customFormat="1" ht="22.5" customHeight="1">
      <c r="A394" s="110"/>
      <c r="B394" s="110"/>
      <c r="C394" s="110"/>
      <c r="D394" s="110"/>
      <c r="E394" s="110"/>
      <c r="F394" s="110"/>
      <c r="G394" s="110"/>
      <c r="H394" s="110"/>
      <c r="I394" s="110"/>
      <c r="J394" s="110"/>
      <c r="K394" s="110"/>
      <c r="L394" s="110"/>
      <c r="M394" s="110"/>
      <c r="N394" s="110"/>
      <c r="O394" s="110"/>
      <c r="P394" s="110"/>
      <c r="Q394" s="110"/>
      <c r="R394" s="110"/>
      <c r="S394" s="110"/>
      <c r="T394" s="110"/>
      <c r="U394" s="110"/>
    </row>
    <row r="395" spans="1:22" s="589" customFormat="1" ht="22.5" customHeight="1">
      <c r="A395" s="110"/>
      <c r="B395" s="110"/>
      <c r="C395" s="110"/>
      <c r="D395" s="110"/>
      <c r="E395" s="110"/>
      <c r="F395" s="110"/>
      <c r="G395" s="110"/>
      <c r="H395" s="110"/>
      <c r="I395" s="110"/>
      <c r="J395" s="110"/>
      <c r="K395" s="110"/>
      <c r="L395" s="110"/>
      <c r="M395" s="110"/>
      <c r="N395" s="110"/>
      <c r="O395" s="110"/>
      <c r="P395" s="110"/>
      <c r="Q395" s="110"/>
      <c r="R395" s="110"/>
      <c r="S395" s="110"/>
      <c r="T395" s="110"/>
      <c r="U395" s="110"/>
    </row>
    <row r="396" spans="1:22" s="589" customFormat="1" ht="22.5" customHeight="1">
      <c r="A396" s="110"/>
      <c r="B396" s="110"/>
      <c r="C396" s="110"/>
      <c r="D396" s="110"/>
      <c r="E396" s="110"/>
      <c r="F396" s="110"/>
      <c r="G396" s="110"/>
      <c r="H396" s="110"/>
      <c r="I396" s="110"/>
      <c r="J396" s="110"/>
      <c r="K396" s="110"/>
      <c r="L396" s="110"/>
      <c r="M396" s="110"/>
      <c r="N396" s="110"/>
      <c r="O396" s="110"/>
      <c r="P396" s="110"/>
      <c r="Q396" s="110"/>
      <c r="R396" s="110"/>
      <c r="S396" s="110"/>
      <c r="T396" s="110"/>
      <c r="U396" s="110"/>
    </row>
    <row r="397" spans="1:22" s="589" customFormat="1" ht="22.5" customHeight="1">
      <c r="A397" s="630"/>
    </row>
    <row r="398" spans="1:22" ht="22.5" customHeight="1">
      <c r="A398" s="630"/>
      <c r="B398" s="630"/>
      <c r="C398" s="630"/>
      <c r="D398" s="630"/>
      <c r="E398" s="630"/>
    </row>
    <row r="399" spans="1:22" ht="22.5" customHeight="1">
      <c r="A399" s="630"/>
      <c r="B399" s="630"/>
      <c r="C399" s="630"/>
      <c r="D399" s="630"/>
      <c r="E399" s="630"/>
    </row>
    <row r="400" spans="1:22" ht="22.5" customHeight="1">
      <c r="A400" s="630"/>
      <c r="B400" s="630"/>
      <c r="C400" s="630"/>
      <c r="D400" s="630"/>
      <c r="E400" s="630"/>
    </row>
    <row r="401" spans="1:22" ht="22.5" customHeight="1">
      <c r="A401" s="630"/>
      <c r="B401" s="630"/>
      <c r="C401" s="630"/>
      <c r="D401" s="630"/>
      <c r="E401" s="630"/>
    </row>
    <row r="402" spans="1:22" ht="25.5" customHeight="1">
      <c r="A402" s="1313" t="s">
        <v>1155</v>
      </c>
      <c r="B402" s="1313"/>
      <c r="C402" s="1313"/>
      <c r="D402" s="1313"/>
      <c r="E402" s="1313"/>
    </row>
    <row r="403" spans="1:22" ht="17.350000000000001">
      <c r="B403" s="587" t="s">
        <v>733</v>
      </c>
      <c r="C403" s="1314" t="s">
        <v>734</v>
      </c>
      <c r="D403" s="1314"/>
      <c r="E403" s="1314"/>
      <c r="F403" s="1314"/>
      <c r="G403" s="1314" t="s">
        <v>508</v>
      </c>
      <c r="H403" s="1314"/>
      <c r="I403" s="1314"/>
      <c r="J403" s="1314"/>
      <c r="K403" s="1314" t="s">
        <v>510</v>
      </c>
      <c r="L403" s="1314"/>
      <c r="M403" s="1314"/>
      <c r="N403" s="1314"/>
      <c r="O403" s="1314" t="s">
        <v>512</v>
      </c>
      <c r="P403" s="1314"/>
      <c r="Q403" s="1314"/>
      <c r="R403" s="1314"/>
      <c r="S403" s="1314" t="s">
        <v>516</v>
      </c>
      <c r="T403" s="1314"/>
      <c r="U403" s="1314"/>
      <c r="V403" s="1314"/>
    </row>
    <row r="404" spans="1:22" ht="17.350000000000001">
      <c r="B404" s="587" t="s">
        <v>735</v>
      </c>
      <c r="C404" s="588" t="s">
        <v>736</v>
      </c>
      <c r="D404" s="588" t="s">
        <v>737</v>
      </c>
      <c r="E404" s="588" t="s">
        <v>738</v>
      </c>
      <c r="F404" s="588" t="s">
        <v>739</v>
      </c>
      <c r="G404" s="588" t="s">
        <v>736</v>
      </c>
      <c r="H404" s="588" t="s">
        <v>737</v>
      </c>
      <c r="I404" s="588" t="s">
        <v>738</v>
      </c>
      <c r="J404" s="588" t="s">
        <v>739</v>
      </c>
      <c r="K404" s="588" t="s">
        <v>736</v>
      </c>
      <c r="L404" s="588" t="s">
        <v>737</v>
      </c>
      <c r="M404" s="588" t="s">
        <v>738</v>
      </c>
      <c r="N404" s="588" t="s">
        <v>739</v>
      </c>
      <c r="O404" s="588" t="s">
        <v>736</v>
      </c>
      <c r="P404" s="588" t="s">
        <v>737</v>
      </c>
      <c r="Q404" s="588" t="s">
        <v>738</v>
      </c>
      <c r="R404" s="588" t="s">
        <v>739</v>
      </c>
      <c r="S404" s="588" t="s">
        <v>736</v>
      </c>
      <c r="T404" s="588" t="s">
        <v>737</v>
      </c>
      <c r="U404" s="588" t="s">
        <v>738</v>
      </c>
      <c r="V404" s="588" t="s">
        <v>739</v>
      </c>
    </row>
    <row r="405" spans="1:22" ht="17.350000000000001">
      <c r="B405" s="588" t="s">
        <v>1154</v>
      </c>
      <c r="C405" s="627">
        <f>'2. 의사결정 및 경영성과'!E43</f>
        <v>0</v>
      </c>
      <c r="D405" s="627">
        <f>'2. 의사결정 및 경영성과'!H43</f>
        <v>0</v>
      </c>
      <c r="E405" s="627">
        <f>'2. 의사결정 및 경영성과'!K43</f>
        <v>0</v>
      </c>
      <c r="F405" s="627">
        <f>'2. 의사결정 및 경영성과'!N43</f>
        <v>0</v>
      </c>
      <c r="G405" s="627">
        <f>'2. 의사결정 및 경영성과'!Q43</f>
        <v>2</v>
      </c>
      <c r="H405" s="627">
        <f>'2. 의사결정 및 경영성과'!T43</f>
        <v>3</v>
      </c>
      <c r="I405" s="627">
        <f>'2. 의사결정 및 경영성과'!W43</f>
        <v>4</v>
      </c>
      <c r="J405" s="627">
        <f>'2. 의사결정 및 경영성과'!Z43</f>
        <v>4</v>
      </c>
      <c r="K405" s="627">
        <f>'2. 의사결정 및 경영성과'!AC43</f>
        <v>4</v>
      </c>
      <c r="L405" s="627">
        <f>'2. 의사결정 및 경영성과'!AF43</f>
        <v>4</v>
      </c>
      <c r="M405" s="627">
        <f>'2. 의사결정 및 경영성과'!AI43</f>
        <v>7</v>
      </c>
      <c r="N405" s="627">
        <f>'2. 의사결정 및 경영성과'!AL43</f>
        <v>5</v>
      </c>
      <c r="O405" s="627">
        <f>'2. 의사결정 및 경영성과'!AO43</f>
        <v>0</v>
      </c>
      <c r="P405" s="627">
        <f>'2. 의사결정 및 경영성과'!AR43</f>
        <v>0</v>
      </c>
      <c r="Q405" s="627">
        <f>'2. 의사결정 및 경영성과'!AU43</f>
        <v>0</v>
      </c>
      <c r="R405" s="627">
        <f>'2. 의사결정 및 경영성과'!AX43</f>
        <v>0</v>
      </c>
      <c r="S405" s="627">
        <f>'2. 의사결정 및 경영성과'!BA43</f>
        <v>0</v>
      </c>
      <c r="T405" s="627">
        <f>'2. 의사결정 및 경영성과'!BD43</f>
        <v>0</v>
      </c>
      <c r="U405" s="627">
        <f>'2. 의사결정 및 경영성과'!BG43</f>
        <v>0</v>
      </c>
      <c r="V405" s="627">
        <f>'2. 의사결정 및 경영성과'!BJ43</f>
        <v>0</v>
      </c>
    </row>
    <row r="406" spans="1:22" ht="17.350000000000001">
      <c r="B406" s="636" t="s">
        <v>1153</v>
      </c>
      <c r="C406" s="629">
        <f>'2. 의사결정 및 경영성과'!E66</f>
        <v>7</v>
      </c>
      <c r="D406" s="629">
        <f>'2. 의사결정 및 경영성과'!H66</f>
        <v>7</v>
      </c>
      <c r="E406" s="629">
        <f>'2. 의사결정 및 경영성과'!K66</f>
        <v>6</v>
      </c>
      <c r="F406" s="629">
        <f>'2. 의사결정 및 경영성과'!N66</f>
        <v>6</v>
      </c>
      <c r="G406" s="629">
        <f>'2. 의사결정 및 경영성과'!Q66</f>
        <v>6</v>
      </c>
      <c r="H406" s="629">
        <f>'2. 의사결정 및 경영성과'!T66</f>
        <v>5</v>
      </c>
      <c r="I406" s="629">
        <f>'2. 의사결정 및 경영성과'!W66</f>
        <v>5</v>
      </c>
      <c r="J406" s="629">
        <f>'2. 의사결정 및 경영성과'!Z66</f>
        <v>5</v>
      </c>
      <c r="K406" s="629">
        <f>'2. 의사결정 및 경영성과'!AC66</f>
        <v>4</v>
      </c>
      <c r="L406" s="629">
        <f>'2. 의사결정 및 경영성과'!AF66</f>
        <v>4</v>
      </c>
      <c r="M406" s="629">
        <f>'2. 의사결정 및 경영성과'!AI66</f>
        <v>4</v>
      </c>
      <c r="N406" s="629">
        <f>'2. 의사결정 및 경영성과'!AL66</f>
        <v>4</v>
      </c>
      <c r="O406" s="621">
        <f>'2. 의사결정 및 경영성과'!AO66</f>
        <v>0</v>
      </c>
      <c r="P406" s="621">
        <f>'2. 의사결정 및 경영성과'!AR66</f>
        <v>0</v>
      </c>
      <c r="Q406" s="621">
        <f>'2. 의사결정 및 경영성과'!AU66</f>
        <v>0</v>
      </c>
      <c r="R406" s="621">
        <f>'2. 의사결정 및 경영성과'!AX66</f>
        <v>0</v>
      </c>
      <c r="S406" s="621">
        <f>'2. 의사결정 및 경영성과'!BA66</f>
        <v>0</v>
      </c>
      <c r="T406" s="621">
        <f>'2. 의사결정 및 경영성과'!BD66</f>
        <v>0</v>
      </c>
      <c r="U406" s="621">
        <f>'2. 의사결정 및 경영성과'!BG66</f>
        <v>0</v>
      </c>
      <c r="V406" s="637">
        <f>'2. 의사결정 및 경영성과'!BJ66</f>
        <v>0</v>
      </c>
    </row>
    <row r="422" spans="1:22" ht="21">
      <c r="A422" s="1313" t="s">
        <v>1156</v>
      </c>
      <c r="B422" s="1313"/>
      <c r="C422" s="1313"/>
      <c r="D422" s="1313"/>
      <c r="E422" s="1313"/>
    </row>
    <row r="424" spans="1:22" ht="17.350000000000001">
      <c r="B424" s="587" t="s">
        <v>733</v>
      </c>
      <c r="C424" s="1314" t="s">
        <v>734</v>
      </c>
      <c r="D424" s="1314"/>
      <c r="E424" s="1314"/>
      <c r="F424" s="1314"/>
      <c r="G424" s="1314" t="s">
        <v>508</v>
      </c>
      <c r="H424" s="1314"/>
      <c r="I424" s="1314"/>
      <c r="J424" s="1314"/>
      <c r="K424" s="1314" t="s">
        <v>510</v>
      </c>
      <c r="L424" s="1314"/>
      <c r="M424" s="1314"/>
      <c r="N424" s="1314"/>
      <c r="O424" s="1314" t="s">
        <v>512</v>
      </c>
      <c r="P424" s="1314"/>
      <c r="Q424" s="1314"/>
      <c r="R424" s="1314"/>
      <c r="S424" s="1314" t="s">
        <v>516</v>
      </c>
      <c r="T424" s="1314"/>
      <c r="U424" s="1314"/>
      <c r="V424" s="1314"/>
    </row>
    <row r="425" spans="1:22" ht="17.350000000000001">
      <c r="B425" s="587" t="s">
        <v>735</v>
      </c>
      <c r="C425" s="588" t="s">
        <v>736</v>
      </c>
      <c r="D425" s="588" t="s">
        <v>737</v>
      </c>
      <c r="E425" s="588" t="s">
        <v>738</v>
      </c>
      <c r="F425" s="588" t="s">
        <v>739</v>
      </c>
      <c r="G425" s="588" t="s">
        <v>736</v>
      </c>
      <c r="H425" s="588" t="s">
        <v>737</v>
      </c>
      <c r="I425" s="588" t="s">
        <v>738</v>
      </c>
      <c r="J425" s="588" t="s">
        <v>739</v>
      </c>
      <c r="K425" s="588" t="s">
        <v>736</v>
      </c>
      <c r="L425" s="588" t="s">
        <v>737</v>
      </c>
      <c r="M425" s="588" t="s">
        <v>738</v>
      </c>
      <c r="N425" s="588" t="s">
        <v>739</v>
      </c>
      <c r="O425" s="588" t="s">
        <v>736</v>
      </c>
      <c r="P425" s="588" t="s">
        <v>737</v>
      </c>
      <c r="Q425" s="588" t="s">
        <v>738</v>
      </c>
      <c r="R425" s="588" t="s">
        <v>739</v>
      </c>
      <c r="S425" s="588" t="s">
        <v>736</v>
      </c>
      <c r="T425" s="588" t="s">
        <v>737</v>
      </c>
      <c r="U425" s="588" t="s">
        <v>738</v>
      </c>
      <c r="V425" s="588" t="s">
        <v>739</v>
      </c>
    </row>
    <row r="426" spans="1:22" ht="17.350000000000001">
      <c r="B426" s="588" t="s">
        <v>1157</v>
      </c>
      <c r="C426" s="627">
        <f>'2. 의사결정 및 경영성과'!E39</f>
        <v>10</v>
      </c>
      <c r="D426" s="627">
        <f>'2. 의사결정 및 경영성과'!H39</f>
        <v>9</v>
      </c>
      <c r="E426" s="627">
        <f>'2. 의사결정 및 경영성과'!K39</f>
        <v>8</v>
      </c>
      <c r="F426" s="627">
        <f>'2. 의사결정 및 경영성과'!N39</f>
        <v>8</v>
      </c>
      <c r="G426" s="627">
        <f>'2. 의사결정 및 경영성과'!Q39</f>
        <v>6</v>
      </c>
      <c r="H426" s="627">
        <f>'2. 의사결정 및 경영성과'!T39</f>
        <v>6</v>
      </c>
      <c r="I426" s="627">
        <f>'2. 의사결정 및 경영성과'!W39</f>
        <v>6</v>
      </c>
      <c r="J426" s="627">
        <f>'2. 의사결정 및 경영성과'!Z39</f>
        <v>5</v>
      </c>
      <c r="K426" s="627">
        <f>'2. 의사결정 및 경영성과'!AC39</f>
        <v>4</v>
      </c>
      <c r="L426" s="627">
        <f>'2. 의사결정 및 경영성과'!AF39</f>
        <v>4</v>
      </c>
      <c r="M426" s="627">
        <f>'2. 의사결정 및 경영성과'!AI39</f>
        <v>5</v>
      </c>
      <c r="N426" s="627">
        <f>'2. 의사결정 및 경영성과'!AL39</f>
        <v>5</v>
      </c>
      <c r="O426" s="627">
        <f>'2. 의사결정 및 경영성과'!AO39</f>
        <v>0</v>
      </c>
      <c r="P426" s="627">
        <f>'2. 의사결정 및 경영성과'!AR39</f>
        <v>0</v>
      </c>
      <c r="Q426" s="627">
        <f>'2. 의사결정 및 경영성과'!AU39</f>
        <v>0</v>
      </c>
      <c r="R426" s="627">
        <f>'2. 의사결정 및 경영성과'!AX39</f>
        <v>0</v>
      </c>
      <c r="S426" s="627">
        <f>'2. 의사결정 및 경영성과'!BA39</f>
        <v>0</v>
      </c>
      <c r="T426" s="627">
        <f>'2. 의사결정 및 경영성과'!BD39</f>
        <v>0</v>
      </c>
      <c r="U426" s="627">
        <f>'2. 의사결정 및 경영성과'!BG39</f>
        <v>0</v>
      </c>
      <c r="V426" s="627">
        <f>'2. 의사결정 및 경영성과'!BJ39</f>
        <v>0</v>
      </c>
    </row>
    <row r="427" spans="1:22" ht="17.350000000000001">
      <c r="B427" s="636" t="s">
        <v>1158</v>
      </c>
      <c r="C427" s="629">
        <f>'2. 의사결정 및 경영성과'!E40</f>
        <v>0</v>
      </c>
      <c r="D427" s="629">
        <f>'2. 의사결정 및 경영성과'!H40</f>
        <v>0</v>
      </c>
      <c r="E427" s="629">
        <f>'2. 의사결정 및 경영성과'!K40</f>
        <v>0</v>
      </c>
      <c r="F427" s="629">
        <f>'2. 의사결정 및 경영성과'!N40</f>
        <v>4</v>
      </c>
      <c r="G427" s="629">
        <f>'2. 의사결정 및 경영성과'!Q40</f>
        <v>5</v>
      </c>
      <c r="H427" s="629">
        <f>'2. 의사결정 및 경영성과'!T40</f>
        <v>7</v>
      </c>
      <c r="I427" s="629">
        <f>'2. 의사결정 및 경영성과'!W40</f>
        <v>7</v>
      </c>
      <c r="J427" s="629">
        <f>'2. 의사결정 및 경영성과'!Z40</f>
        <v>6</v>
      </c>
      <c r="K427" s="629">
        <f>'2. 의사결정 및 경영성과'!AC40</f>
        <v>7</v>
      </c>
      <c r="L427" s="629">
        <f>'2. 의사결정 및 경영성과'!AF40</f>
        <v>7</v>
      </c>
      <c r="M427" s="629">
        <f>'2. 의사결정 및 경영성과'!AI40</f>
        <v>5</v>
      </c>
      <c r="N427" s="629">
        <f>'2. 의사결정 및 경영성과'!AL40</f>
        <v>3</v>
      </c>
      <c r="O427" s="621">
        <f>'2. 의사결정 및 경영성과'!AO40</f>
        <v>0</v>
      </c>
      <c r="P427" s="621">
        <f>'2. 의사결정 및 경영성과'!AR40</f>
        <v>0</v>
      </c>
      <c r="Q427" s="621">
        <f>'2. 의사결정 및 경영성과'!AU40</f>
        <v>0</v>
      </c>
      <c r="R427" s="621">
        <f>'2. 의사결정 및 경영성과'!AX40</f>
        <v>0</v>
      </c>
      <c r="S427" s="621">
        <f>'2. 의사결정 및 경영성과'!BA40</f>
        <v>0</v>
      </c>
      <c r="T427" s="621">
        <f>'2. 의사결정 및 경영성과'!BD40</f>
        <v>0</v>
      </c>
      <c r="U427" s="621">
        <f>'2. 의사결정 및 경영성과'!BG40</f>
        <v>0</v>
      </c>
      <c r="V427" s="637">
        <f>'2. 의사결정 및 경영성과'!BJ40</f>
        <v>0</v>
      </c>
    </row>
    <row r="428" spans="1:22" ht="17.350000000000001">
      <c r="B428" s="588" t="s">
        <v>1160</v>
      </c>
      <c r="C428" s="590">
        <f>'2. 의사결정 및 경영성과'!E18</f>
        <v>1</v>
      </c>
      <c r="D428" s="590">
        <f>'2. 의사결정 및 경영성과'!H18</f>
        <v>1</v>
      </c>
      <c r="E428" s="590">
        <f>'2. 의사결정 및 경영성과'!K18</f>
        <v>1</v>
      </c>
      <c r="F428" s="590">
        <f>'2. 의사결정 및 경영성과'!N18</f>
        <v>1</v>
      </c>
      <c r="G428" s="590">
        <f>'2. 의사결정 및 경영성과'!Q18</f>
        <v>2</v>
      </c>
      <c r="H428" s="590">
        <f>'2. 의사결정 및 경영성과'!T18</f>
        <v>2</v>
      </c>
      <c r="I428" s="590">
        <f>'2. 의사결정 및 경영성과'!W18</f>
        <v>2</v>
      </c>
      <c r="J428" s="627">
        <f>'2. 의사결정 및 경영성과'!Z18</f>
        <v>2</v>
      </c>
      <c r="K428" s="627">
        <f>'2. 의사결정 및 경영성과'!AC18</f>
        <v>3</v>
      </c>
      <c r="L428" s="627">
        <f>'2. 의사결정 및 경영성과'!AF18</f>
        <v>3</v>
      </c>
      <c r="M428" s="627">
        <f>'2. 의사결정 및 경영성과'!AI18</f>
        <v>4</v>
      </c>
      <c r="N428" s="627">
        <f>'2. 의사결정 및 경영성과'!AL18</f>
        <v>4</v>
      </c>
      <c r="O428" s="627">
        <f>'2. 의사결정 및 경영성과'!AO18</f>
        <v>0</v>
      </c>
      <c r="P428" s="627">
        <f>'2. 의사결정 및 경영성과'!AR18</f>
        <v>0</v>
      </c>
      <c r="Q428" s="627">
        <f>'2. 의사결정 및 경영성과'!AU18</f>
        <v>0</v>
      </c>
      <c r="R428" s="627">
        <f>'2. 의사결정 및 경영성과'!AX18</f>
        <v>0</v>
      </c>
      <c r="S428" s="627">
        <f>'2. 의사결정 및 경영성과'!BA18</f>
        <v>0</v>
      </c>
      <c r="T428" s="627">
        <f>'2. 의사결정 및 경영성과'!BD18</f>
        <v>0</v>
      </c>
      <c r="U428" s="627">
        <f>'2. 의사결정 및 경영성과'!BG18</f>
        <v>0</v>
      </c>
      <c r="V428" s="627">
        <f>'2. 의사결정 및 경영성과'!BJ18</f>
        <v>0</v>
      </c>
    </row>
  </sheetData>
  <mergeCells count="140">
    <mergeCell ref="A402:E402"/>
    <mergeCell ref="C403:F403"/>
    <mergeCell ref="G403:J403"/>
    <mergeCell ref="K403:N403"/>
    <mergeCell ref="O403:R403"/>
    <mergeCell ref="S403:V403"/>
    <mergeCell ref="A422:E422"/>
    <mergeCell ref="C424:F424"/>
    <mergeCell ref="G424:J424"/>
    <mergeCell ref="K424:N424"/>
    <mergeCell ref="O424:R424"/>
    <mergeCell ref="S424:V424"/>
    <mergeCell ref="A360:A364"/>
    <mergeCell ref="C360:F360"/>
    <mergeCell ref="G360:J360"/>
    <mergeCell ref="K360:N360"/>
    <mergeCell ref="O360:R360"/>
    <mergeCell ref="S360:V360"/>
    <mergeCell ref="A381:E381"/>
    <mergeCell ref="C382:F382"/>
    <mergeCell ref="G382:J382"/>
    <mergeCell ref="K382:N382"/>
    <mergeCell ref="O382:R382"/>
    <mergeCell ref="S382:V382"/>
    <mergeCell ref="A305:D305"/>
    <mergeCell ref="B306:B307"/>
    <mergeCell ref="C306:F306"/>
    <mergeCell ref="G306:J306"/>
    <mergeCell ref="K306:N306"/>
    <mergeCell ref="O306:R306"/>
    <mergeCell ref="S306:V306"/>
    <mergeCell ref="A330:E330"/>
    <mergeCell ref="B331:B332"/>
    <mergeCell ref="C331:F331"/>
    <mergeCell ref="G331:J331"/>
    <mergeCell ref="K331:N331"/>
    <mergeCell ref="O331:R331"/>
    <mergeCell ref="S331:V331"/>
    <mergeCell ref="S254:V254"/>
    <mergeCell ref="A256:A257"/>
    <mergeCell ref="A258:A260"/>
    <mergeCell ref="A261:A263"/>
    <mergeCell ref="A264:A265"/>
    <mergeCell ref="A280:D280"/>
    <mergeCell ref="B281:B282"/>
    <mergeCell ref="C281:F281"/>
    <mergeCell ref="G281:J281"/>
    <mergeCell ref="K281:N281"/>
    <mergeCell ref="O281:R281"/>
    <mergeCell ref="S281:V281"/>
    <mergeCell ref="A231:A232"/>
    <mergeCell ref="A233:A234"/>
    <mergeCell ref="A235:A236"/>
    <mergeCell ref="A253:D253"/>
    <mergeCell ref="A254:A255"/>
    <mergeCell ref="C254:F254"/>
    <mergeCell ref="G254:J254"/>
    <mergeCell ref="K254:N254"/>
    <mergeCell ref="O254:R254"/>
    <mergeCell ref="S204:V204"/>
    <mergeCell ref="A206:A207"/>
    <mergeCell ref="A208:A209"/>
    <mergeCell ref="A210:A211"/>
    <mergeCell ref="A228:D228"/>
    <mergeCell ref="A229:A230"/>
    <mergeCell ref="C229:F229"/>
    <mergeCell ref="G229:J229"/>
    <mergeCell ref="K229:N229"/>
    <mergeCell ref="O229:R229"/>
    <mergeCell ref="S229:V229"/>
    <mergeCell ref="A181:A182"/>
    <mergeCell ref="A183:A184"/>
    <mergeCell ref="A185:A186"/>
    <mergeCell ref="A203:D203"/>
    <mergeCell ref="A204:A205"/>
    <mergeCell ref="C204:F204"/>
    <mergeCell ref="G204:J204"/>
    <mergeCell ref="K204:N204"/>
    <mergeCell ref="O204:R204"/>
    <mergeCell ref="A158:A159"/>
    <mergeCell ref="A160:A161"/>
    <mergeCell ref="A178:C178"/>
    <mergeCell ref="A179:A180"/>
    <mergeCell ref="C179:F179"/>
    <mergeCell ref="G179:J179"/>
    <mergeCell ref="K179:N179"/>
    <mergeCell ref="O179:R179"/>
    <mergeCell ref="S179:V179"/>
    <mergeCell ref="A136:A137"/>
    <mergeCell ref="A153:C153"/>
    <mergeCell ref="A154:A155"/>
    <mergeCell ref="C154:F154"/>
    <mergeCell ref="G154:J154"/>
    <mergeCell ref="K154:N154"/>
    <mergeCell ref="O154:R154"/>
    <mergeCell ref="S154:V154"/>
    <mergeCell ref="A156:A157"/>
    <mergeCell ref="A129:C129"/>
    <mergeCell ref="A130:A131"/>
    <mergeCell ref="C130:F130"/>
    <mergeCell ref="G130:J130"/>
    <mergeCell ref="K130:N130"/>
    <mergeCell ref="O130:R130"/>
    <mergeCell ref="S130:V130"/>
    <mergeCell ref="A132:A133"/>
    <mergeCell ref="A134:A135"/>
    <mergeCell ref="K82:N82"/>
    <mergeCell ref="O82:R82"/>
    <mergeCell ref="S82:V82"/>
    <mergeCell ref="A105:D105"/>
    <mergeCell ref="B106:B107"/>
    <mergeCell ref="C106:F106"/>
    <mergeCell ref="G106:J106"/>
    <mergeCell ref="K106:N106"/>
    <mergeCell ref="O106:R106"/>
    <mergeCell ref="S106:V106"/>
    <mergeCell ref="A38:A40"/>
    <mergeCell ref="A44:A46"/>
    <mergeCell ref="A41:A43"/>
    <mergeCell ref="A47:A50"/>
    <mergeCell ref="A65:C65"/>
    <mergeCell ref="A81:C81"/>
    <mergeCell ref="B82:B83"/>
    <mergeCell ref="C82:F82"/>
    <mergeCell ref="G82:J82"/>
    <mergeCell ref="B2:K2"/>
    <mergeCell ref="A4:D4"/>
    <mergeCell ref="C5:F5"/>
    <mergeCell ref="G5:J5"/>
    <mergeCell ref="K5:N5"/>
    <mergeCell ref="O5:R5"/>
    <mergeCell ref="S5:V5"/>
    <mergeCell ref="A35:C35"/>
    <mergeCell ref="A36:A37"/>
    <mergeCell ref="B36:B37"/>
    <mergeCell ref="C36:F36"/>
    <mergeCell ref="G36:J36"/>
    <mergeCell ref="K36:N36"/>
    <mergeCell ref="O36:R36"/>
    <mergeCell ref="S36:V36"/>
  </mergeCells>
  <phoneticPr fontId="55" type="noConversion"/>
  <pageMargins left="0.25" right="0.25" top="0.75" bottom="0.75" header="0.3" footer="0.3"/>
  <pageSetup paperSize="9" scale="56"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A1:BL129"/>
  <sheetViews>
    <sheetView zoomScale="70" zoomScaleNormal="70" workbookViewId="0">
      <selection activeCell="E35" sqref="E35"/>
    </sheetView>
  </sheetViews>
  <sheetFormatPr defaultColWidth="9" defaultRowHeight="16.7"/>
  <cols>
    <col min="1" max="1" width="3.5" style="1" customWidth="1"/>
    <col min="2" max="2" width="3.109375" style="1" customWidth="1"/>
    <col min="3" max="3" width="22.38671875" style="2" customWidth="1"/>
    <col min="4" max="4" width="14.5" style="3" customWidth="1"/>
    <col min="5" max="6" width="14.5" style="4" customWidth="1"/>
    <col min="7" max="9" width="14.5" style="3" customWidth="1"/>
    <col min="10" max="11" width="1.609375" style="3" customWidth="1"/>
    <col min="12" max="12" width="3.71875" style="3" customWidth="1"/>
    <col min="13" max="13" width="20.21875" style="3" customWidth="1"/>
    <col min="14" max="40" width="15.109375" style="3" customWidth="1"/>
    <col min="41" max="45" width="13.88671875" style="3" customWidth="1"/>
    <col min="46" max="64" width="12" style="3" customWidth="1"/>
    <col min="65" max="16384" width="9" style="5"/>
  </cols>
  <sheetData>
    <row r="1" spans="1:64" ht="18" customHeight="1" thickBot="1"/>
    <row r="2" spans="1:64" s="10" customFormat="1" ht="30" customHeight="1" thickBot="1">
      <c r="A2" s="1284" t="s">
        <v>810</v>
      </c>
      <c r="B2" s="1284"/>
      <c r="C2" s="1342"/>
      <c r="D2" s="1343" t="s">
        <v>870</v>
      </c>
      <c r="E2" s="1344"/>
      <c r="F2" s="1344"/>
      <c r="G2" s="1344"/>
      <c r="H2" s="1344"/>
      <c r="I2" s="1344"/>
      <c r="Y2" s="11"/>
      <c r="Z2" s="12"/>
      <c r="AA2" s="11"/>
      <c r="AB2" s="11"/>
      <c r="AC2" s="12"/>
      <c r="AD2" s="11"/>
      <c r="AE2" s="11"/>
      <c r="AI2" s="13"/>
      <c r="AL2" s="14"/>
      <c r="AM2" s="15"/>
      <c r="AN2" s="11"/>
      <c r="AP2" s="11"/>
      <c r="AQ2" s="11"/>
      <c r="AR2" s="11"/>
      <c r="AS2" s="11"/>
      <c r="AT2" s="11"/>
      <c r="AU2" s="11"/>
      <c r="AV2" s="11"/>
      <c r="AW2" s="11"/>
      <c r="AX2" s="11"/>
      <c r="AY2" s="11"/>
      <c r="AZ2" s="11"/>
      <c r="BA2" s="11"/>
      <c r="BB2" s="11"/>
      <c r="BC2" s="11"/>
      <c r="BD2" s="11"/>
      <c r="BE2" s="11"/>
      <c r="BF2" s="11"/>
      <c r="BG2" s="11"/>
      <c r="BH2" s="11"/>
      <c r="BI2" s="11"/>
      <c r="BJ2" s="11"/>
      <c r="BK2" s="11"/>
      <c r="BL2" s="11"/>
    </row>
    <row r="3" spans="1:64" s="10" customFormat="1" ht="4.5" customHeight="1">
      <c r="A3" s="8"/>
      <c r="B3" s="9"/>
      <c r="Y3" s="11"/>
      <c r="Z3" s="12"/>
      <c r="AA3" s="11"/>
      <c r="AB3" s="11"/>
      <c r="AC3" s="12"/>
      <c r="AD3" s="11"/>
      <c r="AE3" s="11"/>
      <c r="AI3" s="13"/>
      <c r="AL3" s="14"/>
      <c r="AM3" s="15"/>
      <c r="AN3" s="11"/>
      <c r="AP3" s="11"/>
      <c r="AQ3" s="11"/>
      <c r="AR3" s="11"/>
      <c r="AS3" s="11"/>
      <c r="AT3" s="11"/>
      <c r="AU3" s="11"/>
      <c r="AV3" s="11"/>
      <c r="AW3" s="11"/>
      <c r="AX3" s="11"/>
      <c r="AY3" s="11"/>
      <c r="AZ3" s="11"/>
      <c r="BA3" s="11"/>
      <c r="BB3" s="11"/>
      <c r="BC3" s="11"/>
      <c r="BD3" s="11"/>
      <c r="BE3" s="11"/>
      <c r="BF3" s="11"/>
      <c r="BG3" s="11"/>
      <c r="BH3" s="11"/>
      <c r="BI3" s="11"/>
      <c r="BJ3" s="11"/>
      <c r="BK3" s="11"/>
      <c r="BL3" s="11"/>
    </row>
    <row r="4" spans="1:64" s="10" customFormat="1" ht="15.75" customHeight="1" thickBot="1">
      <c r="A4" s="8"/>
      <c r="B4" s="9"/>
      <c r="Y4" s="11"/>
      <c r="Z4" s="12"/>
      <c r="AA4" s="11"/>
      <c r="AB4" s="11"/>
      <c r="AC4" s="12"/>
      <c r="AD4" s="11"/>
      <c r="AE4" s="11"/>
      <c r="AI4" s="13"/>
      <c r="AL4" s="14"/>
      <c r="AM4" s="15"/>
      <c r="AN4" s="11"/>
      <c r="AP4" s="11"/>
      <c r="AQ4" s="11"/>
      <c r="AR4" s="11"/>
      <c r="AS4" s="11"/>
      <c r="AT4" s="11"/>
      <c r="AU4" s="11"/>
      <c r="AV4" s="11"/>
      <c r="AW4" s="11"/>
      <c r="AX4" s="11"/>
      <c r="AY4" s="11"/>
      <c r="AZ4" s="11"/>
      <c r="BA4" s="11"/>
      <c r="BB4" s="11"/>
      <c r="BC4" s="11"/>
      <c r="BD4" s="11"/>
      <c r="BE4" s="11"/>
      <c r="BF4" s="11"/>
      <c r="BG4" s="11"/>
      <c r="BH4" s="11"/>
      <c r="BI4" s="11"/>
      <c r="BJ4" s="11"/>
      <c r="BK4" s="11"/>
      <c r="BL4" s="11"/>
    </row>
    <row r="5" spans="1:64" s="10" customFormat="1" ht="19.5" customHeight="1" thickTop="1" thickBot="1">
      <c r="A5" s="670" t="s">
        <v>871</v>
      </c>
      <c r="B5" s="671"/>
      <c r="C5" s="672"/>
      <c r="L5" s="670" t="s">
        <v>872</v>
      </c>
      <c r="M5" s="671"/>
      <c r="N5" s="672"/>
      <c r="Y5" s="11"/>
      <c r="Z5" s="12"/>
      <c r="AA5" s="11"/>
      <c r="AB5" s="11"/>
      <c r="AC5" s="12"/>
      <c r="AD5" s="11"/>
      <c r="AE5" s="11"/>
      <c r="AI5" s="13"/>
      <c r="AL5" s="14"/>
      <c r="AM5" s="15"/>
      <c r="AN5" s="11"/>
      <c r="AP5" s="11"/>
      <c r="AQ5" s="11"/>
      <c r="AR5" s="11"/>
      <c r="AS5" s="11"/>
      <c r="AT5" s="11"/>
      <c r="AU5" s="11"/>
      <c r="AV5" s="11"/>
      <c r="AW5" s="11"/>
      <c r="AX5" s="11"/>
      <c r="AY5" s="11"/>
      <c r="AZ5" s="11"/>
      <c r="BA5" s="11"/>
      <c r="BB5" s="11"/>
      <c r="BC5" s="11"/>
      <c r="BD5" s="11"/>
      <c r="BE5" s="11"/>
      <c r="BF5" s="11"/>
      <c r="BG5" s="11"/>
      <c r="BH5" s="11"/>
      <c r="BI5" s="11"/>
      <c r="BJ5" s="11"/>
      <c r="BK5" s="11"/>
      <c r="BL5" s="11"/>
    </row>
    <row r="6" spans="1:64" s="10" customFormat="1" ht="12.75" customHeight="1" thickTop="1">
      <c r="A6" s="758"/>
      <c r="B6" s="9"/>
      <c r="L6" s="758"/>
      <c r="M6" s="9"/>
      <c r="Y6" s="11"/>
      <c r="Z6" s="12"/>
      <c r="AA6" s="11"/>
      <c r="AB6" s="11"/>
      <c r="AC6" s="12"/>
      <c r="AD6" s="11"/>
      <c r="AE6" s="11"/>
      <c r="AI6" s="13"/>
      <c r="AL6" s="14"/>
      <c r="AM6" s="15"/>
      <c r="AN6" s="11"/>
      <c r="AP6" s="11"/>
      <c r="AQ6" s="11"/>
      <c r="AR6" s="11"/>
      <c r="AS6" s="11"/>
      <c r="AT6" s="11"/>
      <c r="AU6" s="11"/>
      <c r="AV6" s="11"/>
      <c r="AW6" s="11"/>
      <c r="AX6" s="11"/>
      <c r="AY6" s="11"/>
      <c r="AZ6" s="11"/>
      <c r="BA6" s="11"/>
      <c r="BB6" s="11"/>
      <c r="BC6" s="11"/>
      <c r="BD6" s="11"/>
      <c r="BE6" s="11"/>
      <c r="BF6" s="11"/>
      <c r="BG6" s="11"/>
      <c r="BH6" s="11"/>
      <c r="BI6" s="11"/>
      <c r="BJ6" s="11"/>
      <c r="BK6" s="11"/>
      <c r="BL6" s="11"/>
    </row>
    <row r="7" spans="1:64" s="18" customFormat="1" ht="18.75" customHeight="1">
      <c r="A7" s="19"/>
      <c r="B7" s="1334" t="s">
        <v>0</v>
      </c>
      <c r="C7" s="1334"/>
      <c r="J7" s="673"/>
      <c r="L7" s="576" t="s">
        <v>33</v>
      </c>
      <c r="M7" s="576"/>
      <c r="N7" s="5"/>
      <c r="O7" s="5"/>
      <c r="P7" s="5"/>
      <c r="Q7" s="5"/>
      <c r="R7" s="42"/>
      <c r="S7" s="42"/>
      <c r="T7" s="4"/>
      <c r="U7" s="4"/>
      <c r="V7" s="4"/>
      <c r="W7" s="4"/>
      <c r="X7" s="4"/>
      <c r="Y7" s="4"/>
      <c r="Z7" s="4"/>
      <c r="AA7" s="4"/>
      <c r="AB7" s="4"/>
      <c r="AC7" s="4"/>
      <c r="AD7" s="4"/>
      <c r="AE7" s="4"/>
      <c r="AF7" s="12"/>
      <c r="AG7" s="4"/>
      <c r="AH7" s="4"/>
      <c r="AI7" s="13"/>
      <c r="AJ7" s="16"/>
      <c r="AK7" s="4"/>
      <c r="AL7" s="17"/>
      <c r="AM7" s="15"/>
      <c r="AN7" s="4"/>
      <c r="AP7" s="4"/>
      <c r="AQ7" s="4"/>
      <c r="AR7" s="4"/>
      <c r="AS7" s="4"/>
      <c r="AT7" s="4"/>
      <c r="AU7" s="4"/>
      <c r="AV7" s="4"/>
      <c r="AW7" s="4"/>
      <c r="AX7" s="4"/>
      <c r="AY7" s="4"/>
      <c r="AZ7" s="4"/>
      <c r="BA7" s="4"/>
      <c r="BB7" s="4"/>
      <c r="BC7" s="4"/>
      <c r="BD7" s="4"/>
      <c r="BE7" s="4"/>
      <c r="BF7" s="4"/>
      <c r="BG7" s="4"/>
      <c r="BH7" s="4"/>
      <c r="BI7" s="4"/>
      <c r="BJ7" s="4"/>
      <c r="BK7" s="4"/>
      <c r="BL7" s="4"/>
    </row>
    <row r="8" spans="1:64" s="10" customFormat="1" ht="18" customHeight="1">
      <c r="A8" s="19"/>
      <c r="B8" s="20"/>
      <c r="C8" s="21"/>
      <c r="D8" s="1337" t="s">
        <v>1</v>
      </c>
      <c r="E8" s="1338"/>
      <c r="F8" s="1337" t="s">
        <v>1163</v>
      </c>
      <c r="G8" s="1338"/>
      <c r="H8" s="1335" t="s">
        <v>1206</v>
      </c>
      <c r="I8" s="1336"/>
      <c r="J8" s="22"/>
      <c r="L8" s="20"/>
      <c r="M8" s="21"/>
      <c r="N8" s="21" t="s">
        <v>8</v>
      </c>
      <c r="O8" s="21" t="s">
        <v>1202</v>
      </c>
      <c r="P8" s="21" t="s">
        <v>1208</v>
      </c>
      <c r="Q8" s="5"/>
      <c r="R8" s="42"/>
      <c r="S8" s="42"/>
      <c r="T8" s="4"/>
      <c r="U8" s="4"/>
      <c r="V8" s="4"/>
      <c r="W8" s="4"/>
      <c r="X8" s="4"/>
      <c r="Y8" s="4"/>
      <c r="Z8" s="4"/>
      <c r="AA8" s="4"/>
      <c r="AB8" s="4"/>
      <c r="AC8" s="4"/>
      <c r="AD8" s="4"/>
      <c r="AE8" s="4"/>
      <c r="AF8" s="4"/>
      <c r="AG8" s="4"/>
      <c r="AH8" s="4"/>
      <c r="AI8" s="13"/>
      <c r="AJ8" s="4"/>
      <c r="AK8" s="4"/>
      <c r="AL8" s="15"/>
      <c r="AM8" s="15"/>
      <c r="AN8" s="4"/>
      <c r="AP8" s="4"/>
      <c r="AQ8" s="4"/>
      <c r="AR8" s="4"/>
      <c r="AS8" s="4"/>
      <c r="AT8" s="4"/>
      <c r="AU8" s="4"/>
      <c r="AV8" s="4"/>
      <c r="AW8" s="4"/>
      <c r="AX8" s="4"/>
      <c r="AY8" s="4"/>
      <c r="AZ8" s="4"/>
      <c r="BA8" s="4"/>
      <c r="BB8" s="4"/>
      <c r="BC8" s="4"/>
      <c r="BD8" s="4"/>
      <c r="BE8" s="4"/>
      <c r="BF8" s="4"/>
      <c r="BG8" s="4"/>
      <c r="BH8" s="4"/>
      <c r="BI8" s="4"/>
      <c r="BJ8" s="4"/>
      <c r="BK8" s="4"/>
      <c r="BL8" s="4"/>
    </row>
    <row r="9" spans="1:64" s="10" customFormat="1" ht="18" customHeight="1">
      <c r="A9" s="19"/>
      <c r="B9" s="20"/>
      <c r="C9" s="21" t="s">
        <v>2</v>
      </c>
      <c r="D9" s="21" t="s">
        <v>3</v>
      </c>
      <c r="E9" s="21" t="s">
        <v>4</v>
      </c>
      <c r="F9" s="21" t="s">
        <v>3</v>
      </c>
      <c r="G9" s="21" t="s">
        <v>4</v>
      </c>
      <c r="H9" s="23" t="s">
        <v>3</v>
      </c>
      <c r="I9" s="23" t="s">
        <v>4</v>
      </c>
      <c r="J9" s="22"/>
      <c r="L9" s="20"/>
      <c r="M9" s="1190" t="s">
        <v>34</v>
      </c>
      <c r="N9" s="1191">
        <v>800000000</v>
      </c>
      <c r="O9" s="1191">
        <v>900000</v>
      </c>
      <c r="P9" s="1191">
        <v>3000000</v>
      </c>
      <c r="Q9" s="42"/>
      <c r="R9" s="42"/>
      <c r="S9" s="42"/>
      <c r="T9" s="4"/>
      <c r="U9" s="4"/>
      <c r="V9" s="4"/>
      <c r="W9" s="4"/>
      <c r="X9" s="4"/>
      <c r="Y9" s="4"/>
      <c r="Z9" s="4"/>
      <c r="AA9" s="4"/>
      <c r="AB9" s="4"/>
      <c r="AC9" s="4"/>
      <c r="AD9" s="4"/>
      <c r="AE9" s="4"/>
      <c r="AF9" s="4"/>
      <c r="AG9" s="4"/>
      <c r="AH9" s="4"/>
      <c r="AI9" s="13"/>
      <c r="AJ9" s="4"/>
      <c r="AK9" s="4"/>
      <c r="AL9" s="15"/>
      <c r="AM9" s="15"/>
      <c r="AN9" s="4"/>
      <c r="AO9" s="4"/>
      <c r="AP9" s="4"/>
      <c r="AQ9" s="4"/>
      <c r="AR9" s="4"/>
      <c r="AS9" s="4"/>
      <c r="AT9" s="4"/>
      <c r="AU9" s="4"/>
      <c r="AV9" s="4"/>
      <c r="AW9" s="4"/>
      <c r="AX9" s="4"/>
      <c r="AY9" s="4"/>
      <c r="AZ9" s="4"/>
      <c r="BA9" s="4"/>
      <c r="BB9" s="4"/>
      <c r="BC9" s="4"/>
      <c r="BD9" s="4"/>
      <c r="BE9" s="4"/>
      <c r="BF9" s="4"/>
      <c r="BG9" s="4"/>
      <c r="BH9" s="4"/>
      <c r="BI9" s="4"/>
      <c r="BJ9" s="4"/>
      <c r="BK9" s="4"/>
      <c r="BL9" s="4"/>
    </row>
    <row r="10" spans="1:64" ht="18" customHeight="1">
      <c r="A10" s="24"/>
      <c r="B10" s="20"/>
      <c r="C10" s="25">
        <v>40</v>
      </c>
      <c r="D10" s="6">
        <v>20000</v>
      </c>
      <c r="E10" s="6">
        <v>19000</v>
      </c>
      <c r="F10" s="6">
        <v>21000</v>
      </c>
      <c r="G10" s="6">
        <v>19950</v>
      </c>
      <c r="H10" s="26">
        <v>19000</v>
      </c>
      <c r="I10" s="26">
        <v>18050</v>
      </c>
      <c r="J10" s="27"/>
      <c r="K10" s="5"/>
      <c r="L10" s="20"/>
      <c r="M10" s="5"/>
      <c r="N10" s="5"/>
      <c r="O10" s="5"/>
      <c r="P10" s="5"/>
      <c r="Q10" s="42"/>
      <c r="R10" s="42"/>
      <c r="S10" s="42"/>
    </row>
    <row r="11" spans="1:64" ht="18" customHeight="1">
      <c r="A11" s="24"/>
      <c r="B11" s="20"/>
      <c r="C11" s="25">
        <v>44</v>
      </c>
      <c r="D11" s="6">
        <v>20800</v>
      </c>
      <c r="E11" s="6">
        <v>19760</v>
      </c>
      <c r="F11" s="6">
        <v>21840</v>
      </c>
      <c r="G11" s="6">
        <v>20748</v>
      </c>
      <c r="H11" s="26">
        <v>19760</v>
      </c>
      <c r="I11" s="26">
        <v>18772</v>
      </c>
      <c r="J11" s="27"/>
      <c r="K11" s="5"/>
      <c r="L11" s="574" t="s">
        <v>35</v>
      </c>
      <c r="M11" s="574"/>
      <c r="N11" s="5"/>
      <c r="O11" s="5"/>
      <c r="P11" s="42"/>
      <c r="Q11" s="42"/>
      <c r="R11" s="42"/>
      <c r="S11" s="42"/>
    </row>
    <row r="12" spans="1:64" ht="18" customHeight="1">
      <c r="A12" s="24"/>
      <c r="B12" s="20"/>
      <c r="C12" s="25">
        <v>48</v>
      </c>
      <c r="D12" s="6">
        <v>21600</v>
      </c>
      <c r="E12" s="6">
        <v>20520</v>
      </c>
      <c r="F12" s="6">
        <v>22680</v>
      </c>
      <c r="G12" s="6">
        <v>21546</v>
      </c>
      <c r="H12" s="26">
        <v>20520</v>
      </c>
      <c r="I12" s="26">
        <v>19494</v>
      </c>
      <c r="J12" s="28"/>
      <c r="K12" s="42"/>
      <c r="L12" s="42"/>
      <c r="M12" s="1192" t="s">
        <v>34</v>
      </c>
      <c r="N12" s="1191">
        <v>3000000000</v>
      </c>
      <c r="O12" s="42"/>
      <c r="P12" s="42"/>
      <c r="Q12" s="42"/>
      <c r="R12" s="42"/>
      <c r="S12" s="42"/>
    </row>
    <row r="13" spans="1:64" ht="18" customHeight="1">
      <c r="A13" s="24"/>
      <c r="B13" s="20"/>
      <c r="C13" s="29"/>
      <c r="D13" s="30"/>
      <c r="E13" s="30"/>
      <c r="F13" s="30"/>
      <c r="G13" s="30"/>
      <c r="H13" s="31"/>
      <c r="I13" s="31"/>
      <c r="J13" s="28"/>
      <c r="K13" s="42"/>
      <c r="L13" s="42"/>
      <c r="M13" s="5"/>
      <c r="N13" s="5"/>
      <c r="O13" s="42"/>
      <c r="P13" s="42"/>
      <c r="Q13" s="42"/>
      <c r="R13" s="42"/>
      <c r="S13" s="42"/>
    </row>
    <row r="14" spans="1:64" ht="22.5" customHeight="1">
      <c r="A14" s="24"/>
      <c r="B14" s="1339" t="s">
        <v>5</v>
      </c>
      <c r="C14" s="1339"/>
      <c r="D14" s="5" t="s">
        <v>6</v>
      </c>
      <c r="E14" s="5"/>
      <c r="F14" s="5"/>
      <c r="G14" s="5"/>
      <c r="H14" s="5"/>
      <c r="I14" s="5"/>
      <c r="J14" s="27"/>
      <c r="K14" s="5"/>
      <c r="L14" s="574" t="s">
        <v>36</v>
      </c>
      <c r="M14" s="574"/>
      <c r="N14" s="5"/>
      <c r="O14" s="5"/>
      <c r="P14" s="5"/>
      <c r="Q14" s="5"/>
      <c r="R14" s="5"/>
      <c r="S14" s="5"/>
    </row>
    <row r="15" spans="1:64" ht="18" customHeight="1">
      <c r="A15" s="24"/>
      <c r="B15" s="20"/>
      <c r="C15" s="21" t="s">
        <v>7</v>
      </c>
      <c r="D15" s="1337" t="s">
        <v>8</v>
      </c>
      <c r="E15" s="1338"/>
      <c r="F15" s="1337" t="s">
        <v>1202</v>
      </c>
      <c r="G15" s="1338"/>
      <c r="H15" s="1335" t="s">
        <v>1208</v>
      </c>
      <c r="I15" s="1336"/>
      <c r="J15" s="27"/>
      <c r="K15" s="5"/>
      <c r="L15" s="42"/>
      <c r="M15" s="53"/>
      <c r="N15" s="23" t="s">
        <v>37</v>
      </c>
      <c r="O15" s="23" t="s">
        <v>1203</v>
      </c>
      <c r="P15" s="23" t="s">
        <v>1209</v>
      </c>
      <c r="Q15" s="23" t="s">
        <v>1204</v>
      </c>
      <c r="R15" s="23" t="s">
        <v>1210</v>
      </c>
      <c r="S15" s="5"/>
    </row>
    <row r="16" spans="1:64" ht="18" customHeight="1">
      <c r="A16" s="24"/>
      <c r="B16" s="20"/>
      <c r="C16" s="21" t="s">
        <v>9</v>
      </c>
      <c r="D16" s="21" t="s">
        <v>3</v>
      </c>
      <c r="E16" s="21" t="s">
        <v>4</v>
      </c>
      <c r="F16" s="21" t="s">
        <v>3</v>
      </c>
      <c r="G16" s="21" t="s">
        <v>4</v>
      </c>
      <c r="H16" s="23" t="s">
        <v>3</v>
      </c>
      <c r="I16" s="23" t="s">
        <v>4</v>
      </c>
      <c r="J16" s="27"/>
      <c r="K16" s="5"/>
      <c r="L16" s="42"/>
      <c r="M16" s="54" t="s">
        <v>38</v>
      </c>
      <c r="N16" s="6">
        <v>10000</v>
      </c>
      <c r="O16" s="6">
        <v>50000</v>
      </c>
      <c r="P16" s="6">
        <v>40000</v>
      </c>
      <c r="Q16" s="6">
        <v>15000</v>
      </c>
      <c r="R16" s="6">
        <v>10000</v>
      </c>
      <c r="S16" s="55"/>
    </row>
    <row r="17" spans="1:19" ht="18" customHeight="1">
      <c r="A17" s="24"/>
      <c r="B17" s="20"/>
      <c r="C17" s="25">
        <v>40</v>
      </c>
      <c r="D17" s="7">
        <v>2000000000</v>
      </c>
      <c r="E17" s="7">
        <f>D17*1.1</f>
        <v>2200000000</v>
      </c>
      <c r="F17" s="7">
        <v>2200000</v>
      </c>
      <c r="G17" s="7">
        <v>2420000</v>
      </c>
      <c r="H17" s="32">
        <v>8000000</v>
      </c>
      <c r="I17" s="26">
        <v>8800000</v>
      </c>
      <c r="J17" s="27"/>
      <c r="K17" s="5"/>
      <c r="L17" s="42"/>
      <c r="M17" s="5"/>
      <c r="N17" s="5"/>
      <c r="O17" s="5"/>
      <c r="P17" s="5"/>
      <c r="Q17" s="5"/>
      <c r="R17" s="5"/>
      <c r="S17" s="55"/>
    </row>
    <row r="18" spans="1:19" ht="18" customHeight="1">
      <c r="A18" s="24"/>
      <c r="B18" s="20"/>
      <c r="C18" s="25">
        <v>44</v>
      </c>
      <c r="D18" s="7">
        <f t="shared" ref="D18:I18" si="0">D17*1.05</f>
        <v>2100000000</v>
      </c>
      <c r="E18" s="7">
        <f t="shared" si="0"/>
        <v>2310000000</v>
      </c>
      <c r="F18" s="7">
        <f t="shared" si="0"/>
        <v>2310000</v>
      </c>
      <c r="G18" s="7">
        <f t="shared" si="0"/>
        <v>2541000</v>
      </c>
      <c r="H18" s="32">
        <f t="shared" si="0"/>
        <v>8400000</v>
      </c>
      <c r="I18" s="26">
        <f t="shared" si="0"/>
        <v>9240000</v>
      </c>
      <c r="J18" s="27"/>
      <c r="K18" s="5"/>
      <c r="L18" s="574" t="s">
        <v>39</v>
      </c>
      <c r="M18" s="574"/>
      <c r="N18" s="5"/>
      <c r="O18" s="5"/>
      <c r="P18" s="5"/>
      <c r="Q18" s="5"/>
      <c r="R18" s="42"/>
      <c r="S18" s="42"/>
    </row>
    <row r="19" spans="1:19" ht="18" customHeight="1">
      <c r="A19" s="24"/>
      <c r="B19" s="20"/>
      <c r="C19" s="25">
        <v>48</v>
      </c>
      <c r="D19" s="7">
        <f t="shared" ref="D19:I19" si="1">D17*1.1</f>
        <v>2200000000</v>
      </c>
      <c r="E19" s="7">
        <f t="shared" si="1"/>
        <v>2420000000</v>
      </c>
      <c r="F19" s="7">
        <f t="shared" si="1"/>
        <v>2420000</v>
      </c>
      <c r="G19" s="7">
        <f t="shared" si="1"/>
        <v>2662000</v>
      </c>
      <c r="H19" s="32">
        <f t="shared" si="1"/>
        <v>8800000</v>
      </c>
      <c r="I19" s="26">
        <f t="shared" si="1"/>
        <v>9680000</v>
      </c>
      <c r="J19" s="28"/>
      <c r="K19" s="42"/>
      <c r="L19" s="42"/>
      <c r="M19" s="56"/>
      <c r="N19" s="21" t="s">
        <v>8</v>
      </c>
      <c r="O19" s="21" t="s">
        <v>1202</v>
      </c>
      <c r="P19" s="21" t="s">
        <v>1208</v>
      </c>
      <c r="Q19" s="5"/>
      <c r="R19" s="42"/>
      <c r="S19" s="42"/>
    </row>
    <row r="20" spans="1:19" ht="18" customHeight="1">
      <c r="A20" s="24"/>
      <c r="B20" s="20"/>
      <c r="C20" s="29"/>
      <c r="D20" s="33"/>
      <c r="E20" s="33"/>
      <c r="F20" s="33"/>
      <c r="G20" s="33"/>
      <c r="H20" s="34"/>
      <c r="I20" s="31"/>
      <c r="J20" s="28"/>
      <c r="K20" s="42"/>
      <c r="L20" s="42"/>
      <c r="M20" s="54" t="s">
        <v>40</v>
      </c>
      <c r="N20" s="26">
        <v>40000</v>
      </c>
      <c r="O20" s="26">
        <v>40</v>
      </c>
      <c r="P20" s="26">
        <v>200</v>
      </c>
      <c r="Q20" s="5"/>
      <c r="R20" s="42"/>
      <c r="S20" s="42"/>
    </row>
    <row r="21" spans="1:19" ht="18" customHeight="1">
      <c r="A21" s="24"/>
      <c r="B21" s="1334" t="s">
        <v>10</v>
      </c>
      <c r="C21" s="1334"/>
      <c r="D21" s="5"/>
      <c r="E21" s="5"/>
      <c r="F21" s="5"/>
      <c r="G21" s="5"/>
      <c r="H21" s="5"/>
      <c r="I21" s="5"/>
      <c r="J21" s="27"/>
      <c r="K21" s="5"/>
      <c r="L21" s="42"/>
      <c r="M21" s="5"/>
      <c r="N21" s="5"/>
      <c r="O21" s="5"/>
      <c r="P21" s="5"/>
      <c r="Q21" s="5"/>
      <c r="R21" s="42"/>
      <c r="S21" s="42"/>
    </row>
    <row r="22" spans="1:19" ht="18" customHeight="1">
      <c r="A22" s="24"/>
      <c r="B22" s="20"/>
      <c r="C22" s="21" t="s">
        <v>11</v>
      </c>
      <c r="D22" s="35">
        <v>4</v>
      </c>
      <c r="E22" s="35">
        <v>5</v>
      </c>
      <c r="F22" s="35">
        <v>6</v>
      </c>
      <c r="G22" s="35">
        <v>7</v>
      </c>
      <c r="H22" s="36">
        <v>8</v>
      </c>
      <c r="I22" s="36">
        <v>9</v>
      </c>
      <c r="J22" s="37"/>
      <c r="K22" s="674"/>
      <c r="L22" s="574" t="s">
        <v>41</v>
      </c>
      <c r="M22" s="574"/>
      <c r="N22" s="5"/>
      <c r="O22" s="5"/>
      <c r="P22" s="5"/>
      <c r="Q22" s="5"/>
      <c r="R22" s="42"/>
      <c r="S22" s="42"/>
    </row>
    <row r="23" spans="1:19" ht="18" customHeight="1">
      <c r="A23" s="24"/>
      <c r="B23" s="20"/>
      <c r="C23" s="25" t="s">
        <v>12</v>
      </c>
      <c r="D23" s="6">
        <v>200000</v>
      </c>
      <c r="E23" s="6">
        <v>225000</v>
      </c>
      <c r="F23" s="6">
        <v>255000</v>
      </c>
      <c r="G23" s="6">
        <v>290000</v>
      </c>
      <c r="H23" s="26">
        <v>315000</v>
      </c>
      <c r="I23" s="26">
        <v>345000</v>
      </c>
      <c r="J23" s="38"/>
      <c r="K23" s="31"/>
      <c r="L23" s="42"/>
      <c r="M23" s="1193"/>
      <c r="N23" s="1194" t="s">
        <v>8</v>
      </c>
      <c r="O23" s="1194" t="s">
        <v>1202</v>
      </c>
      <c r="P23" s="1194" t="s">
        <v>1208</v>
      </c>
      <c r="Q23" s="5"/>
      <c r="R23" s="42"/>
      <c r="S23" s="42"/>
    </row>
    <row r="24" spans="1:19" ht="18" customHeight="1">
      <c r="A24" s="24"/>
      <c r="B24" s="20"/>
      <c r="C24" s="25" t="s">
        <v>1165</v>
      </c>
      <c r="D24" s="6">
        <v>180</v>
      </c>
      <c r="E24" s="6">
        <v>200</v>
      </c>
      <c r="F24" s="6">
        <v>220</v>
      </c>
      <c r="G24" s="6">
        <v>250</v>
      </c>
      <c r="H24" s="26">
        <v>280</v>
      </c>
      <c r="I24" s="26">
        <v>300</v>
      </c>
      <c r="J24" s="38"/>
      <c r="K24" s="31"/>
      <c r="L24" s="42"/>
      <c r="M24" s="1195" t="s">
        <v>42</v>
      </c>
      <c r="N24" s="1189">
        <v>500000000</v>
      </c>
      <c r="O24" s="1189">
        <v>500000</v>
      </c>
      <c r="P24" s="1189">
        <v>2000000</v>
      </c>
      <c r="Q24" s="42"/>
      <c r="R24" s="42"/>
      <c r="S24" s="42"/>
    </row>
    <row r="25" spans="1:19" ht="18" customHeight="1">
      <c r="A25" s="24"/>
      <c r="B25" s="20"/>
      <c r="C25" s="25" t="s">
        <v>1211</v>
      </c>
      <c r="D25" s="6">
        <v>1000</v>
      </c>
      <c r="E25" s="6">
        <v>1150</v>
      </c>
      <c r="F25" s="6">
        <v>1200</v>
      </c>
      <c r="G25" s="6">
        <v>1380</v>
      </c>
      <c r="H25" s="26">
        <v>1650</v>
      </c>
      <c r="I25" s="26">
        <v>1800</v>
      </c>
      <c r="J25" s="38"/>
      <c r="K25" s="31"/>
      <c r="L25" s="42"/>
      <c r="M25" s="5"/>
      <c r="N25" s="5"/>
      <c r="O25" s="5"/>
      <c r="P25" s="5"/>
      <c r="Q25" s="42"/>
      <c r="R25" s="42"/>
      <c r="S25" s="42"/>
    </row>
    <row r="26" spans="1:19" ht="18" customHeight="1">
      <c r="A26" s="24"/>
      <c r="B26" s="20"/>
      <c r="C26" s="29"/>
      <c r="D26" s="5"/>
      <c r="E26" s="5"/>
      <c r="F26" s="5"/>
      <c r="G26" s="5"/>
      <c r="H26" s="5"/>
      <c r="I26" s="5"/>
      <c r="J26" s="27"/>
      <c r="K26" s="5"/>
      <c r="L26" s="574" t="s">
        <v>43</v>
      </c>
      <c r="M26" s="574"/>
      <c r="N26" s="5"/>
      <c r="O26" s="5"/>
      <c r="P26" s="5"/>
      <c r="Q26" s="5"/>
      <c r="R26" s="42"/>
      <c r="S26" s="42"/>
    </row>
    <row r="27" spans="1:19" ht="18" customHeight="1">
      <c r="A27" s="24"/>
      <c r="B27" s="1334" t="s">
        <v>13</v>
      </c>
      <c r="C27" s="1334"/>
      <c r="D27" s="5"/>
      <c r="E27" s="5"/>
      <c r="F27" s="5"/>
      <c r="G27" s="5"/>
      <c r="H27" s="5"/>
      <c r="I27" s="5"/>
      <c r="J27" s="27"/>
      <c r="K27" s="5"/>
      <c r="L27" s="42"/>
      <c r="M27" s="53"/>
      <c r="N27" s="21" t="s">
        <v>8</v>
      </c>
      <c r="O27" s="21" t="s">
        <v>1202</v>
      </c>
      <c r="P27" s="21" t="s">
        <v>1208</v>
      </c>
      <c r="Q27" s="5"/>
      <c r="R27" s="42"/>
      <c r="S27" s="42"/>
    </row>
    <row r="28" spans="1:19" ht="18" customHeight="1">
      <c r="A28" s="24"/>
      <c r="B28" s="20"/>
      <c r="C28" s="39"/>
      <c r="D28" s="1337" t="s">
        <v>8</v>
      </c>
      <c r="E28" s="1338"/>
      <c r="F28" s="1337" t="s">
        <v>1202</v>
      </c>
      <c r="G28" s="1338"/>
      <c r="H28" s="1335" t="s">
        <v>1208</v>
      </c>
      <c r="I28" s="1336"/>
      <c r="J28" s="27"/>
      <c r="K28" s="5"/>
      <c r="L28" s="42"/>
      <c r="M28" s="57" t="s">
        <v>44</v>
      </c>
      <c r="N28" s="26">
        <v>50000000</v>
      </c>
      <c r="O28" s="26">
        <v>70000</v>
      </c>
      <c r="P28" s="26">
        <v>250000</v>
      </c>
      <c r="Q28" s="42"/>
      <c r="R28" s="42"/>
      <c r="S28" s="42"/>
    </row>
    <row r="29" spans="1:19" ht="18" customHeight="1">
      <c r="A29" s="24"/>
      <c r="B29" s="20"/>
      <c r="C29" s="39" t="s">
        <v>14</v>
      </c>
      <c r="D29" s="21" t="s">
        <v>3</v>
      </c>
      <c r="E29" s="21" t="s">
        <v>4</v>
      </c>
      <c r="F29" s="21" t="s">
        <v>3</v>
      </c>
      <c r="G29" s="21" t="s">
        <v>4</v>
      </c>
      <c r="H29" s="23" t="s">
        <v>3</v>
      </c>
      <c r="I29" s="23" t="s">
        <v>4</v>
      </c>
      <c r="J29" s="27"/>
      <c r="K29" s="5"/>
      <c r="L29" s="42"/>
      <c r="M29" s="5"/>
      <c r="N29" s="5"/>
      <c r="O29" s="5"/>
      <c r="P29" s="5"/>
      <c r="Q29" s="42"/>
      <c r="R29" s="42"/>
      <c r="S29" s="42"/>
    </row>
    <row r="30" spans="1:19" ht="18" customHeight="1">
      <c r="A30" s="24"/>
      <c r="B30" s="20"/>
      <c r="C30" s="40" t="s">
        <v>15</v>
      </c>
      <c r="D30" s="6">
        <v>300000000</v>
      </c>
      <c r="E30" s="6">
        <v>300000000</v>
      </c>
      <c r="F30" s="6">
        <v>300000</v>
      </c>
      <c r="G30" s="6">
        <v>300000</v>
      </c>
      <c r="H30" s="26">
        <v>1300000</v>
      </c>
      <c r="I30" s="26">
        <v>1300000</v>
      </c>
      <c r="J30" s="28"/>
      <c r="K30" s="42"/>
      <c r="L30" s="574" t="s">
        <v>45</v>
      </c>
      <c r="M30" s="574"/>
      <c r="N30" s="5"/>
      <c r="O30" s="5"/>
      <c r="P30" s="5"/>
      <c r="Q30" s="5"/>
      <c r="R30" s="42"/>
      <c r="S30" s="42"/>
    </row>
    <row r="31" spans="1:19" ht="18" customHeight="1">
      <c r="A31" s="24"/>
      <c r="B31" s="20"/>
      <c r="C31" s="41"/>
      <c r="D31" s="42"/>
      <c r="E31" s="42"/>
      <c r="F31" s="42"/>
      <c r="G31" s="42"/>
      <c r="H31" s="42"/>
      <c r="I31" s="42"/>
      <c r="J31" s="28"/>
      <c r="K31" s="42"/>
      <c r="L31" s="42"/>
      <c r="M31" s="53"/>
      <c r="N31" s="21" t="s">
        <v>8</v>
      </c>
      <c r="O31" s="21" t="s">
        <v>1202</v>
      </c>
      <c r="P31" s="21" t="s">
        <v>1208</v>
      </c>
      <c r="Q31" s="5"/>
      <c r="R31" s="42"/>
      <c r="S31" s="42"/>
    </row>
    <row r="32" spans="1:19" ht="18" customHeight="1">
      <c r="A32" s="24"/>
      <c r="B32" s="1334" t="s">
        <v>815</v>
      </c>
      <c r="C32" s="1334"/>
      <c r="D32" s="5"/>
      <c r="E32" s="5"/>
      <c r="F32" s="5"/>
      <c r="G32" s="5"/>
      <c r="H32" s="5"/>
      <c r="I32" s="5"/>
      <c r="J32" s="27"/>
      <c r="K32" s="5"/>
      <c r="L32" s="42"/>
      <c r="M32" s="57" t="s">
        <v>42</v>
      </c>
      <c r="N32" s="26">
        <v>6000000</v>
      </c>
      <c r="O32" s="26">
        <v>7000</v>
      </c>
      <c r="P32" s="26">
        <v>30000</v>
      </c>
      <c r="Q32" s="42"/>
      <c r="R32" s="42"/>
      <c r="S32" s="42"/>
    </row>
    <row r="33" spans="1:19" ht="18" customHeight="1">
      <c r="A33" s="24"/>
      <c r="B33" s="20"/>
      <c r="C33" s="39"/>
      <c r="D33" s="1340" t="s">
        <v>1088</v>
      </c>
      <c r="E33" s="1341"/>
      <c r="F33" s="1340" t="s">
        <v>1202</v>
      </c>
      <c r="G33" s="1341"/>
      <c r="H33" s="1332" t="s">
        <v>1208</v>
      </c>
      <c r="I33" s="1333"/>
      <c r="J33" s="27"/>
      <c r="K33" s="5"/>
      <c r="L33" s="42"/>
      <c r="M33" s="5"/>
      <c r="N33" s="5"/>
      <c r="O33" s="5"/>
      <c r="P33" s="5"/>
      <c r="Q33" s="42"/>
      <c r="R33" s="42"/>
      <c r="S33" s="42"/>
    </row>
    <row r="34" spans="1:19" ht="18" customHeight="1">
      <c r="A34" s="24"/>
      <c r="B34" s="20"/>
      <c r="C34" s="39" t="s">
        <v>1089</v>
      </c>
      <c r="D34" s="39" t="s">
        <v>540</v>
      </c>
      <c r="E34" s="39" t="s">
        <v>541</v>
      </c>
      <c r="F34" s="39" t="s">
        <v>540</v>
      </c>
      <c r="G34" s="39" t="s">
        <v>541</v>
      </c>
      <c r="H34" s="43" t="s">
        <v>540</v>
      </c>
      <c r="I34" s="43" t="s">
        <v>541</v>
      </c>
      <c r="J34" s="27"/>
      <c r="K34" s="5"/>
      <c r="L34" s="574" t="s">
        <v>46</v>
      </c>
      <c r="M34" s="574"/>
      <c r="N34" s="5"/>
      <c r="O34" s="5"/>
      <c r="P34" s="42"/>
      <c r="Q34" s="42"/>
      <c r="R34" s="42"/>
      <c r="S34" s="42"/>
    </row>
    <row r="35" spans="1:19" ht="18" customHeight="1">
      <c r="A35" s="24"/>
      <c r="B35" s="20"/>
      <c r="C35" s="40" t="s">
        <v>1090</v>
      </c>
      <c r="D35" s="1109">
        <v>4000000000</v>
      </c>
      <c r="E35" s="1109">
        <v>0</v>
      </c>
      <c r="F35" s="1109">
        <v>2000000</v>
      </c>
      <c r="G35" s="1109">
        <v>0</v>
      </c>
      <c r="H35" s="1110">
        <v>5000000</v>
      </c>
      <c r="I35" s="1110">
        <v>0</v>
      </c>
      <c r="J35" s="28"/>
      <c r="K35" s="42"/>
      <c r="L35" s="58"/>
      <c r="M35" s="23" t="s">
        <v>47</v>
      </c>
      <c r="N35" s="26">
        <v>1000000000</v>
      </c>
      <c r="O35" s="42"/>
      <c r="P35" s="42"/>
      <c r="Q35" s="42"/>
      <c r="R35" s="42"/>
      <c r="S35" s="42"/>
    </row>
    <row r="36" spans="1:19" ht="18" customHeight="1">
      <c r="A36" s="24"/>
      <c r="B36" s="20"/>
      <c r="C36" s="5"/>
      <c r="D36" s="5"/>
      <c r="E36" s="5"/>
      <c r="F36" s="909"/>
      <c r="G36" s="5"/>
      <c r="H36" s="909"/>
      <c r="I36" s="5"/>
      <c r="J36" s="28"/>
      <c r="K36" s="42"/>
      <c r="L36" s="58"/>
      <c r="M36" s="5"/>
      <c r="N36" s="5"/>
      <c r="O36" s="42"/>
      <c r="P36" s="42"/>
      <c r="Q36" s="42"/>
      <c r="R36" s="42"/>
      <c r="S36" s="42"/>
    </row>
    <row r="37" spans="1:19" ht="18" customHeight="1">
      <c r="A37" s="24"/>
      <c r="B37" s="44" t="s">
        <v>16</v>
      </c>
      <c r="C37" s="44"/>
      <c r="D37" s="5"/>
      <c r="E37" s="5"/>
      <c r="F37" s="5"/>
      <c r="G37" s="5"/>
      <c r="H37" s="5"/>
      <c r="I37" s="42"/>
      <c r="J37" s="28"/>
      <c r="K37" s="42"/>
      <c r="L37" s="574" t="s">
        <v>48</v>
      </c>
      <c r="M37" s="574"/>
      <c r="N37" s="5"/>
      <c r="O37" s="5"/>
      <c r="P37" s="42"/>
      <c r="Q37" s="42"/>
      <c r="R37" s="42"/>
      <c r="S37" s="42"/>
    </row>
    <row r="38" spans="1:19" ht="18" customHeight="1">
      <c r="A38" s="24"/>
      <c r="B38" s="20"/>
      <c r="C38" s="39"/>
      <c r="D38" s="21" t="s">
        <v>8</v>
      </c>
      <c r="E38" s="21" t="s">
        <v>1202</v>
      </c>
      <c r="F38" s="21" t="s">
        <v>1208</v>
      </c>
      <c r="G38" s="5"/>
      <c r="H38" s="5"/>
      <c r="I38" s="42"/>
      <c r="J38" s="28"/>
      <c r="K38" s="42"/>
      <c r="L38" s="58"/>
      <c r="M38" s="56" t="s">
        <v>49</v>
      </c>
      <c r="N38" s="59">
        <v>0.1</v>
      </c>
      <c r="O38" s="42"/>
      <c r="P38" s="42"/>
      <c r="Q38" s="42"/>
      <c r="R38" s="42"/>
      <c r="S38" s="42"/>
    </row>
    <row r="39" spans="1:19" ht="18" customHeight="1">
      <c r="A39" s="24"/>
      <c r="B39" s="20"/>
      <c r="C39" s="40" t="s">
        <v>17</v>
      </c>
      <c r="D39" s="6">
        <v>500000000</v>
      </c>
      <c r="E39" s="6">
        <v>500000</v>
      </c>
      <c r="F39" s="6">
        <v>1500000</v>
      </c>
      <c r="G39" s="42"/>
      <c r="H39" s="42"/>
      <c r="I39" s="42"/>
      <c r="J39" s="28"/>
      <c r="K39" s="42"/>
      <c r="L39" s="58"/>
      <c r="M39" s="5"/>
      <c r="N39" s="5"/>
      <c r="O39" s="42"/>
      <c r="P39" s="42"/>
      <c r="Q39" s="42"/>
      <c r="R39" s="42"/>
      <c r="S39" s="42"/>
    </row>
    <row r="40" spans="1:19" ht="18" customHeight="1">
      <c r="A40" s="24"/>
      <c r="B40" s="20"/>
      <c r="C40" s="5"/>
      <c r="D40" s="5"/>
      <c r="E40" s="5"/>
      <c r="F40" s="5"/>
      <c r="G40" s="42"/>
      <c r="H40" s="42"/>
      <c r="I40" s="42"/>
      <c r="J40" s="28"/>
      <c r="K40" s="42"/>
      <c r="L40" s="574" t="s">
        <v>885</v>
      </c>
      <c r="M40" s="574"/>
      <c r="N40" s="5"/>
      <c r="O40" s="5"/>
      <c r="P40" s="42"/>
      <c r="Q40" s="42"/>
      <c r="R40" s="42"/>
      <c r="S40" s="42"/>
    </row>
    <row r="41" spans="1:19" ht="18" customHeight="1">
      <c r="A41" s="24"/>
      <c r="B41" s="1334" t="s">
        <v>18</v>
      </c>
      <c r="C41" s="1334"/>
      <c r="D41" s="5"/>
      <c r="E41" s="5"/>
      <c r="F41" s="5"/>
      <c r="G41" s="5"/>
      <c r="H41" s="42"/>
      <c r="I41" s="42"/>
      <c r="J41" s="28"/>
      <c r="K41" s="42"/>
      <c r="L41" s="58"/>
      <c r="M41" s="759" t="s">
        <v>886</v>
      </c>
      <c r="N41" s="676" t="s">
        <v>887</v>
      </c>
      <c r="O41" s="676" t="s">
        <v>888</v>
      </c>
      <c r="P41" s="42"/>
      <c r="Q41" s="42"/>
      <c r="R41" s="42"/>
      <c r="S41" s="42"/>
    </row>
    <row r="42" spans="1:19" ht="18" customHeight="1">
      <c r="A42" s="24"/>
      <c r="B42" s="20"/>
      <c r="C42" s="45"/>
      <c r="D42" s="21" t="s">
        <v>8</v>
      </c>
      <c r="E42" s="21" t="s">
        <v>1202</v>
      </c>
      <c r="F42" s="21" t="s">
        <v>1208</v>
      </c>
      <c r="G42" s="5"/>
      <c r="H42" s="42"/>
      <c r="I42" s="42"/>
      <c r="J42" s="28"/>
      <c r="K42" s="42"/>
      <c r="L42" s="58"/>
      <c r="M42" s="759" t="s">
        <v>352</v>
      </c>
      <c r="N42" s="760">
        <v>0.3</v>
      </c>
      <c r="O42" s="761">
        <v>0.3</v>
      </c>
      <c r="P42" s="42"/>
      <c r="Q42" s="42"/>
      <c r="R42" s="42"/>
      <c r="S42" s="42"/>
    </row>
    <row r="43" spans="1:19" ht="18" customHeight="1">
      <c r="A43" s="24"/>
      <c r="B43" s="20"/>
      <c r="C43" s="46" t="s">
        <v>19</v>
      </c>
      <c r="D43" s="6">
        <v>2000000000</v>
      </c>
      <c r="E43" s="6">
        <v>2000000</v>
      </c>
      <c r="F43" s="6">
        <v>10000000</v>
      </c>
      <c r="G43" s="42"/>
      <c r="H43" s="42"/>
      <c r="I43" s="42"/>
      <c r="J43" s="28"/>
      <c r="K43" s="42"/>
      <c r="R43" s="42"/>
      <c r="S43" s="42"/>
    </row>
    <row r="44" spans="1:19" ht="18" customHeight="1">
      <c r="A44" s="24"/>
      <c r="B44" s="20"/>
      <c r="C44" s="5"/>
      <c r="D44" s="5"/>
      <c r="E44" s="5"/>
      <c r="F44" s="5"/>
      <c r="G44" s="42"/>
      <c r="H44" s="42"/>
      <c r="I44" s="42"/>
      <c r="J44" s="28"/>
      <c r="K44" s="42"/>
      <c r="L44" s="574" t="s">
        <v>50</v>
      </c>
      <c r="M44" s="574"/>
      <c r="N44" s="5"/>
      <c r="O44" s="5"/>
      <c r="P44" s="5"/>
      <c r="Q44" s="42"/>
      <c r="R44" s="42"/>
      <c r="S44" s="42"/>
    </row>
    <row r="45" spans="1:19" ht="18" customHeight="1">
      <c r="A45" s="24"/>
      <c r="B45" s="1334" t="s">
        <v>20</v>
      </c>
      <c r="C45" s="1334"/>
      <c r="D45" s="5"/>
      <c r="E45" s="5"/>
      <c r="F45" s="5"/>
      <c r="G45" s="5"/>
      <c r="H45" s="42"/>
      <c r="I45" s="42"/>
      <c r="J45" s="28"/>
      <c r="K45" s="42"/>
      <c r="L45" s="42"/>
      <c r="M45" s="275"/>
      <c r="N45" s="676" t="s">
        <v>867</v>
      </c>
      <c r="O45" s="676" t="s">
        <v>868</v>
      </c>
      <c r="P45" s="676" t="s">
        <v>869</v>
      </c>
      <c r="Q45" s="42"/>
      <c r="R45" s="42"/>
      <c r="S45" s="42"/>
    </row>
    <row r="46" spans="1:19" ht="18" customHeight="1">
      <c r="A46" s="24"/>
      <c r="B46" s="20"/>
      <c r="C46" s="47"/>
      <c r="D46" s="1108" t="s">
        <v>1088</v>
      </c>
      <c r="E46" s="1108" t="s">
        <v>1202</v>
      </c>
      <c r="F46" s="1108" t="s">
        <v>1208</v>
      </c>
      <c r="G46" s="5"/>
      <c r="H46" s="42"/>
      <c r="I46" s="42"/>
      <c r="J46" s="28"/>
      <c r="K46" s="42"/>
      <c r="L46" s="42"/>
      <c r="M46" s="46" t="s">
        <v>328</v>
      </c>
      <c r="N46" s="48">
        <v>200000000</v>
      </c>
      <c r="O46" s="48">
        <v>20000000000</v>
      </c>
      <c r="P46" s="48">
        <v>20000000000</v>
      </c>
      <c r="Q46" s="42"/>
      <c r="R46" s="42"/>
      <c r="S46" s="42"/>
    </row>
    <row r="47" spans="1:19" ht="18" customHeight="1">
      <c r="A47" s="24"/>
      <c r="B47" s="20"/>
      <c r="C47" s="1111" t="s">
        <v>21</v>
      </c>
      <c r="D47" s="1109">
        <v>10000000000</v>
      </c>
      <c r="E47" s="1109">
        <v>10000000</v>
      </c>
      <c r="F47" s="1109">
        <v>30000000</v>
      </c>
      <c r="G47" s="42"/>
      <c r="H47" s="42"/>
      <c r="I47" s="42"/>
      <c r="J47" s="28"/>
      <c r="K47" s="42"/>
      <c r="L47" s="42"/>
      <c r="M47" s="46" t="s">
        <v>329</v>
      </c>
      <c r="N47" s="49">
        <v>0.1</v>
      </c>
      <c r="O47" s="49">
        <v>0.2</v>
      </c>
      <c r="P47" s="49">
        <v>0.22</v>
      </c>
      <c r="Q47" s="42"/>
      <c r="R47" s="42"/>
      <c r="S47" s="42"/>
    </row>
    <row r="48" spans="1:19" ht="18" customHeight="1">
      <c r="A48" s="24"/>
      <c r="B48" s="20"/>
      <c r="C48" s="5"/>
      <c r="D48" s="5"/>
      <c r="E48" s="5"/>
      <c r="F48" s="5"/>
      <c r="G48" s="42"/>
      <c r="H48" s="42"/>
      <c r="I48" s="42"/>
      <c r="J48" s="28"/>
      <c r="K48" s="42"/>
      <c r="L48" s="42"/>
      <c r="M48" s="46" t="s">
        <v>330</v>
      </c>
      <c r="N48" s="48">
        <v>0</v>
      </c>
      <c r="O48" s="48">
        <v>20000000</v>
      </c>
      <c r="P48" s="48">
        <v>420000000</v>
      </c>
      <c r="Q48" s="42"/>
      <c r="R48" s="42"/>
      <c r="S48" s="42"/>
    </row>
    <row r="49" spans="1:19" ht="18" customHeight="1">
      <c r="A49" s="24"/>
      <c r="B49" s="1334" t="s">
        <v>22</v>
      </c>
      <c r="C49" s="1334"/>
      <c r="D49" s="5"/>
      <c r="E49" s="5"/>
      <c r="F49" s="5"/>
      <c r="G49" s="5"/>
      <c r="H49" s="42"/>
      <c r="I49" s="42"/>
      <c r="J49" s="28"/>
      <c r="K49" s="42"/>
      <c r="L49" s="5"/>
      <c r="M49" s="5"/>
      <c r="N49" s="5"/>
      <c r="O49" s="5"/>
      <c r="P49" s="5"/>
      <c r="Q49" s="42"/>
      <c r="R49" s="42"/>
      <c r="S49" s="42"/>
    </row>
    <row r="50" spans="1:19" ht="18" customHeight="1">
      <c r="A50" s="24"/>
      <c r="B50" s="20"/>
      <c r="C50" s="39" t="s">
        <v>23</v>
      </c>
      <c r="D50" s="40">
        <v>25</v>
      </c>
      <c r="E50" s="20"/>
      <c r="F50" s="20"/>
      <c r="G50" s="5"/>
      <c r="H50" s="42"/>
      <c r="I50" s="42"/>
      <c r="J50" s="28"/>
      <c r="K50" s="42"/>
      <c r="L50" s="575" t="s">
        <v>51</v>
      </c>
      <c r="M50" s="575"/>
      <c r="N50" s="5"/>
      <c r="O50" s="5"/>
      <c r="P50" s="42"/>
      <c r="Q50" s="42"/>
      <c r="R50" s="42"/>
      <c r="S50" s="42"/>
    </row>
    <row r="51" spans="1:19" ht="18" customHeight="1">
      <c r="A51" s="24"/>
      <c r="B51" s="20"/>
      <c r="C51" s="45"/>
      <c r="D51" s="21" t="s">
        <v>24</v>
      </c>
      <c r="E51" s="21" t="s">
        <v>25</v>
      </c>
      <c r="F51" s="21" t="s">
        <v>26</v>
      </c>
      <c r="G51" s="5"/>
      <c r="H51" s="42"/>
      <c r="I51" s="42"/>
      <c r="J51" s="28"/>
      <c r="K51" s="42"/>
      <c r="L51" s="42"/>
      <c r="M51" s="52" t="s">
        <v>881</v>
      </c>
      <c r="N51" s="60">
        <v>0.4</v>
      </c>
      <c r="O51" s="5"/>
      <c r="P51" s="42"/>
      <c r="Q51" s="42"/>
      <c r="R51" s="42"/>
      <c r="S51" s="42"/>
    </row>
    <row r="52" spans="1:19" ht="18" customHeight="1">
      <c r="A52" s="24"/>
      <c r="B52" s="20"/>
      <c r="C52" s="46" t="s">
        <v>27</v>
      </c>
      <c r="D52" s="48">
        <v>10000000000</v>
      </c>
      <c r="E52" s="49">
        <v>0.04</v>
      </c>
      <c r="F52" s="48">
        <v>400000000</v>
      </c>
      <c r="G52" s="5"/>
      <c r="H52" s="42"/>
      <c r="I52" s="42"/>
      <c r="J52" s="28"/>
      <c r="K52" s="42"/>
      <c r="L52" s="42"/>
      <c r="M52" s="52" t="s">
        <v>883</v>
      </c>
      <c r="N52" s="60">
        <v>0.6</v>
      </c>
      <c r="O52" s="42"/>
      <c r="P52" s="42"/>
      <c r="Q52" s="42"/>
      <c r="R52" s="42"/>
      <c r="S52" s="42"/>
    </row>
    <row r="53" spans="1:19" ht="18" customHeight="1">
      <c r="A53" s="24"/>
      <c r="B53" s="20"/>
      <c r="C53" s="46" t="s">
        <v>1170</v>
      </c>
      <c r="D53" s="48">
        <v>11000000000</v>
      </c>
      <c r="E53" s="49">
        <v>0.04</v>
      </c>
      <c r="F53" s="48">
        <v>440000000</v>
      </c>
      <c r="G53" s="5"/>
      <c r="H53" s="42"/>
      <c r="I53" s="42"/>
      <c r="J53" s="28"/>
      <c r="K53" s="42"/>
      <c r="L53" s="42"/>
      <c r="M53" s="5"/>
      <c r="N53" s="5"/>
      <c r="O53" s="42"/>
      <c r="P53" s="42"/>
      <c r="Q53" s="42"/>
      <c r="R53" s="42"/>
      <c r="S53" s="42"/>
    </row>
    <row r="54" spans="1:19" ht="18" customHeight="1">
      <c r="A54" s="24"/>
      <c r="B54" s="20"/>
      <c r="C54" s="46" t="s">
        <v>1212</v>
      </c>
      <c r="D54" s="48">
        <v>5250000000</v>
      </c>
      <c r="E54" s="49">
        <v>0.04</v>
      </c>
      <c r="F54" s="48">
        <v>210000000</v>
      </c>
      <c r="G54" s="42"/>
      <c r="H54" s="42"/>
      <c r="I54" s="42"/>
      <c r="J54" s="28"/>
      <c r="K54" s="42"/>
      <c r="L54" s="575" t="s">
        <v>52</v>
      </c>
      <c r="M54" s="575"/>
      <c r="N54" s="5"/>
      <c r="O54" s="5"/>
      <c r="P54" s="42"/>
      <c r="Q54" s="42"/>
      <c r="R54" s="42"/>
      <c r="S54" s="42"/>
    </row>
    <row r="55" spans="1:19" ht="18" customHeight="1">
      <c r="A55" s="24"/>
      <c r="B55" s="20"/>
      <c r="C55" s="5"/>
      <c r="D55" s="5"/>
      <c r="E55" s="5"/>
      <c r="F55" s="5"/>
      <c r="G55" s="42"/>
      <c r="H55" s="42"/>
      <c r="I55" s="42"/>
      <c r="J55" s="28"/>
      <c r="K55" s="42"/>
      <c r="L55" s="42"/>
      <c r="M55" s="52" t="s">
        <v>880</v>
      </c>
      <c r="N55" s="60">
        <v>0.6</v>
      </c>
      <c r="O55" s="42"/>
      <c r="P55" s="42"/>
      <c r="Q55" s="42"/>
      <c r="R55" s="42"/>
      <c r="S55" s="42"/>
    </row>
    <row r="56" spans="1:19" ht="18" customHeight="1">
      <c r="A56" s="24"/>
      <c r="B56" s="44" t="s">
        <v>28</v>
      </c>
      <c r="C56" s="44"/>
      <c r="D56" s="5"/>
      <c r="E56" s="5"/>
      <c r="F56" s="5"/>
      <c r="G56" s="5"/>
      <c r="H56" s="42"/>
      <c r="I56" s="42"/>
      <c r="J56" s="28"/>
      <c r="K56" s="42"/>
      <c r="L56" s="42"/>
      <c r="M56" s="5"/>
      <c r="N56" s="5"/>
      <c r="O56" s="42"/>
      <c r="P56" s="42"/>
      <c r="Q56" s="42"/>
      <c r="R56" s="42"/>
      <c r="S56" s="42"/>
    </row>
    <row r="57" spans="1:19" ht="18" customHeight="1">
      <c r="A57" s="24"/>
      <c r="B57" s="20"/>
      <c r="C57" s="39" t="s">
        <v>23</v>
      </c>
      <c r="D57" s="40">
        <v>20</v>
      </c>
      <c r="E57" s="20"/>
      <c r="F57" s="20"/>
      <c r="G57" s="5"/>
      <c r="H57" s="42"/>
      <c r="I57" s="42"/>
      <c r="J57" s="28"/>
      <c r="K57" s="42"/>
      <c r="L57" s="575" t="s">
        <v>53</v>
      </c>
      <c r="M57" s="575"/>
      <c r="N57" s="5"/>
      <c r="O57" s="5"/>
      <c r="P57" s="42"/>
      <c r="Q57" s="42"/>
      <c r="R57" s="42"/>
      <c r="S57" s="42"/>
    </row>
    <row r="58" spans="1:19" ht="18" customHeight="1">
      <c r="A58" s="24"/>
      <c r="B58" s="20"/>
      <c r="C58" s="45"/>
      <c r="D58" s="21" t="s">
        <v>24</v>
      </c>
      <c r="E58" s="21" t="s">
        <v>25</v>
      </c>
      <c r="F58" s="21" t="s">
        <v>26</v>
      </c>
      <c r="G58" s="5"/>
      <c r="H58" s="42"/>
      <c r="I58" s="42"/>
      <c r="J58" s="28"/>
      <c r="K58" s="42"/>
      <c r="L58" s="42"/>
      <c r="M58" s="52" t="s">
        <v>882</v>
      </c>
      <c r="N58" s="60">
        <v>0.5</v>
      </c>
      <c r="O58" s="42"/>
      <c r="P58" s="42"/>
      <c r="Q58" s="42"/>
      <c r="R58" s="42"/>
      <c r="S58" s="42"/>
    </row>
    <row r="59" spans="1:19" ht="18" customHeight="1">
      <c r="A59" s="24"/>
      <c r="B59" s="20"/>
      <c r="C59" s="46" t="s">
        <v>27</v>
      </c>
      <c r="D59" s="48">
        <v>2000000000</v>
      </c>
      <c r="E59" s="49">
        <v>0.05</v>
      </c>
      <c r="F59" s="48">
        <v>100000000</v>
      </c>
      <c r="G59" s="5"/>
      <c r="H59" s="42"/>
      <c r="I59" s="42"/>
      <c r="J59" s="28"/>
      <c r="K59" s="42"/>
      <c r="L59" s="42"/>
      <c r="M59" s="5"/>
      <c r="N59" s="5"/>
      <c r="O59" s="42"/>
      <c r="P59" s="42"/>
      <c r="Q59" s="42"/>
      <c r="R59" s="42"/>
      <c r="S59" s="42"/>
    </row>
    <row r="60" spans="1:19" ht="18" customHeight="1">
      <c r="A60" s="24"/>
      <c r="B60" s="20"/>
      <c r="C60" s="46" t="s">
        <v>1170</v>
      </c>
      <c r="D60" s="48">
        <v>2200000000</v>
      </c>
      <c r="E60" s="49">
        <v>0.05</v>
      </c>
      <c r="F60" s="48">
        <v>110000000</v>
      </c>
      <c r="G60" s="5"/>
      <c r="H60" s="42"/>
      <c r="I60" s="42"/>
      <c r="J60" s="28"/>
      <c r="K60" s="42"/>
      <c r="L60" s="575" t="s">
        <v>54</v>
      </c>
      <c r="M60" s="575"/>
      <c r="N60" s="5"/>
      <c r="O60" s="5"/>
      <c r="P60" s="42"/>
      <c r="Q60" s="42"/>
      <c r="R60" s="42"/>
      <c r="S60" s="42"/>
    </row>
    <row r="61" spans="1:19" ht="18" customHeight="1">
      <c r="A61" s="24"/>
      <c r="B61" s="20"/>
      <c r="C61" s="46" t="s">
        <v>1212</v>
      </c>
      <c r="D61" s="48">
        <v>1750000000</v>
      </c>
      <c r="E61" s="49">
        <v>0.05</v>
      </c>
      <c r="F61" s="48">
        <v>87500000</v>
      </c>
      <c r="G61" s="42"/>
      <c r="H61" s="42"/>
      <c r="I61" s="42"/>
      <c r="J61" s="28"/>
      <c r="K61" s="42"/>
      <c r="L61" s="58"/>
      <c r="M61" s="52" t="s">
        <v>55</v>
      </c>
      <c r="N61" s="61">
        <v>5000000</v>
      </c>
      <c r="O61" s="5"/>
      <c r="P61" s="42"/>
      <c r="Q61" s="42"/>
      <c r="R61" s="42"/>
      <c r="S61" s="42"/>
    </row>
    <row r="62" spans="1:19" ht="18" customHeight="1">
      <c r="A62" s="24"/>
      <c r="B62" s="20"/>
      <c r="C62" s="5"/>
      <c r="D62" s="5"/>
      <c r="E62" s="5"/>
      <c r="F62" s="5"/>
      <c r="G62" s="42"/>
      <c r="H62" s="42"/>
      <c r="I62" s="42"/>
      <c r="J62" s="28"/>
      <c r="K62" s="42"/>
      <c r="L62" s="42"/>
      <c r="M62" s="52" t="s">
        <v>56</v>
      </c>
      <c r="N62" s="61">
        <v>5000</v>
      </c>
      <c r="O62" s="42"/>
      <c r="P62" s="42"/>
      <c r="Q62" s="42"/>
      <c r="R62" s="42"/>
      <c r="S62" s="42"/>
    </row>
    <row r="63" spans="1:19" ht="18" customHeight="1">
      <c r="A63" s="24"/>
      <c r="B63" s="44" t="s">
        <v>29</v>
      </c>
      <c r="C63" s="44"/>
      <c r="D63" s="5"/>
      <c r="E63" s="5"/>
      <c r="F63" s="20"/>
      <c r="G63" s="42"/>
      <c r="H63" s="42"/>
      <c r="I63" s="42"/>
      <c r="J63" s="28"/>
      <c r="K63" s="42"/>
      <c r="L63" s="42"/>
      <c r="M63" s="5"/>
      <c r="N63" s="5"/>
      <c r="O63" s="42"/>
      <c r="P63" s="42"/>
      <c r="Q63" s="42"/>
      <c r="R63" s="42"/>
      <c r="S63" s="42"/>
    </row>
    <row r="64" spans="1:19" ht="18" customHeight="1">
      <c r="A64" s="24"/>
      <c r="B64" s="20"/>
      <c r="C64" s="50" t="s">
        <v>884</v>
      </c>
      <c r="D64" s="49">
        <v>0.6</v>
      </c>
      <c r="E64" s="20"/>
      <c r="F64" s="20"/>
      <c r="G64" s="42"/>
      <c r="H64" s="42"/>
      <c r="I64" s="42"/>
      <c r="J64" s="28"/>
      <c r="K64" s="42"/>
      <c r="L64" s="575" t="s">
        <v>57</v>
      </c>
      <c r="M64" s="575"/>
      <c r="N64" s="5"/>
      <c r="O64" s="5"/>
      <c r="P64" s="42"/>
      <c r="Q64" s="42"/>
    </row>
    <row r="65" spans="1:16" ht="18" customHeight="1">
      <c r="A65" s="24"/>
      <c r="B65" s="20"/>
      <c r="C65" s="5"/>
      <c r="D65" s="5"/>
      <c r="E65" s="20"/>
      <c r="F65" s="20"/>
      <c r="G65" s="42"/>
      <c r="H65" s="42"/>
      <c r="I65" s="42"/>
      <c r="J65" s="28"/>
      <c r="K65" s="42"/>
      <c r="L65" s="42"/>
      <c r="M65" s="52" t="s">
        <v>58</v>
      </c>
      <c r="N65" s="62">
        <v>280000</v>
      </c>
      <c r="O65" s="42"/>
      <c r="P65" s="42"/>
    </row>
    <row r="66" spans="1:16" ht="18" customHeight="1">
      <c r="A66" s="24"/>
      <c r="B66" s="1334" t="s">
        <v>30</v>
      </c>
      <c r="C66" s="1334"/>
      <c r="D66" s="5"/>
      <c r="E66" s="5"/>
      <c r="F66" s="20"/>
      <c r="G66" s="42"/>
      <c r="H66" s="42"/>
      <c r="I66" s="42"/>
      <c r="J66" s="42"/>
      <c r="K66" s="42"/>
      <c r="L66" s="5"/>
      <c r="M66" s="5"/>
      <c r="N66" s="5"/>
      <c r="O66" s="5"/>
      <c r="P66" s="5"/>
    </row>
    <row r="67" spans="1:16" ht="18" customHeight="1">
      <c r="A67" s="24"/>
      <c r="B67" s="20"/>
      <c r="C67" s="51" t="s">
        <v>31</v>
      </c>
      <c r="D67" s="49">
        <v>0.3</v>
      </c>
      <c r="E67" s="20"/>
      <c r="F67" s="20"/>
      <c r="G67" s="42"/>
      <c r="H67" s="42"/>
      <c r="I67" s="42"/>
      <c r="J67" s="42"/>
      <c r="K67" s="42"/>
      <c r="L67" s="5"/>
      <c r="M67" s="5"/>
      <c r="N67" s="5"/>
      <c r="O67" s="5"/>
      <c r="P67" s="5"/>
    </row>
    <row r="68" spans="1:16" ht="18" customHeight="1">
      <c r="A68" s="24"/>
      <c r="B68" s="20"/>
      <c r="C68" s="5"/>
      <c r="D68" s="5"/>
      <c r="E68" s="20"/>
      <c r="F68" s="20"/>
      <c r="G68" s="42"/>
      <c r="H68" s="42"/>
      <c r="I68" s="42"/>
      <c r="J68" s="42"/>
      <c r="K68" s="42"/>
      <c r="L68" s="5"/>
      <c r="M68" s="5"/>
      <c r="N68" s="5"/>
      <c r="O68" s="5"/>
      <c r="P68" s="5"/>
    </row>
    <row r="69" spans="1:16" ht="18" customHeight="1">
      <c r="A69" s="24"/>
      <c r="B69" s="1334" t="s">
        <v>32</v>
      </c>
      <c r="C69" s="1334"/>
      <c r="D69" s="5"/>
      <c r="E69" s="5"/>
      <c r="F69" s="20"/>
      <c r="G69" s="42"/>
      <c r="H69" s="42"/>
      <c r="I69" s="42"/>
      <c r="J69" s="42"/>
      <c r="K69" s="42"/>
      <c r="L69" s="42"/>
      <c r="M69" s="675"/>
    </row>
    <row r="70" spans="1:16" ht="18" customHeight="1">
      <c r="A70" s="24"/>
      <c r="B70" s="20"/>
      <c r="C70" s="51" t="s">
        <v>31</v>
      </c>
      <c r="D70" s="20"/>
      <c r="E70" s="20"/>
      <c r="F70" s="20"/>
      <c r="G70" s="42"/>
      <c r="H70" s="42"/>
      <c r="I70" s="42"/>
      <c r="J70" s="42"/>
      <c r="K70" s="42"/>
      <c r="L70" s="42"/>
      <c r="M70" s="675"/>
    </row>
    <row r="71" spans="1:16" ht="18" customHeight="1">
      <c r="A71" s="24"/>
      <c r="B71" s="20"/>
      <c r="C71" s="5"/>
      <c r="D71" s="5"/>
      <c r="E71" s="20"/>
      <c r="F71" s="20"/>
      <c r="G71" s="42"/>
      <c r="H71" s="42"/>
      <c r="I71" s="42"/>
      <c r="J71" s="42"/>
      <c r="K71" s="42"/>
      <c r="L71" s="42"/>
      <c r="M71" s="675"/>
    </row>
    <row r="72" spans="1:16" ht="18" customHeight="1">
      <c r="A72" s="24"/>
      <c r="J72" s="42"/>
      <c r="K72" s="42"/>
      <c r="L72" s="42"/>
      <c r="M72" s="675"/>
    </row>
    <row r="73" spans="1:16" ht="18" customHeight="1">
      <c r="A73" s="24"/>
      <c r="J73" s="42"/>
      <c r="K73" s="42"/>
      <c r="L73" s="42"/>
      <c r="M73" s="675"/>
    </row>
    <row r="74" spans="1:16" ht="18" customHeight="1">
      <c r="A74" s="24"/>
      <c r="J74" s="42"/>
      <c r="K74" s="42"/>
      <c r="L74" s="42"/>
      <c r="M74" s="675"/>
    </row>
    <row r="75" spans="1:16" ht="18" customHeight="1">
      <c r="A75" s="24"/>
      <c r="J75" s="42"/>
      <c r="K75" s="42"/>
      <c r="L75" s="42"/>
      <c r="M75" s="675"/>
    </row>
    <row r="76" spans="1:16" ht="18" customHeight="1">
      <c r="A76" s="24"/>
      <c r="J76" s="42"/>
      <c r="K76" s="42"/>
      <c r="L76" s="42"/>
      <c r="M76" s="675"/>
    </row>
    <row r="77" spans="1:16" ht="18" customHeight="1">
      <c r="A77" s="24"/>
      <c r="J77" s="42"/>
      <c r="K77" s="42"/>
      <c r="L77" s="42"/>
      <c r="M77" s="675"/>
    </row>
    <row r="78" spans="1:16" ht="18" customHeight="1">
      <c r="A78" s="24"/>
      <c r="J78" s="42"/>
      <c r="K78" s="42"/>
      <c r="L78" s="42"/>
      <c r="M78" s="675"/>
    </row>
    <row r="79" spans="1:16" ht="18" customHeight="1">
      <c r="A79" s="24"/>
      <c r="J79" s="42"/>
      <c r="K79" s="42"/>
      <c r="L79" s="42"/>
      <c r="M79" s="675"/>
    </row>
    <row r="80" spans="1:16" ht="18" customHeight="1">
      <c r="A80" s="24"/>
      <c r="J80" s="42"/>
      <c r="K80" s="42"/>
      <c r="L80" s="42"/>
      <c r="M80" s="675"/>
    </row>
    <row r="81" spans="1:13" ht="18" customHeight="1">
      <c r="A81" s="24"/>
      <c r="J81" s="42"/>
      <c r="K81" s="42"/>
      <c r="L81" s="42"/>
      <c r="M81" s="675"/>
    </row>
    <row r="82" spans="1:13" ht="18" customHeight="1">
      <c r="A82" s="24"/>
      <c r="J82" s="42"/>
      <c r="K82" s="42"/>
      <c r="L82" s="42"/>
      <c r="M82" s="675"/>
    </row>
    <row r="83" spans="1:13" ht="18" customHeight="1">
      <c r="A83" s="24"/>
      <c r="J83" s="42"/>
      <c r="K83" s="42"/>
      <c r="L83" s="42"/>
      <c r="M83" s="675"/>
    </row>
    <row r="84" spans="1:13" ht="18" customHeight="1">
      <c r="A84" s="24"/>
      <c r="J84" s="42"/>
      <c r="K84" s="42"/>
      <c r="L84" s="42"/>
      <c r="M84" s="675"/>
    </row>
    <row r="85" spans="1:13" ht="18" customHeight="1">
      <c r="A85" s="24"/>
      <c r="J85" s="42"/>
      <c r="K85" s="42"/>
      <c r="L85" s="42"/>
      <c r="M85" s="675"/>
    </row>
    <row r="86" spans="1:13" ht="18" customHeight="1">
      <c r="A86" s="24"/>
      <c r="J86" s="42"/>
      <c r="K86" s="42"/>
      <c r="L86" s="42"/>
      <c r="M86" s="675"/>
    </row>
    <row r="87" spans="1:13" ht="18" customHeight="1">
      <c r="A87" s="24"/>
      <c r="J87" s="42"/>
      <c r="K87" s="42"/>
      <c r="L87" s="42"/>
      <c r="M87" s="675"/>
    </row>
    <row r="88" spans="1:13" ht="18" customHeight="1">
      <c r="A88" s="24"/>
      <c r="J88" s="42"/>
      <c r="K88" s="42"/>
      <c r="L88" s="42"/>
      <c r="M88" s="675"/>
    </row>
    <row r="89" spans="1:13" ht="18" customHeight="1">
      <c r="A89" s="24"/>
      <c r="J89" s="42"/>
      <c r="K89" s="42"/>
      <c r="L89" s="42"/>
      <c r="M89" s="675"/>
    </row>
    <row r="90" spans="1:13" ht="18" customHeight="1">
      <c r="A90" s="24"/>
      <c r="J90" s="42"/>
      <c r="K90" s="42"/>
      <c r="L90" s="42"/>
      <c r="M90" s="675"/>
    </row>
    <row r="91" spans="1:13" ht="18" customHeight="1">
      <c r="A91" s="24"/>
      <c r="J91" s="42"/>
      <c r="K91" s="42"/>
      <c r="L91" s="42"/>
      <c r="M91" s="675"/>
    </row>
    <row r="92" spans="1:13" ht="18" customHeight="1">
      <c r="A92" s="24"/>
      <c r="J92" s="42"/>
      <c r="K92" s="42"/>
      <c r="L92" s="42"/>
      <c r="M92" s="675"/>
    </row>
    <row r="93" spans="1:13" ht="18" customHeight="1">
      <c r="A93" s="24"/>
      <c r="J93" s="42"/>
      <c r="K93" s="42"/>
      <c r="L93" s="42"/>
      <c r="M93" s="675"/>
    </row>
    <row r="94" spans="1:13" ht="18" customHeight="1">
      <c r="A94" s="24"/>
      <c r="J94" s="42"/>
      <c r="K94" s="42"/>
      <c r="L94" s="42"/>
      <c r="M94" s="675"/>
    </row>
    <row r="95" spans="1:13" ht="18" customHeight="1">
      <c r="A95" s="24"/>
      <c r="J95" s="42"/>
      <c r="K95" s="42"/>
      <c r="L95" s="42"/>
      <c r="M95" s="675"/>
    </row>
    <row r="96" spans="1:13" ht="18" customHeight="1">
      <c r="A96" s="24"/>
      <c r="J96" s="42"/>
      <c r="K96" s="42"/>
      <c r="L96" s="42"/>
      <c r="M96" s="675"/>
    </row>
    <row r="97" spans="1:13" ht="18" customHeight="1">
      <c r="A97" s="24"/>
      <c r="J97" s="42"/>
      <c r="K97" s="42"/>
      <c r="L97" s="42"/>
      <c r="M97" s="675"/>
    </row>
    <row r="98" spans="1:13" ht="18" customHeight="1">
      <c r="A98" s="24"/>
      <c r="J98" s="42"/>
      <c r="K98" s="42"/>
      <c r="L98" s="42"/>
      <c r="M98" s="675"/>
    </row>
    <row r="99" spans="1:13" ht="18" customHeight="1">
      <c r="A99" s="24"/>
      <c r="J99" s="42"/>
      <c r="K99" s="42"/>
      <c r="L99" s="42"/>
      <c r="M99" s="675"/>
    </row>
    <row r="100" spans="1:13" ht="18" customHeight="1">
      <c r="A100" s="24"/>
      <c r="J100" s="42"/>
      <c r="K100" s="42"/>
      <c r="L100" s="42"/>
      <c r="M100" s="675"/>
    </row>
    <row r="101" spans="1:13" ht="18" customHeight="1">
      <c r="A101" s="24"/>
      <c r="J101" s="42"/>
      <c r="K101" s="42"/>
      <c r="L101" s="42"/>
      <c r="M101" s="675"/>
    </row>
    <row r="102" spans="1:13" ht="18" customHeight="1">
      <c r="A102" s="24"/>
      <c r="J102" s="42"/>
      <c r="K102" s="42"/>
      <c r="L102" s="42"/>
      <c r="M102" s="675"/>
    </row>
    <row r="103" spans="1:13" ht="18" customHeight="1">
      <c r="A103" s="24"/>
      <c r="J103" s="42"/>
      <c r="K103" s="42"/>
      <c r="L103" s="42"/>
      <c r="M103" s="675"/>
    </row>
    <row r="104" spans="1:13" ht="18" customHeight="1">
      <c r="A104" s="24"/>
      <c r="J104" s="42"/>
      <c r="K104" s="42"/>
      <c r="L104" s="42"/>
      <c r="M104" s="675"/>
    </row>
    <row r="105" spans="1:13" ht="18" customHeight="1">
      <c r="A105" s="24"/>
      <c r="J105" s="42"/>
      <c r="K105" s="42"/>
      <c r="L105" s="42"/>
      <c r="M105" s="675"/>
    </row>
    <row r="106" spans="1:13" ht="18" customHeight="1">
      <c r="A106" s="24"/>
      <c r="J106" s="42"/>
      <c r="K106" s="42"/>
      <c r="L106" s="42"/>
      <c r="M106" s="675"/>
    </row>
    <row r="107" spans="1:13" ht="18" customHeight="1">
      <c r="A107" s="24"/>
      <c r="J107" s="42"/>
      <c r="K107" s="42"/>
      <c r="L107" s="42"/>
      <c r="M107" s="675"/>
    </row>
    <row r="108" spans="1:13" ht="18" customHeight="1">
      <c r="A108" s="24"/>
      <c r="J108" s="42"/>
      <c r="K108" s="42"/>
      <c r="L108" s="42"/>
      <c r="M108" s="675"/>
    </row>
    <row r="109" spans="1:13" ht="18" customHeight="1">
      <c r="A109" s="24"/>
      <c r="J109" s="42"/>
      <c r="K109" s="42"/>
      <c r="L109" s="42"/>
      <c r="M109" s="675"/>
    </row>
    <row r="110" spans="1:13" ht="18" customHeight="1">
      <c r="A110" s="24"/>
      <c r="J110" s="42"/>
      <c r="K110" s="42"/>
      <c r="L110" s="42"/>
      <c r="M110" s="675"/>
    </row>
    <row r="111" spans="1:13" ht="18" customHeight="1">
      <c r="A111" s="24"/>
      <c r="J111" s="42"/>
      <c r="K111" s="42"/>
      <c r="L111" s="42"/>
      <c r="M111" s="675"/>
    </row>
    <row r="112" spans="1:13" ht="18" customHeight="1">
      <c r="A112" s="24"/>
      <c r="J112" s="42"/>
      <c r="K112" s="42"/>
      <c r="L112" s="42"/>
      <c r="M112" s="675"/>
    </row>
    <row r="113" spans="1:13" ht="18" customHeight="1">
      <c r="A113" s="24"/>
      <c r="J113" s="42"/>
      <c r="K113" s="42"/>
      <c r="L113" s="42"/>
      <c r="M113" s="675"/>
    </row>
    <row r="114" spans="1:13" ht="18" customHeight="1">
      <c r="A114" s="24"/>
      <c r="J114" s="42"/>
      <c r="K114" s="42"/>
      <c r="L114" s="42"/>
      <c r="M114" s="675"/>
    </row>
    <row r="115" spans="1:13" ht="18" customHeight="1">
      <c r="A115" s="24"/>
      <c r="J115" s="42"/>
      <c r="K115" s="42"/>
      <c r="L115" s="42"/>
      <c r="M115" s="675"/>
    </row>
    <row r="116" spans="1:13" ht="18" customHeight="1">
      <c r="A116" s="24"/>
      <c r="J116" s="42"/>
      <c r="K116" s="42"/>
      <c r="L116" s="42"/>
      <c r="M116" s="675"/>
    </row>
    <row r="117" spans="1:13" ht="18" customHeight="1">
      <c r="A117" s="24"/>
      <c r="J117" s="42"/>
      <c r="K117" s="42"/>
      <c r="L117" s="42"/>
      <c r="M117" s="675"/>
    </row>
    <row r="118" spans="1:13" ht="18" customHeight="1">
      <c r="A118" s="24"/>
      <c r="J118" s="42"/>
      <c r="K118" s="42"/>
      <c r="L118" s="42"/>
      <c r="M118" s="675"/>
    </row>
    <row r="119" spans="1:13" ht="18" customHeight="1">
      <c r="A119" s="24"/>
      <c r="J119" s="42"/>
      <c r="K119" s="42"/>
      <c r="L119" s="42"/>
      <c r="M119" s="675"/>
    </row>
    <row r="120" spans="1:13" ht="18" customHeight="1">
      <c r="A120" s="24"/>
      <c r="J120" s="42"/>
      <c r="K120" s="42"/>
      <c r="L120" s="42"/>
      <c r="M120" s="675"/>
    </row>
    <row r="121" spans="1:13" ht="18" customHeight="1">
      <c r="A121" s="24"/>
      <c r="J121" s="42"/>
      <c r="K121" s="42"/>
      <c r="L121" s="42"/>
      <c r="M121" s="675"/>
    </row>
    <row r="122" spans="1:13" ht="18" customHeight="1">
      <c r="A122" s="24"/>
      <c r="J122" s="42"/>
      <c r="K122" s="42"/>
      <c r="L122" s="42"/>
      <c r="M122" s="675"/>
    </row>
    <row r="123" spans="1:13" ht="18" customHeight="1">
      <c r="A123" s="24"/>
      <c r="J123" s="42"/>
      <c r="K123" s="42"/>
      <c r="L123" s="42"/>
      <c r="M123" s="675"/>
    </row>
    <row r="124" spans="1:13" ht="18" customHeight="1">
      <c r="A124" s="24"/>
      <c r="J124" s="42"/>
      <c r="K124" s="42"/>
      <c r="L124" s="42"/>
      <c r="M124" s="675"/>
    </row>
    <row r="125" spans="1:13" ht="18" customHeight="1">
      <c r="A125" s="24"/>
      <c r="J125" s="42"/>
      <c r="K125" s="42"/>
      <c r="L125" s="42"/>
      <c r="M125" s="675"/>
    </row>
    <row r="126" spans="1:13" ht="18" customHeight="1">
      <c r="A126" s="24"/>
      <c r="J126" s="42"/>
      <c r="K126" s="42"/>
      <c r="L126" s="42"/>
      <c r="M126" s="675"/>
    </row>
    <row r="127" spans="1:13" ht="18" customHeight="1">
      <c r="A127" s="24"/>
      <c r="J127" s="42"/>
      <c r="K127" s="42"/>
      <c r="L127" s="42"/>
      <c r="M127" s="675"/>
    </row>
    <row r="128" spans="1:13" ht="18" customHeight="1">
      <c r="A128" s="24"/>
      <c r="J128" s="42"/>
      <c r="K128" s="42"/>
      <c r="L128" s="42"/>
      <c r="M128" s="675"/>
    </row>
    <row r="129" spans="1:1">
      <c r="A129" s="63"/>
    </row>
  </sheetData>
  <mergeCells count="24">
    <mergeCell ref="A2:C2"/>
    <mergeCell ref="D2:I2"/>
    <mergeCell ref="B7:C7"/>
    <mergeCell ref="D8:E8"/>
    <mergeCell ref="F8:G8"/>
    <mergeCell ref="H8:I8"/>
    <mergeCell ref="B14:C14"/>
    <mergeCell ref="D15:E15"/>
    <mergeCell ref="F15:G15"/>
    <mergeCell ref="B45:C45"/>
    <mergeCell ref="D33:E33"/>
    <mergeCell ref="F33:G33"/>
    <mergeCell ref="B32:C32"/>
    <mergeCell ref="B41:C41"/>
    <mergeCell ref="H33:I33"/>
    <mergeCell ref="B27:C27"/>
    <mergeCell ref="B49:C49"/>
    <mergeCell ref="B69:C69"/>
    <mergeCell ref="H15:I15"/>
    <mergeCell ref="B21:C21"/>
    <mergeCell ref="B66:C66"/>
    <mergeCell ref="D28:E28"/>
    <mergeCell ref="F28:G28"/>
    <mergeCell ref="H28:I28"/>
  </mergeCells>
  <phoneticPr fontId="2" type="noConversion"/>
  <pageMargins left="0.70866141732283472" right="0.70866141732283472" top="0.74803149606299213" bottom="0.74803149606299213" header="0.31496062992125984" footer="0.31496062992125984"/>
  <pageSetup paperSize="9" scale="60" orientation="landscape"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B1:CR328"/>
  <sheetViews>
    <sheetView topLeftCell="G1" zoomScale="70" zoomScaleNormal="70" workbookViewId="0">
      <selection activeCell="I14" sqref="I14:I26"/>
    </sheetView>
  </sheetViews>
  <sheetFormatPr defaultColWidth="9" defaultRowHeight="16.7"/>
  <cols>
    <col min="1" max="1" width="1.109375" style="66" customWidth="1"/>
    <col min="2" max="2" width="54" style="90" customWidth="1"/>
    <col min="3" max="3" width="2.609375" style="90" customWidth="1"/>
    <col min="4" max="4" width="15" style="90" customWidth="1"/>
    <col min="5" max="5" width="50" style="90" customWidth="1"/>
    <col min="6" max="6" width="24.109375" style="90" customWidth="1"/>
    <col min="7" max="8" width="15" style="90" customWidth="1"/>
    <col min="9" max="9" width="18.38671875" style="90" customWidth="1"/>
    <col min="10" max="10" width="42.21875" style="90" customWidth="1"/>
    <col min="11" max="13" width="18.38671875" style="90" customWidth="1"/>
    <col min="14" max="14" width="1.609375" style="90" customWidth="1"/>
    <col min="15" max="15" width="32.21875" style="90" customWidth="1"/>
    <col min="16" max="19" width="21.21875" style="90" customWidth="1"/>
    <col min="20" max="22" width="18.21875" style="90" customWidth="1"/>
    <col min="23" max="23" width="3.5" style="64" customWidth="1"/>
    <col min="24" max="24" width="2.71875" style="65" customWidth="1"/>
    <col min="25" max="25" width="2.71875" style="64" customWidth="1"/>
    <col min="26" max="26" width="51.88671875" style="64" customWidth="1"/>
    <col min="27" max="27" width="3.5" style="64" customWidth="1"/>
    <col min="28" max="28" width="64.38671875" style="66" customWidth="1"/>
    <col min="29" max="29" width="28.71875" style="66" customWidth="1"/>
    <col min="30" max="30" width="5.109375" style="66" customWidth="1"/>
    <col min="31" max="31" width="33.71875" style="66" customWidth="1"/>
    <col min="32" max="32" width="27.609375" style="66" customWidth="1"/>
    <col min="33" max="33" width="4.609375" style="64" customWidth="1"/>
    <col min="34" max="34" width="2.71875" style="65" customWidth="1"/>
    <col min="35" max="35" width="4.609375" style="64" customWidth="1"/>
    <col min="36" max="36" width="58.21875" style="66" customWidth="1"/>
    <col min="37" max="38" width="27.71875" style="66" customWidth="1"/>
    <col min="39" max="39" width="4.609375" style="64" customWidth="1"/>
    <col min="40" max="40" width="2.71875" style="65" customWidth="1"/>
    <col min="41" max="41" width="4.609375" style="64" customWidth="1"/>
    <col min="42" max="42" width="9" style="66"/>
    <col min="43" max="43" width="35.38671875" style="66" customWidth="1"/>
    <col min="44" max="44" width="18.21875" style="66" bestFit="1" customWidth="1"/>
    <col min="45" max="45" width="23.88671875" style="66" bestFit="1" customWidth="1"/>
    <col min="46" max="46" width="13.71875" style="66" customWidth="1"/>
    <col min="47" max="47" width="4.5" style="64" customWidth="1"/>
    <col min="48" max="48" width="2.71875" style="65" customWidth="1"/>
    <col min="49" max="49" width="4.609375" style="64" customWidth="1"/>
    <col min="50" max="50" width="10.38671875" style="64" customWidth="1"/>
    <col min="51" max="51" width="39.88671875" style="64" customWidth="1"/>
    <col min="52" max="52" width="34.21875" style="66" customWidth="1"/>
    <col min="53" max="53" width="25.109375" style="66" customWidth="1"/>
    <col min="54" max="54" width="3.5" style="97" customWidth="1"/>
    <col min="55" max="55" width="15.5" style="96" customWidth="1"/>
    <col min="56" max="56" width="2" style="96" customWidth="1"/>
    <col min="57" max="57" width="2" style="97" customWidth="1"/>
    <col min="58" max="58" width="16.609375" style="96" customWidth="1"/>
    <col min="59" max="60" width="2.609375" style="96" customWidth="1"/>
    <col min="61" max="61" width="16.5" style="96" customWidth="1"/>
    <col min="62" max="62" width="2" style="96" customWidth="1"/>
    <col min="63" max="63" width="2" style="97" customWidth="1"/>
    <col min="64" max="64" width="16.71875" style="96" customWidth="1"/>
    <col min="65" max="65" width="2.71875" style="97" customWidth="1"/>
    <col min="66" max="66" width="2.109375" style="97" customWidth="1"/>
    <col min="67" max="67" width="15.609375" style="97" customWidth="1"/>
    <col min="68" max="68" width="9" style="66"/>
    <col min="69" max="69" width="2.71875" style="1064" customWidth="1"/>
    <col min="70" max="70" width="9" style="66"/>
    <col min="71" max="71" width="25.109375" style="64" customWidth="1"/>
    <col min="72" max="74" width="16.5" style="64" customWidth="1"/>
    <col min="75" max="75" width="22.88671875" style="64" customWidth="1"/>
    <col min="76" max="78" width="15.71875" style="64" customWidth="1"/>
    <col min="79" max="79" width="9" style="66"/>
    <col min="80" max="80" width="2.609375" style="1064" customWidth="1"/>
    <col min="81" max="81" width="27.71875" style="64" customWidth="1"/>
    <col min="82" max="83" width="20.5" style="64" customWidth="1"/>
    <col min="84" max="87" width="20.5" style="66" customWidth="1"/>
    <col min="88" max="88" width="2.109375" style="66" customWidth="1"/>
    <col min="89" max="89" width="35.5" style="66" customWidth="1"/>
    <col min="90" max="95" width="20" style="66" customWidth="1"/>
    <col min="96" max="96" width="16.21875" style="66" customWidth="1"/>
    <col min="97" max="16384" width="9" style="66"/>
  </cols>
  <sheetData>
    <row r="1" spans="2:95" ht="8.25" customHeight="1" thickBot="1">
      <c r="I1" s="67"/>
      <c r="J1" s="67"/>
      <c r="K1" s="92"/>
      <c r="L1" s="92"/>
      <c r="M1" s="92"/>
      <c r="N1" s="93"/>
      <c r="O1" s="93"/>
      <c r="P1" s="93"/>
      <c r="Q1" s="93"/>
      <c r="R1" s="93"/>
      <c r="S1" s="93"/>
      <c r="T1" s="93"/>
      <c r="U1" s="93"/>
      <c r="V1" s="93"/>
      <c r="AB1" s="67"/>
      <c r="AC1" s="94"/>
      <c r="AD1" s="94"/>
      <c r="AJ1" s="64"/>
      <c r="AK1" s="64"/>
      <c r="AL1" s="64"/>
      <c r="AX1" s="67"/>
      <c r="AY1" s="67"/>
      <c r="AZ1" s="92"/>
      <c r="BB1" s="66"/>
      <c r="BM1" s="98"/>
      <c r="BN1" s="99"/>
      <c r="BO1" s="100"/>
    </row>
    <row r="2" spans="2:95" ht="30.75" customHeight="1" thickTop="1" thickBot="1">
      <c r="B2" s="1060" t="s">
        <v>953</v>
      </c>
      <c r="C2" s="881"/>
      <c r="D2" s="1346" t="s">
        <v>1021</v>
      </c>
      <c r="E2" s="1346"/>
      <c r="F2" s="1346"/>
      <c r="G2" s="1346"/>
      <c r="H2" s="1346"/>
      <c r="I2" s="1346" t="s">
        <v>1020</v>
      </c>
      <c r="J2" s="1346"/>
      <c r="K2" s="1346"/>
      <c r="L2" s="1346"/>
      <c r="M2" s="1346"/>
      <c r="N2" s="363"/>
      <c r="O2" s="1361" t="s">
        <v>1022</v>
      </c>
      <c r="P2" s="1361"/>
      <c r="Q2" s="1361"/>
      <c r="R2" s="753"/>
      <c r="S2" s="753"/>
      <c r="T2" s="754"/>
      <c r="U2" s="753"/>
      <c r="V2" s="362"/>
      <c r="Z2" s="1060" t="s">
        <v>949</v>
      </c>
      <c r="AB2" s="1346" t="s">
        <v>1023</v>
      </c>
      <c r="AC2" s="1346"/>
      <c r="AD2" s="361"/>
      <c r="AE2" s="361"/>
      <c r="AF2" s="361"/>
      <c r="AJ2" s="1346" t="s">
        <v>1024</v>
      </c>
      <c r="AK2" s="1346"/>
      <c r="AL2" s="1346"/>
      <c r="AP2" s="1362" t="s">
        <v>1025</v>
      </c>
      <c r="AQ2" s="1362"/>
      <c r="AR2" s="1362"/>
      <c r="AS2" s="1362"/>
      <c r="AT2" s="1362"/>
      <c r="AX2" s="1377" t="s">
        <v>1026</v>
      </c>
      <c r="AY2" s="1377"/>
      <c r="AZ2" s="1377"/>
      <c r="BA2" s="1377"/>
      <c r="BB2" s="1377"/>
      <c r="BC2" s="1377"/>
      <c r="BD2" s="1377"/>
      <c r="BE2" s="1377"/>
      <c r="BF2" s="1377"/>
      <c r="BG2" s="1377"/>
      <c r="BH2" s="1377"/>
      <c r="BI2" s="1377"/>
      <c r="BJ2" s="1377"/>
      <c r="BK2" s="1377"/>
      <c r="BL2" s="1377"/>
      <c r="BM2" s="1377"/>
      <c r="BN2" s="1377"/>
      <c r="BO2" s="1377"/>
      <c r="BS2" s="1376" t="s">
        <v>1027</v>
      </c>
      <c r="BT2" s="1376"/>
      <c r="BU2" s="1376"/>
      <c r="BV2" s="1376"/>
      <c r="BW2" s="1376"/>
      <c r="BX2" s="1376"/>
      <c r="BY2" s="1376"/>
      <c r="BZ2" s="1376"/>
      <c r="CC2" s="1377" t="s">
        <v>1028</v>
      </c>
      <c r="CD2" s="1377"/>
      <c r="CE2" s="1377"/>
      <c r="CF2" s="1377"/>
      <c r="CG2" s="1377"/>
      <c r="CH2" s="1377"/>
      <c r="CI2" s="1377"/>
      <c r="CJ2" s="392"/>
      <c r="CK2" s="392"/>
      <c r="CL2" s="392"/>
      <c r="CM2" s="392"/>
      <c r="CN2" s="392"/>
      <c r="CO2" s="392"/>
      <c r="CP2" s="392"/>
      <c r="CQ2" s="392"/>
    </row>
    <row r="3" spans="2:95" ht="9.75" customHeight="1" thickTop="1">
      <c r="I3" s="232"/>
      <c r="J3" s="232"/>
      <c r="K3" s="232"/>
      <c r="L3" s="232"/>
      <c r="M3" s="232"/>
      <c r="N3" s="233"/>
      <c r="O3" s="232"/>
      <c r="P3" s="233"/>
      <c r="Q3" s="234"/>
      <c r="R3" s="187"/>
      <c r="S3" s="66"/>
      <c r="T3" s="66"/>
      <c r="U3" s="66"/>
      <c r="Z3" s="90"/>
      <c r="AB3" s="102"/>
      <c r="AC3" s="64"/>
      <c r="AD3" s="64"/>
      <c r="AF3" s="103"/>
      <c r="AJ3" s="102"/>
      <c r="AK3" s="64"/>
      <c r="AL3" s="64"/>
      <c r="AX3" s="66"/>
      <c r="AY3" s="66"/>
      <c r="BB3" s="66"/>
      <c r="BC3" s="66"/>
      <c r="BD3" s="66"/>
      <c r="BE3" s="66"/>
      <c r="BF3" s="66"/>
      <c r="BG3" s="66"/>
      <c r="BH3" s="66"/>
      <c r="BI3" s="66"/>
      <c r="BJ3" s="66"/>
      <c r="BK3" s="66"/>
      <c r="BL3" s="66"/>
      <c r="BM3" s="66"/>
      <c r="BN3" s="66"/>
      <c r="BO3" s="66"/>
      <c r="CC3" s="66"/>
      <c r="CD3" s="393"/>
      <c r="CE3" s="393"/>
      <c r="CF3" s="393"/>
      <c r="CG3" s="393"/>
      <c r="CH3" s="393"/>
      <c r="CI3" s="393"/>
    </row>
    <row r="4" spans="2:95" ht="20.25" customHeight="1">
      <c r="B4" s="1059" t="s">
        <v>1249</v>
      </c>
      <c r="D4" s="66"/>
      <c r="E4" s="66"/>
      <c r="F4" s="66"/>
      <c r="G4" s="66"/>
      <c r="H4" s="66"/>
      <c r="I4" s="101"/>
      <c r="J4" s="101"/>
      <c r="K4" s="886" t="s">
        <v>945</v>
      </c>
      <c r="L4" s="1026" t="s">
        <v>946</v>
      </c>
      <c r="M4" s="887" t="s">
        <v>944</v>
      </c>
      <c r="N4" s="233"/>
      <c r="O4" s="101" t="s">
        <v>947</v>
      </c>
      <c r="P4" s="66"/>
      <c r="Q4" s="234"/>
      <c r="R4" s="187"/>
      <c r="S4" s="66"/>
      <c r="T4" s="66"/>
      <c r="U4" s="66"/>
      <c r="Z4" s="1059" t="s">
        <v>952</v>
      </c>
      <c r="AB4" s="102"/>
      <c r="AC4" s="64"/>
      <c r="AD4" s="64"/>
      <c r="AE4" s="69" t="s">
        <v>92</v>
      </c>
      <c r="AF4" s="103"/>
      <c r="AJ4" s="102"/>
      <c r="AK4" s="64"/>
      <c r="AL4" s="64"/>
      <c r="AX4" s="66"/>
      <c r="AY4" s="66"/>
      <c r="BB4" s="66"/>
      <c r="BC4" s="66"/>
      <c r="BD4" s="66"/>
      <c r="BE4" s="66"/>
      <c r="BF4" s="66"/>
      <c r="BG4" s="66"/>
      <c r="BH4" s="66"/>
      <c r="BI4" s="66"/>
      <c r="BJ4" s="66"/>
      <c r="BK4" s="66"/>
      <c r="BL4" s="66"/>
      <c r="BM4" s="66"/>
      <c r="BN4" s="66"/>
      <c r="BO4" s="66"/>
      <c r="BS4" s="1375" t="s">
        <v>814</v>
      </c>
      <c r="BT4" s="1375"/>
      <c r="BU4" s="1375"/>
      <c r="BV4" s="1375"/>
      <c r="BW4" s="1375"/>
      <c r="BX4" s="642"/>
      <c r="BY4" s="642"/>
      <c r="BZ4" s="642"/>
      <c r="CC4" s="1378" t="s">
        <v>531</v>
      </c>
      <c r="CD4" s="1378"/>
      <c r="CE4" s="1378"/>
      <c r="CF4" s="1378"/>
      <c r="CG4" s="1378"/>
      <c r="CH4" s="1378"/>
      <c r="CI4" s="1378"/>
    </row>
    <row r="5" spans="2:95" ht="24.75" customHeight="1" thickBot="1">
      <c r="B5" s="211" t="s">
        <v>951</v>
      </c>
      <c r="C5" s="572"/>
      <c r="D5" s="883" t="s">
        <v>94</v>
      </c>
      <c r="E5" s="104" t="s">
        <v>95</v>
      </c>
      <c r="F5" s="104" t="s">
        <v>96</v>
      </c>
      <c r="G5" s="104" t="s">
        <v>1163</v>
      </c>
      <c r="H5" s="104" t="s">
        <v>1206</v>
      </c>
      <c r="I5" s="883" t="s">
        <v>94</v>
      </c>
      <c r="J5" s="104" t="s">
        <v>95</v>
      </c>
      <c r="K5" s="104" t="s">
        <v>96</v>
      </c>
      <c r="L5" s="104" t="s">
        <v>1163</v>
      </c>
      <c r="M5" s="104" t="s">
        <v>1206</v>
      </c>
      <c r="O5" s="303" t="s">
        <v>97</v>
      </c>
      <c r="P5" s="304" t="s">
        <v>98</v>
      </c>
      <c r="Q5" s="304" t="s">
        <v>335</v>
      </c>
      <c r="R5" s="66"/>
      <c r="S5" s="66"/>
      <c r="T5" s="66"/>
      <c r="U5" s="66"/>
      <c r="Z5" s="211" t="s">
        <v>950</v>
      </c>
      <c r="AB5" s="105" t="s">
        <v>99</v>
      </c>
      <c r="AC5" s="106" t="s">
        <v>100</v>
      </c>
      <c r="AD5" s="64"/>
      <c r="AE5" s="107" t="s">
        <v>97</v>
      </c>
      <c r="AF5" s="107" t="s">
        <v>101</v>
      </c>
      <c r="AJ5" s="108" t="s">
        <v>102</v>
      </c>
      <c r="AK5" s="108" t="s">
        <v>103</v>
      </c>
      <c r="AL5" s="108" t="s">
        <v>104</v>
      </c>
      <c r="AP5" s="1347" t="s">
        <v>105</v>
      </c>
      <c r="AQ5" s="1347"/>
      <c r="AR5" s="1347"/>
      <c r="AS5" s="109"/>
      <c r="AT5" s="110"/>
      <c r="AX5" s="1347" t="s">
        <v>943</v>
      </c>
      <c r="AY5" s="1347"/>
      <c r="AZ5" s="1347"/>
      <c r="BA5" s="95"/>
      <c r="BB5" s="90"/>
      <c r="BC5" s="1387" t="s">
        <v>93</v>
      </c>
      <c r="BD5" s="1387"/>
      <c r="BE5" s="1387"/>
      <c r="BF5" s="1387"/>
      <c r="BG5" s="1387"/>
      <c r="BH5" s="1387"/>
      <c r="BI5" s="1387"/>
      <c r="BJ5" s="1387"/>
      <c r="BK5" s="1387"/>
      <c r="BL5" s="1387"/>
      <c r="BM5" s="1387"/>
      <c r="BN5" s="1387"/>
      <c r="BO5" s="1387"/>
      <c r="CC5" s="394" t="s">
        <v>532</v>
      </c>
      <c r="CD5" s="66"/>
      <c r="CE5" s="101"/>
      <c r="CF5" s="101"/>
      <c r="CG5" s="101"/>
      <c r="CH5" s="101"/>
      <c r="CI5" s="101"/>
      <c r="CK5" s="394" t="s">
        <v>533</v>
      </c>
    </row>
    <row r="6" spans="2:95" ht="22.5" customHeight="1" thickBot="1">
      <c r="B6" s="907" t="s">
        <v>987</v>
      </c>
      <c r="C6" s="211"/>
      <c r="D6" s="986" t="s">
        <v>1006</v>
      </c>
      <c r="E6" s="978" t="s">
        <v>968</v>
      </c>
      <c r="F6" s="1008">
        <v>66680</v>
      </c>
      <c r="G6" s="1009">
        <v>32680</v>
      </c>
      <c r="H6" s="1010">
        <v>30500</v>
      </c>
      <c r="I6" s="1400" t="s">
        <v>940</v>
      </c>
      <c r="J6" s="73" t="s">
        <v>1072</v>
      </c>
      <c r="K6" s="780">
        <v>500000000</v>
      </c>
      <c r="L6" s="901"/>
      <c r="M6" s="902"/>
      <c r="O6" s="115" t="s">
        <v>107</v>
      </c>
      <c r="P6" s="185">
        <f>L67</f>
        <v>88631620000</v>
      </c>
      <c r="Q6" s="248">
        <f t="shared" ref="Q6:Q31" si="0">P6/$P$6</f>
        <v>1</v>
      </c>
      <c r="R6" s="66"/>
      <c r="S6" s="66"/>
      <c r="T6" s="66"/>
      <c r="U6" s="66"/>
      <c r="X6" s="68"/>
      <c r="Y6" s="182"/>
      <c r="Z6" s="66"/>
      <c r="AB6" s="116" t="s">
        <v>108</v>
      </c>
      <c r="AC6" s="307">
        <f>AC7-AC11+AC15-AC16-AC17</f>
        <v>2882352517.8000002</v>
      </c>
      <c r="AD6" s="64"/>
      <c r="AE6" s="117" t="s">
        <v>109</v>
      </c>
      <c r="AF6" s="118">
        <f>AC6</f>
        <v>2882352517.8000002</v>
      </c>
      <c r="AH6" s="68"/>
      <c r="AJ6" s="812" t="s">
        <v>110</v>
      </c>
      <c r="AK6" s="119" t="s">
        <v>7</v>
      </c>
      <c r="AL6" s="119">
        <f>SUM(AK7,AK12)</f>
        <v>64338190107.015999</v>
      </c>
      <c r="AN6" s="68"/>
      <c r="AP6" s="120" t="s">
        <v>111</v>
      </c>
      <c r="AQ6" s="120" t="s">
        <v>112</v>
      </c>
      <c r="AR6" s="120" t="s">
        <v>113</v>
      </c>
      <c r="AS6" s="120" t="s">
        <v>100</v>
      </c>
      <c r="AT6" s="120" t="s">
        <v>114</v>
      </c>
      <c r="AV6" s="68"/>
      <c r="AX6" s="111"/>
      <c r="AY6" s="112" t="s">
        <v>106</v>
      </c>
      <c r="AZ6" s="112" t="s">
        <v>97</v>
      </c>
      <c r="BA6" s="113" t="s">
        <v>101</v>
      </c>
      <c r="BC6" s="66"/>
      <c r="BD6" s="66"/>
      <c r="BE6" s="66"/>
      <c r="BF6" s="66"/>
      <c r="BG6" s="66"/>
      <c r="BH6" s="66"/>
      <c r="BI6" s="66"/>
      <c r="BJ6" s="66"/>
      <c r="BK6" s="66"/>
      <c r="BL6" s="66"/>
      <c r="BM6" s="66"/>
      <c r="BN6" s="66"/>
      <c r="BO6" s="66"/>
      <c r="BS6" s="422" t="s">
        <v>812</v>
      </c>
      <c r="BT6" s="422" t="s">
        <v>811</v>
      </c>
      <c r="BU6" s="422" t="s">
        <v>1163</v>
      </c>
      <c r="BV6" s="422" t="s">
        <v>1206</v>
      </c>
      <c r="BW6" s="422" t="s">
        <v>813</v>
      </c>
      <c r="BX6" s="643"/>
      <c r="BY6" s="643"/>
      <c r="BZ6" s="643"/>
      <c r="CC6" s="313" t="s">
        <v>94</v>
      </c>
      <c r="CD6" s="1379" t="s">
        <v>535</v>
      </c>
      <c r="CE6" s="1380"/>
      <c r="CF6" s="395" t="s">
        <v>418</v>
      </c>
      <c r="CG6" s="395" t="s">
        <v>1163</v>
      </c>
      <c r="CH6" s="395" t="s">
        <v>1206</v>
      </c>
      <c r="CI6" s="75"/>
      <c r="CK6" s="101" t="s">
        <v>536</v>
      </c>
    </row>
    <row r="7" spans="2:95" ht="22.5" customHeight="1" thickBot="1">
      <c r="B7" s="66"/>
      <c r="C7" s="884"/>
      <c r="D7" s="987"/>
      <c r="E7" s="978" t="s">
        <v>969</v>
      </c>
      <c r="F7" s="996">
        <v>18149</v>
      </c>
      <c r="G7" s="997">
        <v>3528</v>
      </c>
      <c r="H7" s="1011">
        <v>0</v>
      </c>
      <c r="I7" s="1401"/>
      <c r="J7" s="73" t="s">
        <v>1073</v>
      </c>
      <c r="K7" s="782">
        <v>1500000000</v>
      </c>
      <c r="L7" s="891"/>
      <c r="M7" s="892"/>
      <c r="O7" s="125" t="s">
        <v>1013</v>
      </c>
      <c r="P7" s="772">
        <f>L68</f>
        <v>45342400000</v>
      </c>
      <c r="Q7" s="248">
        <f t="shared" si="0"/>
        <v>0.51158266090589344</v>
      </c>
      <c r="X7" s="68"/>
      <c r="Y7" s="182"/>
      <c r="Z7" s="1059" t="s">
        <v>962</v>
      </c>
      <c r="AB7" s="126" t="s">
        <v>119</v>
      </c>
      <c r="AC7" s="797">
        <f>AC9+AC10</f>
        <v>88714793496</v>
      </c>
      <c r="AD7" s="90"/>
      <c r="AE7" s="117" t="s">
        <v>120</v>
      </c>
      <c r="AF7" s="118">
        <f>AC18</f>
        <v>-2030900000</v>
      </c>
      <c r="AH7" s="68"/>
      <c r="AJ7" s="428" t="s">
        <v>121</v>
      </c>
      <c r="AK7" s="127">
        <f>SUM(AK8:AK11)</f>
        <v>56501456036.015999</v>
      </c>
      <c r="AL7" s="127"/>
      <c r="AN7" s="68"/>
      <c r="AP7" s="1388" t="s">
        <v>122</v>
      </c>
      <c r="AQ7" s="1363" t="s">
        <v>924</v>
      </c>
      <c r="AR7" s="813" t="s">
        <v>144</v>
      </c>
      <c r="AS7" s="821">
        <f>AK34</f>
        <v>4037403092.8000002</v>
      </c>
      <c r="AT7" s="1365">
        <f>AS7/AS8</f>
        <v>5.4386713117915271E-2</v>
      </c>
      <c r="AV7" s="68"/>
      <c r="AX7" s="1348" t="s">
        <v>115</v>
      </c>
      <c r="AY7" s="334" t="s">
        <v>116</v>
      </c>
      <c r="AZ7" s="121" t="s">
        <v>117</v>
      </c>
      <c r="BA7" s="122">
        <f>P6</f>
        <v>88631620000</v>
      </c>
      <c r="BC7" s="123" t="s">
        <v>118</v>
      </c>
      <c r="BD7" s="124"/>
      <c r="BE7" s="64"/>
      <c r="BF7" s="123" t="s">
        <v>117</v>
      </c>
      <c r="BG7" s="124"/>
      <c r="BH7" s="124"/>
      <c r="BI7" s="124"/>
      <c r="BJ7" s="124"/>
      <c r="BK7" s="64"/>
      <c r="BL7" s="124"/>
      <c r="BM7" s="64"/>
      <c r="BN7" s="64"/>
      <c r="BO7" s="64"/>
      <c r="BS7" s="428" t="s">
        <v>929</v>
      </c>
      <c r="BT7" s="828">
        <f>'4. 재무분석도구'!P87</f>
        <v>2813406000</v>
      </c>
      <c r="BU7" s="828">
        <f>'4. 재무분석도구'!Q87</f>
        <v>732966300</v>
      </c>
      <c r="BV7" s="828">
        <f>'4. 재무분석도구'!R87</f>
        <v>388694250</v>
      </c>
      <c r="BW7" s="828">
        <f t="shared" ref="BW7:BW14" si="1">SUM(BT7:BV7)</f>
        <v>3935066550</v>
      </c>
      <c r="BX7" s="136"/>
      <c r="BY7" s="136"/>
      <c r="BZ7" s="136"/>
      <c r="CC7" s="1367" t="s">
        <v>537</v>
      </c>
      <c r="CD7" s="73" t="s">
        <v>1116</v>
      </c>
      <c r="CE7" s="74"/>
      <c r="CF7" s="114">
        <v>680000</v>
      </c>
      <c r="CG7" s="1155">
        <v>640</v>
      </c>
      <c r="CH7" s="1156">
        <v>3800</v>
      </c>
      <c r="CI7" s="75"/>
      <c r="CK7" s="396" t="s">
        <v>538</v>
      </c>
      <c r="CL7" s="397" t="s">
        <v>534</v>
      </c>
      <c r="CM7" s="398"/>
      <c r="CN7" s="399" t="s">
        <v>1163</v>
      </c>
      <c r="CO7" s="400"/>
      <c r="CP7" s="399" t="s">
        <v>1206</v>
      </c>
      <c r="CQ7" s="400"/>
    </row>
    <row r="8" spans="2:95" ht="22.5" customHeight="1" thickTop="1" thickBot="1">
      <c r="B8" s="1059" t="s">
        <v>1250</v>
      </c>
      <c r="C8" s="880"/>
      <c r="D8" s="987"/>
      <c r="E8" s="978" t="s">
        <v>970</v>
      </c>
      <c r="F8" s="996"/>
      <c r="G8" s="997">
        <v>0</v>
      </c>
      <c r="H8" s="1011">
        <v>0</v>
      </c>
      <c r="I8" s="1357" t="s">
        <v>1012</v>
      </c>
      <c r="J8" s="888" t="s">
        <v>130</v>
      </c>
      <c r="K8" s="783">
        <v>4</v>
      </c>
      <c r="L8" s="893"/>
      <c r="M8" s="894"/>
      <c r="O8" s="125" t="s">
        <v>1014</v>
      </c>
      <c r="P8" s="772">
        <f>L71</f>
        <v>43289220000</v>
      </c>
      <c r="Q8" s="248">
        <f t="shared" si="0"/>
        <v>0.48841733909410662</v>
      </c>
      <c r="X8" s="68"/>
      <c r="Y8" s="182"/>
      <c r="Z8" s="211" t="s">
        <v>959</v>
      </c>
      <c r="AB8" s="1055" t="s">
        <v>914</v>
      </c>
      <c r="AC8" s="1054">
        <v>88839553740</v>
      </c>
      <c r="AD8" s="90"/>
      <c r="AE8" s="117" t="s">
        <v>125</v>
      </c>
      <c r="AF8" s="118">
        <f>AC29</f>
        <v>-121122092.78399999</v>
      </c>
      <c r="AH8" s="68"/>
      <c r="AJ8" s="428" t="s">
        <v>126</v>
      </c>
      <c r="AK8" s="133">
        <f>AC42</f>
        <v>14948808036.016001</v>
      </c>
      <c r="AL8" s="127" t="s">
        <v>7</v>
      </c>
      <c r="AN8" s="68"/>
      <c r="AP8" s="1389"/>
      <c r="AQ8" s="1364"/>
      <c r="AR8" s="813" t="s">
        <v>127</v>
      </c>
      <c r="AS8" s="821">
        <f>AL37</f>
        <v>74235100107.015991</v>
      </c>
      <c r="AT8" s="1366"/>
      <c r="AV8" s="68"/>
      <c r="AX8" s="1349"/>
      <c r="AY8" s="335"/>
      <c r="AZ8" s="121" t="s">
        <v>123</v>
      </c>
      <c r="BA8" s="128">
        <f>P14</f>
        <v>41707834071</v>
      </c>
      <c r="BC8" s="129">
        <f>P10</f>
        <v>46923785929</v>
      </c>
      <c r="BD8" s="130"/>
      <c r="BE8" s="64"/>
      <c r="BF8" s="129">
        <f>BA7</f>
        <v>88631620000</v>
      </c>
      <c r="BG8" s="130"/>
      <c r="BH8" s="131"/>
      <c r="BI8" s="123" t="s">
        <v>124</v>
      </c>
      <c r="BJ8" s="124"/>
      <c r="BK8" s="64"/>
      <c r="BL8" s="132"/>
      <c r="BM8" s="64"/>
      <c r="BN8" s="64"/>
      <c r="BO8" s="64"/>
      <c r="BS8" s="428" t="s">
        <v>930</v>
      </c>
      <c r="BT8" s="828">
        <f>'4. 재무분석도구'!K108</f>
        <v>2200000000</v>
      </c>
      <c r="BU8" s="828">
        <f>'4. 재무분석도구'!K112</f>
        <v>1573000000</v>
      </c>
      <c r="BV8" s="828">
        <f>'4. 재무분석도구'!K116</f>
        <v>750750000</v>
      </c>
      <c r="BW8" s="828">
        <f t="shared" si="1"/>
        <v>4523750000</v>
      </c>
      <c r="BX8" s="136"/>
      <c r="BY8" s="136"/>
      <c r="BZ8" s="136"/>
      <c r="CC8" s="1369"/>
      <c r="CD8" s="73" t="s">
        <v>1117</v>
      </c>
      <c r="CE8" s="74"/>
      <c r="CF8" s="401"/>
      <c r="CG8" s="402"/>
      <c r="CH8" s="403"/>
      <c r="CI8" s="75"/>
      <c r="CK8" s="396" t="s">
        <v>539</v>
      </c>
      <c r="CL8" s="396" t="s">
        <v>540</v>
      </c>
      <c r="CM8" s="396" t="s">
        <v>541</v>
      </c>
      <c r="CN8" s="396" t="s">
        <v>540</v>
      </c>
      <c r="CO8" s="396" t="s">
        <v>541</v>
      </c>
      <c r="CP8" s="396" t="s">
        <v>540</v>
      </c>
      <c r="CQ8" s="396" t="s">
        <v>541</v>
      </c>
    </row>
    <row r="9" spans="2:95" ht="22.5" customHeight="1">
      <c r="B9" s="880" t="s">
        <v>955</v>
      </c>
      <c r="C9" s="572"/>
      <c r="D9" s="987"/>
      <c r="E9" s="978" t="s">
        <v>971</v>
      </c>
      <c r="F9" s="996">
        <v>25</v>
      </c>
      <c r="G9" s="997">
        <v>13</v>
      </c>
      <c r="H9" s="1011">
        <v>12</v>
      </c>
      <c r="I9" s="1358"/>
      <c r="J9" s="73" t="s">
        <v>277</v>
      </c>
      <c r="K9" s="781">
        <v>60000</v>
      </c>
      <c r="L9" s="784">
        <v>30000</v>
      </c>
      <c r="M9" s="785">
        <v>30000</v>
      </c>
      <c r="O9" s="125" t="s">
        <v>131</v>
      </c>
      <c r="P9" s="772">
        <f>L78</f>
        <v>0</v>
      </c>
      <c r="Q9" s="248">
        <f t="shared" si="0"/>
        <v>0</v>
      </c>
      <c r="X9" s="68"/>
      <c r="Y9" s="182"/>
      <c r="AB9" s="137" t="s">
        <v>132</v>
      </c>
      <c r="AC9" s="798">
        <f>AC8*P234</f>
        <v>35535821496</v>
      </c>
      <c r="AD9" s="90"/>
      <c r="AE9" s="117" t="s">
        <v>133</v>
      </c>
      <c r="AF9" s="118">
        <f>AF6+AF7+AF8</f>
        <v>730330425.01600015</v>
      </c>
      <c r="AH9" s="68"/>
      <c r="AJ9" s="428" t="s">
        <v>134</v>
      </c>
      <c r="AK9" s="133">
        <f>P6*(1-0.6)</f>
        <v>35452648000</v>
      </c>
      <c r="AL9" s="127" t="s">
        <v>7</v>
      </c>
      <c r="AN9" s="68"/>
      <c r="AP9" s="1389"/>
      <c r="AQ9" s="1363" t="s">
        <v>925</v>
      </c>
      <c r="AR9" s="813" t="s">
        <v>128</v>
      </c>
      <c r="AS9" s="821">
        <f>AS7</f>
        <v>4037403092.8000002</v>
      </c>
      <c r="AT9" s="1365">
        <f>AS9/AS10</f>
        <v>4.5552626622417602E-2</v>
      </c>
      <c r="AV9" s="68"/>
      <c r="AX9" s="1349"/>
      <c r="AY9" s="335"/>
      <c r="AZ9" s="121" t="s">
        <v>128</v>
      </c>
      <c r="BA9" s="128">
        <f>P29</f>
        <v>4969493866</v>
      </c>
      <c r="BC9" s="64"/>
      <c r="BD9" s="134"/>
      <c r="BF9" s="124" t="s">
        <v>129</v>
      </c>
      <c r="BG9" s="135"/>
      <c r="BH9" s="124"/>
      <c r="BI9" s="129">
        <f>P41</f>
        <v>4037403092.8000002</v>
      </c>
      <c r="BJ9" s="130"/>
      <c r="BK9" s="64"/>
      <c r="BL9" s="124"/>
      <c r="BM9" s="64"/>
      <c r="BN9" s="64"/>
      <c r="BO9" s="136"/>
      <c r="BS9" s="428" t="s">
        <v>931</v>
      </c>
      <c r="BT9" s="828">
        <f>'4. 재무분석도구'!P89</f>
        <v>770214076.69798231</v>
      </c>
      <c r="BU9" s="828">
        <f>'4. 재무분석도구'!Q89</f>
        <v>377483443.70860928</v>
      </c>
      <c r="BV9" s="828">
        <f>'4. 재무분석도구'!R89</f>
        <v>352302479.59340829</v>
      </c>
      <c r="BW9" s="828">
        <f t="shared" si="1"/>
        <v>1500000000</v>
      </c>
      <c r="BX9" s="136"/>
      <c r="BY9" s="136"/>
      <c r="BZ9" s="136"/>
      <c r="CC9" s="1367" t="s">
        <v>1251</v>
      </c>
      <c r="CD9" s="73" t="s">
        <v>130</v>
      </c>
      <c r="CE9" s="74"/>
      <c r="CF9" s="1157">
        <v>4</v>
      </c>
      <c r="CG9" s="1158"/>
      <c r="CH9" s="1159"/>
      <c r="CI9" s="75"/>
      <c r="CK9" s="849" t="s">
        <v>542</v>
      </c>
      <c r="CL9" s="850">
        <f t="shared" ref="CL9:CQ9" si="2">SUM(CL10:CL13)</f>
        <v>3515000000</v>
      </c>
      <c r="CM9" s="850">
        <f t="shared" si="2"/>
        <v>0</v>
      </c>
      <c r="CN9" s="850" t="e">
        <f t="shared" si="2"/>
        <v>#DIV/0!</v>
      </c>
      <c r="CO9" s="850">
        <f t="shared" si="2"/>
        <v>0</v>
      </c>
      <c r="CP9" s="850" t="e">
        <f t="shared" si="2"/>
        <v>#DIV/0!</v>
      </c>
      <c r="CQ9" s="850">
        <f t="shared" si="2"/>
        <v>0</v>
      </c>
    </row>
    <row r="10" spans="2:95" ht="22.5" customHeight="1" thickBot="1">
      <c r="B10" s="880" t="s">
        <v>974</v>
      </c>
      <c r="C10" s="880"/>
      <c r="D10" s="987"/>
      <c r="E10" s="1018" t="s">
        <v>972</v>
      </c>
      <c r="F10" s="1002">
        <f>K11+F9</f>
        <v>30</v>
      </c>
      <c r="G10" s="1003">
        <f>L11+G9</f>
        <v>15</v>
      </c>
      <c r="H10" s="1017">
        <f>M11+H9</f>
        <v>15</v>
      </c>
      <c r="I10" s="1358"/>
      <c r="J10" s="73" t="s">
        <v>278</v>
      </c>
      <c r="K10" s="781">
        <v>680000</v>
      </c>
      <c r="L10" s="784">
        <v>640</v>
      </c>
      <c r="M10" s="785">
        <v>3800</v>
      </c>
      <c r="O10" s="115" t="s">
        <v>140</v>
      </c>
      <c r="P10" s="773">
        <f>L85</f>
        <v>46923785929</v>
      </c>
      <c r="Q10" s="248">
        <f t="shared" si="0"/>
        <v>0.52942489293324435</v>
      </c>
      <c r="X10" s="68"/>
      <c r="Y10" s="182"/>
      <c r="Z10" s="1059" t="s">
        <v>961</v>
      </c>
      <c r="AB10" s="137" t="s">
        <v>141</v>
      </c>
      <c r="AC10" s="799">
        <f>P6*Q234</f>
        <v>53178972000</v>
      </c>
      <c r="AD10" s="90"/>
      <c r="AE10" s="144" t="s">
        <v>142</v>
      </c>
      <c r="AF10" s="118">
        <f>AC40</f>
        <v>14218477611</v>
      </c>
      <c r="AH10" s="68"/>
      <c r="AJ10" s="428" t="s">
        <v>143</v>
      </c>
      <c r="AK10" s="145">
        <f>K44</f>
        <v>5000000000</v>
      </c>
      <c r="AL10" s="127" t="s">
        <v>7</v>
      </c>
      <c r="AN10" s="68"/>
      <c r="AP10" s="1352"/>
      <c r="AQ10" s="1391"/>
      <c r="AR10" s="814" t="s">
        <v>117</v>
      </c>
      <c r="AS10" s="822">
        <v>88631620000</v>
      </c>
      <c r="AT10" s="1386"/>
      <c r="AV10" s="68"/>
      <c r="AX10" s="1349"/>
      <c r="AY10" s="335"/>
      <c r="AZ10" s="121" t="s">
        <v>135</v>
      </c>
      <c r="BA10" s="128">
        <f>P37</f>
        <v>5021753866</v>
      </c>
      <c r="BC10" s="123" t="s">
        <v>136</v>
      </c>
      <c r="BD10" s="138"/>
      <c r="BF10" s="123" t="s">
        <v>137</v>
      </c>
      <c r="BG10" s="139"/>
      <c r="BH10" s="124"/>
      <c r="BI10" s="124" t="s">
        <v>138</v>
      </c>
      <c r="BJ10" s="138"/>
      <c r="BK10" s="140"/>
      <c r="BL10" s="141" t="s">
        <v>139</v>
      </c>
      <c r="BM10" s="64"/>
      <c r="BN10" s="64"/>
      <c r="BO10" s="64"/>
      <c r="BS10" s="428" t="s">
        <v>932</v>
      </c>
      <c r="BT10" s="828">
        <f>'4. 재무분석도구'!P96</f>
        <v>610000000</v>
      </c>
      <c r="BU10" s="828">
        <f>'4. 재무분석도구'!Q96</f>
        <v>350900000</v>
      </c>
      <c r="BV10" s="828">
        <f>'4. 재무분석도구'!R96</f>
        <v>290500000</v>
      </c>
      <c r="BW10" s="828">
        <f t="shared" si="1"/>
        <v>1251400000</v>
      </c>
      <c r="BX10" s="136"/>
      <c r="BY10" s="136"/>
      <c r="BZ10" s="136"/>
      <c r="CC10" s="1368"/>
      <c r="CD10" s="404" t="s">
        <v>1118</v>
      </c>
      <c r="CE10" s="405"/>
      <c r="CF10" s="165">
        <v>1</v>
      </c>
      <c r="CG10" s="166">
        <v>0</v>
      </c>
      <c r="CH10" s="167">
        <v>0</v>
      </c>
      <c r="CI10" s="75"/>
      <c r="CK10" s="278" t="s">
        <v>543</v>
      </c>
      <c r="CL10" s="278">
        <f>CM60</f>
        <v>400000000</v>
      </c>
      <c r="CM10" s="851"/>
      <c r="CN10" s="278">
        <f>IF(CG14=1,CO60,0)</f>
        <v>0</v>
      </c>
      <c r="CO10" s="851"/>
      <c r="CP10" s="278">
        <f>IF(CH14=1,CQ55,0)</f>
        <v>0</v>
      </c>
      <c r="CQ10" s="851"/>
    </row>
    <row r="11" spans="2:95" ht="22.5" customHeight="1" thickTop="1" thickBot="1">
      <c r="C11" s="572"/>
      <c r="D11" s="988" t="s">
        <v>1252</v>
      </c>
      <c r="E11" s="979" t="s">
        <v>975</v>
      </c>
      <c r="F11" s="998">
        <v>136080</v>
      </c>
      <c r="G11" s="999"/>
      <c r="H11" s="1014"/>
      <c r="I11" s="1358"/>
      <c r="J11" s="73" t="s">
        <v>154</v>
      </c>
      <c r="K11" s="781">
        <v>5</v>
      </c>
      <c r="L11" s="784">
        <v>2</v>
      </c>
      <c r="M11" s="785">
        <v>3</v>
      </c>
      <c r="O11" s="977" t="s">
        <v>145</v>
      </c>
      <c r="P11" s="1054">
        <v>5564520000</v>
      </c>
      <c r="Q11" s="248">
        <f t="shared" si="0"/>
        <v>6.2782559993826134E-2</v>
      </c>
      <c r="X11" s="68"/>
      <c r="Y11" s="182"/>
      <c r="Z11" s="880" t="s">
        <v>958</v>
      </c>
      <c r="AB11" s="126" t="s">
        <v>146</v>
      </c>
      <c r="AC11" s="800">
        <f>AC12-AC13+AC14</f>
        <v>84934340205</v>
      </c>
      <c r="AD11" s="90"/>
      <c r="AE11" s="144" t="s">
        <v>147</v>
      </c>
      <c r="AF11" s="150">
        <f>AF9+AF10</f>
        <v>14948808036.016001</v>
      </c>
      <c r="AH11" s="68"/>
      <c r="AJ11" s="811" t="s">
        <v>148</v>
      </c>
      <c r="AK11" s="133">
        <f>R249</f>
        <v>1100000000</v>
      </c>
      <c r="AL11" s="151" t="s">
        <v>7</v>
      </c>
      <c r="AN11" s="68"/>
      <c r="AP11" s="1351" t="s">
        <v>149</v>
      </c>
      <c r="AQ11" s="1390" t="s">
        <v>926</v>
      </c>
      <c r="AR11" s="815" t="s">
        <v>150</v>
      </c>
      <c r="AS11" s="823">
        <f>AK7</f>
        <v>56501456036.015999</v>
      </c>
      <c r="AT11" s="1385" t="str">
        <f>IF(AS12=0,"해당 없음",AS11/AS12)</f>
        <v>해당 없음</v>
      </c>
      <c r="AV11" s="68"/>
      <c r="AX11" s="1349"/>
      <c r="AY11" s="336"/>
      <c r="AZ11" s="121" t="s">
        <v>144</v>
      </c>
      <c r="BA11" s="128">
        <f>P41</f>
        <v>4037403092.8000002</v>
      </c>
      <c r="BC11" s="129">
        <f>P15</f>
        <v>36738340205</v>
      </c>
      <c r="BD11" s="138"/>
      <c r="BF11" s="129" t="e">
        <f>#REF!</f>
        <v>#REF!</v>
      </c>
      <c r="BG11" s="146"/>
      <c r="BH11" s="124"/>
      <c r="BI11" s="123" t="s">
        <v>117</v>
      </c>
      <c r="BJ11" s="131"/>
      <c r="BK11" s="64"/>
      <c r="BL11" s="147">
        <f>BI9/BI12</f>
        <v>4.5552626622417602E-2</v>
      </c>
      <c r="BM11" s="148"/>
      <c r="BN11" s="64"/>
      <c r="BO11" s="64"/>
      <c r="BS11" s="428" t="s">
        <v>933</v>
      </c>
      <c r="BT11" s="828">
        <f>'4. 재무분석도구'!P97</f>
        <v>1879579085.168643</v>
      </c>
      <c r="BU11" s="828">
        <f>'4. 재무분석도구'!Q97</f>
        <v>921185430.4635762</v>
      </c>
      <c r="BV11" s="828">
        <f>'4. 재무분석도구'!R97</f>
        <v>859735484.36778069</v>
      </c>
      <c r="BW11" s="828">
        <f t="shared" si="1"/>
        <v>3660500000</v>
      </c>
      <c r="BX11" s="136"/>
      <c r="BY11" s="136"/>
      <c r="BZ11" s="136"/>
      <c r="CC11" s="1368"/>
      <c r="CD11" s="404" t="s">
        <v>1119</v>
      </c>
      <c r="CE11" s="405"/>
      <c r="CF11" s="165">
        <v>48</v>
      </c>
      <c r="CG11" s="166">
        <v>0</v>
      </c>
      <c r="CH11" s="167">
        <v>0</v>
      </c>
      <c r="CI11" s="75"/>
      <c r="CK11" s="278" t="s">
        <v>544</v>
      </c>
      <c r="CL11" s="278">
        <f>CM61</f>
        <v>100000000</v>
      </c>
      <c r="CM11" s="851"/>
      <c r="CN11" s="278">
        <f>IF(CG10&gt;0,CG10*CO61,0)</f>
        <v>0</v>
      </c>
      <c r="CO11" s="851"/>
      <c r="CP11" s="278">
        <f>IF(CH10&gt;0,CH10*CQ56,0)</f>
        <v>0</v>
      </c>
      <c r="CQ11" s="851"/>
    </row>
    <row r="12" spans="2:95" ht="22.5" customHeight="1" thickBot="1">
      <c r="B12" s="1059" t="s">
        <v>1017</v>
      </c>
      <c r="C12" s="882"/>
      <c r="D12" s="987"/>
      <c r="E12" s="980" t="s">
        <v>973</v>
      </c>
      <c r="F12" s="1006">
        <f>F13</f>
        <v>76080</v>
      </c>
      <c r="G12" s="1007">
        <f>SUM(G13:G14)</f>
        <v>30000</v>
      </c>
      <c r="H12" s="1012">
        <f>H13+H15</f>
        <v>30000</v>
      </c>
      <c r="I12" s="1358"/>
      <c r="J12" s="73" t="s">
        <v>162</v>
      </c>
      <c r="K12" s="781">
        <v>3200000000</v>
      </c>
      <c r="L12" s="784">
        <v>1900000</v>
      </c>
      <c r="M12" s="785">
        <v>12000000</v>
      </c>
      <c r="O12" s="125" t="s">
        <v>155</v>
      </c>
      <c r="P12" s="774">
        <f>L87</f>
        <v>49196000000</v>
      </c>
      <c r="Q12" s="248">
        <f t="shared" si="0"/>
        <v>0.55506150062472059</v>
      </c>
      <c r="X12" s="68"/>
      <c r="Y12" s="182"/>
      <c r="AB12" s="137" t="s">
        <v>156</v>
      </c>
      <c r="AC12" s="799">
        <f>P12</f>
        <v>49196000000</v>
      </c>
      <c r="AD12" s="90"/>
      <c r="AE12" s="154"/>
      <c r="AF12" s="90"/>
      <c r="AH12" s="68"/>
      <c r="AJ12" s="428" t="s">
        <v>157</v>
      </c>
      <c r="AK12" s="155">
        <f>SUM(AK13:AK14)</f>
        <v>7836734071</v>
      </c>
      <c r="AL12" s="127"/>
      <c r="AN12" s="68"/>
      <c r="AP12" s="1352"/>
      <c r="AQ12" s="1391"/>
      <c r="AR12" s="816" t="s">
        <v>158</v>
      </c>
      <c r="AS12" s="824">
        <f>AL21</f>
        <v>0</v>
      </c>
      <c r="AT12" s="1386"/>
      <c r="AV12" s="68"/>
      <c r="AX12" s="1349"/>
      <c r="AY12" s="334" t="s">
        <v>151</v>
      </c>
      <c r="AZ12" s="121" t="s">
        <v>152</v>
      </c>
      <c r="BA12" s="152">
        <f>AL20</f>
        <v>74338190107.015991</v>
      </c>
      <c r="BC12" s="64"/>
      <c r="BD12" s="134"/>
      <c r="BE12" s="64"/>
      <c r="BF12" s="153" t="s">
        <v>153</v>
      </c>
      <c r="BG12" s="138"/>
      <c r="BH12" s="124"/>
      <c r="BI12" s="129">
        <f>BF8</f>
        <v>88631620000</v>
      </c>
      <c r="BJ12" s="124"/>
      <c r="BK12" s="64"/>
      <c r="BL12" s="64"/>
      <c r="BM12" s="134"/>
      <c r="BN12" s="64"/>
      <c r="BO12" s="64"/>
      <c r="BS12" s="428" t="s">
        <v>934</v>
      </c>
      <c r="BT12" s="828">
        <f>'4. 재무분석도구'!P99</f>
        <v>980422830.39735091</v>
      </c>
      <c r="BU12" s="828">
        <f>'4. 재무분석도구'!Q99</f>
        <v>514486774.10596025</v>
      </c>
      <c r="BV12" s="828">
        <f>'4. 재무분석도구'!R99</f>
        <v>435722050.49668872</v>
      </c>
      <c r="BW12" s="828">
        <f t="shared" si="1"/>
        <v>1930631655</v>
      </c>
      <c r="BX12" s="136"/>
      <c r="BY12" s="136"/>
      <c r="BZ12" s="136"/>
      <c r="CC12" s="1368"/>
      <c r="CD12" s="404" t="s">
        <v>1120</v>
      </c>
      <c r="CE12" s="405"/>
      <c r="CF12" s="165">
        <v>0</v>
      </c>
      <c r="CG12" s="166">
        <v>0</v>
      </c>
      <c r="CH12" s="167">
        <v>0</v>
      </c>
      <c r="CI12" s="75"/>
      <c r="CK12" s="278" t="s">
        <v>545</v>
      </c>
      <c r="CL12" s="278">
        <f>CM55</f>
        <v>2200000000</v>
      </c>
      <c r="CM12" s="278">
        <f>CN55</f>
        <v>0</v>
      </c>
      <c r="CN12" s="278">
        <f>CO55</f>
        <v>0</v>
      </c>
      <c r="CO12" s="278">
        <f>CP55</f>
        <v>0</v>
      </c>
      <c r="CP12" s="278">
        <f>CQ55</f>
        <v>0</v>
      </c>
      <c r="CQ12" s="278">
        <f t="shared" ref="CQ12" si="3">CR55</f>
        <v>0</v>
      </c>
    </row>
    <row r="13" spans="2:95" ht="22.5" customHeight="1" thickTop="1" thickBot="1">
      <c r="C13" s="572"/>
      <c r="D13" s="987"/>
      <c r="E13" s="981" t="s">
        <v>1008</v>
      </c>
      <c r="F13" s="996">
        <v>76080</v>
      </c>
      <c r="G13" s="997">
        <v>30000</v>
      </c>
      <c r="H13" s="1013">
        <v>30000</v>
      </c>
      <c r="I13" s="1359"/>
      <c r="J13" s="1089" t="s">
        <v>171</v>
      </c>
      <c r="K13" s="789">
        <v>40000000</v>
      </c>
      <c r="L13" s="1094">
        <v>40000</v>
      </c>
      <c r="M13" s="1095">
        <v>150000</v>
      </c>
      <c r="O13" s="125" t="s">
        <v>163</v>
      </c>
      <c r="P13" s="772">
        <f>L88</f>
        <v>7836734071</v>
      </c>
      <c r="Q13" s="248">
        <f t="shared" si="0"/>
        <v>8.8419167685302377E-2</v>
      </c>
      <c r="X13" s="68"/>
      <c r="Y13" s="182"/>
      <c r="Z13" s="1059" t="s">
        <v>960</v>
      </c>
      <c r="AB13" s="137" t="s">
        <v>164</v>
      </c>
      <c r="AC13" s="799">
        <f>P63+P64</f>
        <v>1000000000</v>
      </c>
      <c r="AD13" s="90"/>
      <c r="AE13" s="90"/>
      <c r="AF13" s="90"/>
      <c r="AH13" s="68"/>
      <c r="AJ13" s="428" t="s">
        <v>948</v>
      </c>
      <c r="AK13" s="133">
        <f>K89</f>
        <v>0</v>
      </c>
      <c r="AL13" s="127" t="s">
        <v>7</v>
      </c>
      <c r="AN13" s="68"/>
      <c r="AP13" s="1351" t="s">
        <v>165</v>
      </c>
      <c r="AQ13" s="1390" t="s">
        <v>927</v>
      </c>
      <c r="AR13" s="817" t="s">
        <v>166</v>
      </c>
      <c r="AS13" s="825">
        <f>AL25</f>
        <v>0</v>
      </c>
      <c r="AT13" s="1385">
        <f>AS13/AS14</f>
        <v>0</v>
      </c>
      <c r="AV13" s="68"/>
      <c r="AX13" s="1350"/>
      <c r="AY13" s="337"/>
      <c r="AZ13" s="156" t="s">
        <v>159</v>
      </c>
      <c r="BA13" s="157">
        <f>AL37</f>
        <v>74235100107.015991</v>
      </c>
      <c r="BC13" s="123" t="s">
        <v>160</v>
      </c>
      <c r="BD13" s="131"/>
      <c r="BE13" s="158"/>
      <c r="BF13" s="123" t="s">
        <v>161</v>
      </c>
      <c r="BG13" s="131"/>
      <c r="BH13" s="124"/>
      <c r="BI13" s="64"/>
      <c r="BJ13" s="64"/>
      <c r="BK13" s="64"/>
      <c r="BL13" s="124"/>
      <c r="BM13" s="134"/>
      <c r="BN13" s="64"/>
      <c r="BO13" s="64"/>
      <c r="BS13" s="428" t="s">
        <v>935</v>
      </c>
      <c r="BT13" s="829">
        <f>SUM(BT7:BT12)</f>
        <v>9253621992.2639771</v>
      </c>
      <c r="BU13" s="829">
        <f>SUM(BU7:BU12)</f>
        <v>4470021948.2781458</v>
      </c>
      <c r="BV13" s="829">
        <f>SUM(BV7:BV12)</f>
        <v>3077704264.4578781</v>
      </c>
      <c r="BW13" s="829">
        <f t="shared" si="1"/>
        <v>16801348205</v>
      </c>
      <c r="BX13" s="136"/>
      <c r="BY13" s="136"/>
      <c r="BZ13" s="136"/>
      <c r="CC13" s="1368"/>
      <c r="CD13" s="404" t="s">
        <v>1121</v>
      </c>
      <c r="CE13" s="405"/>
      <c r="CF13" s="165">
        <v>0</v>
      </c>
      <c r="CG13" s="166">
        <v>0</v>
      </c>
      <c r="CH13" s="167">
        <v>0</v>
      </c>
      <c r="CI13" s="75"/>
      <c r="CK13" s="278" t="s">
        <v>546</v>
      </c>
      <c r="CL13" s="852">
        <f>CM59</f>
        <v>815000000</v>
      </c>
      <c r="CM13" s="278">
        <f>CN59</f>
        <v>0</v>
      </c>
      <c r="CN13" s="278" t="e">
        <f>CO59</f>
        <v>#DIV/0!</v>
      </c>
      <c r="CO13" s="278">
        <f t="shared" ref="CO13:CQ13" si="4">CP59</f>
        <v>0</v>
      </c>
      <c r="CP13" s="278" t="e">
        <f t="shared" si="4"/>
        <v>#DIV/0!</v>
      </c>
      <c r="CQ13" s="278">
        <f t="shared" si="4"/>
        <v>0</v>
      </c>
    </row>
    <row r="14" spans="2:95" ht="22.5" customHeight="1" thickTop="1" thickBot="1">
      <c r="B14" s="880" t="s">
        <v>1018</v>
      </c>
      <c r="C14" s="880"/>
      <c r="D14" s="987"/>
      <c r="E14" s="981" t="s">
        <v>1164</v>
      </c>
      <c r="F14" s="1061"/>
      <c r="G14" s="997">
        <v>0</v>
      </c>
      <c r="H14" s="1063"/>
      <c r="I14" s="1357" t="s">
        <v>1253</v>
      </c>
      <c r="J14" s="1093" t="s">
        <v>177</v>
      </c>
      <c r="K14" s="790">
        <v>6</v>
      </c>
      <c r="L14" s="791"/>
      <c r="M14" s="792"/>
      <c r="O14" s="115" t="s">
        <v>172</v>
      </c>
      <c r="P14" s="185">
        <f>L97</f>
        <v>41707834071</v>
      </c>
      <c r="Q14" s="248">
        <f t="shared" si="0"/>
        <v>0.47057510706675565</v>
      </c>
      <c r="X14" s="68"/>
      <c r="Y14" s="182"/>
      <c r="Z14" s="880" t="s">
        <v>966</v>
      </c>
      <c r="AB14" s="137" t="s">
        <v>173</v>
      </c>
      <c r="AC14" s="799">
        <f>P15</f>
        <v>36738340205</v>
      </c>
      <c r="AD14" s="90"/>
      <c r="AE14" s="90"/>
      <c r="AF14" s="161"/>
      <c r="AH14" s="68"/>
      <c r="AJ14" s="428" t="s">
        <v>942</v>
      </c>
      <c r="AK14" s="133">
        <f>K93</f>
        <v>7836734071</v>
      </c>
      <c r="AL14" s="127" t="s">
        <v>7</v>
      </c>
      <c r="AN14" s="68"/>
      <c r="AP14" s="1352"/>
      <c r="AQ14" s="1391"/>
      <c r="AR14" s="818" t="s">
        <v>127</v>
      </c>
      <c r="AS14" s="826">
        <f>AL37</f>
        <v>74235100107.015991</v>
      </c>
      <c r="AT14" s="1386"/>
      <c r="AV14" s="68"/>
      <c r="AX14" s="1392" t="s">
        <v>167</v>
      </c>
      <c r="AY14" s="159" t="s">
        <v>168</v>
      </c>
      <c r="AZ14" s="121" t="s">
        <v>169</v>
      </c>
      <c r="BA14" s="160">
        <f>BA11/BA13</f>
        <v>5.4386713117915271E-2</v>
      </c>
      <c r="BC14" s="129">
        <f>P33</f>
        <v>33990000</v>
      </c>
      <c r="BD14" s="130"/>
      <c r="BE14" s="64"/>
      <c r="BF14" s="129">
        <f>BC8+BC11+BC14+BC17</f>
        <v>84680466907.199997</v>
      </c>
      <c r="BG14" s="124"/>
      <c r="BH14" s="124"/>
      <c r="BI14" s="124"/>
      <c r="BJ14" s="124"/>
      <c r="BK14" s="64"/>
      <c r="BL14" s="153" t="s">
        <v>170</v>
      </c>
      <c r="BM14" s="134"/>
      <c r="BN14" s="64"/>
      <c r="BO14" s="64"/>
      <c r="BS14" s="428" t="s">
        <v>936</v>
      </c>
      <c r="BT14" s="828">
        <f>'4. 재무분석도구'!P101</f>
        <v>66680</v>
      </c>
      <c r="BU14" s="828">
        <f>'4. 재무분석도구'!Q101</f>
        <v>32680</v>
      </c>
      <c r="BV14" s="828">
        <f>'4. 재무분석도구'!R101</f>
        <v>30500</v>
      </c>
      <c r="BW14" s="828">
        <f t="shared" si="1"/>
        <v>129860</v>
      </c>
      <c r="BX14" s="136"/>
      <c r="BY14" s="136"/>
      <c r="BZ14" s="136"/>
      <c r="CC14" s="1369"/>
      <c r="CD14" s="404" t="s">
        <v>1122</v>
      </c>
      <c r="CE14" s="405"/>
      <c r="CF14" s="406"/>
      <c r="CG14" s="166">
        <v>1</v>
      </c>
      <c r="CH14" s="167">
        <v>1</v>
      </c>
      <c r="CI14" s="75"/>
      <c r="CK14" s="849" t="s">
        <v>547</v>
      </c>
      <c r="CL14" s="850">
        <f t="shared" ref="CL14:CP14" si="5">CL15+CL16</f>
        <v>4320000000</v>
      </c>
      <c r="CM14" s="850">
        <f t="shared" si="5"/>
        <v>0</v>
      </c>
      <c r="CN14" s="850">
        <f t="shared" si="5"/>
        <v>0</v>
      </c>
      <c r="CO14" s="850">
        <f t="shared" si="5"/>
        <v>0</v>
      </c>
      <c r="CP14" s="850">
        <f t="shared" si="5"/>
        <v>0</v>
      </c>
      <c r="CQ14" s="850">
        <f t="shared" ref="CQ14" si="6">CQ15+CQ16</f>
        <v>0</v>
      </c>
    </row>
    <row r="15" spans="2:95" ht="22.5" customHeight="1" thickTop="1">
      <c r="B15" s="880" t="s">
        <v>965</v>
      </c>
      <c r="C15" s="572"/>
      <c r="D15" s="987"/>
      <c r="E15" s="981" t="s">
        <v>1213</v>
      </c>
      <c r="F15" s="1061"/>
      <c r="G15" s="1062"/>
      <c r="H15" s="1013"/>
      <c r="I15" s="1358"/>
      <c r="J15" s="73" t="s">
        <v>184</v>
      </c>
      <c r="K15" s="786">
        <v>0</v>
      </c>
      <c r="L15" s="787"/>
      <c r="M15" s="788"/>
      <c r="O15" s="115" t="s">
        <v>178</v>
      </c>
      <c r="P15" s="185">
        <f>L98</f>
        <v>36738340205</v>
      </c>
      <c r="Q15" s="248">
        <f t="shared" si="0"/>
        <v>0.41450602172227025</v>
      </c>
      <c r="X15" s="68"/>
      <c r="Y15" s="182"/>
      <c r="AB15" s="126" t="s">
        <v>179</v>
      </c>
      <c r="AC15" s="799">
        <f>P31</f>
        <v>86250000</v>
      </c>
      <c r="AD15" s="90"/>
      <c r="AE15" s="90"/>
      <c r="AF15" s="164"/>
      <c r="AH15" s="68"/>
      <c r="AJ15" s="812" t="s">
        <v>174</v>
      </c>
      <c r="AK15" s="119" t="s">
        <v>7</v>
      </c>
      <c r="AL15" s="119">
        <f>SUM(AK19,AK16)</f>
        <v>10000000000</v>
      </c>
      <c r="AN15" s="68"/>
      <c r="AP15" s="1355" t="s">
        <v>180</v>
      </c>
      <c r="AQ15" s="1381" t="s">
        <v>928</v>
      </c>
      <c r="AR15" s="819" t="s">
        <v>117</v>
      </c>
      <c r="AS15" s="827">
        <f>P6</f>
        <v>88631620000</v>
      </c>
      <c r="AT15" s="1383">
        <f>AS15/AS16</f>
        <v>1.1939314404133656</v>
      </c>
      <c r="AV15" s="68"/>
      <c r="AX15" s="1349"/>
      <c r="AY15" s="162" t="s">
        <v>175</v>
      </c>
      <c r="AZ15" s="121" t="s">
        <v>176</v>
      </c>
      <c r="BA15" s="163">
        <f>BA11/BA7</f>
        <v>4.5552626622417602E-2</v>
      </c>
      <c r="BC15" s="124"/>
      <c r="BD15" s="138"/>
      <c r="BH15" s="124"/>
      <c r="BI15" s="124"/>
      <c r="BJ15" s="124"/>
      <c r="BK15" s="64"/>
      <c r="BL15" s="124"/>
      <c r="BM15" s="134"/>
      <c r="BN15" s="64"/>
      <c r="BO15" s="64"/>
      <c r="BS15" s="428" t="s">
        <v>937</v>
      </c>
      <c r="BT15" s="830">
        <f>BT13/BT14</f>
        <v>138776.57456904586</v>
      </c>
      <c r="BU15" s="830">
        <f>BU13/BU14</f>
        <v>136781.57736469235</v>
      </c>
      <c r="BV15" s="830">
        <f>BV13/BV14</f>
        <v>100908.33653960256</v>
      </c>
      <c r="BW15" s="831">
        <f>BW13/BW14</f>
        <v>129380.47285538272</v>
      </c>
      <c r="BX15" s="136"/>
      <c r="BY15" s="136"/>
      <c r="BZ15" s="136"/>
      <c r="CC15" s="1372" t="s">
        <v>1065</v>
      </c>
      <c r="CD15" s="1370" t="s">
        <v>1075</v>
      </c>
      <c r="CE15" s="1371"/>
      <c r="CF15" s="786">
        <v>2800000000</v>
      </c>
      <c r="CG15" s="895"/>
      <c r="CH15" s="896"/>
      <c r="CI15" s="75"/>
      <c r="CK15" s="278" t="s">
        <v>548</v>
      </c>
      <c r="CL15" s="853">
        <f>CM50</f>
        <v>4320000000</v>
      </c>
      <c r="CM15" s="853">
        <f t="shared" ref="CM15:CQ15" si="7">CN50</f>
        <v>0</v>
      </c>
      <c r="CN15" s="853">
        <f t="shared" si="7"/>
        <v>0</v>
      </c>
      <c r="CO15" s="853">
        <f t="shared" si="7"/>
        <v>0</v>
      </c>
      <c r="CP15" s="853">
        <f t="shared" si="7"/>
        <v>0</v>
      </c>
      <c r="CQ15" s="853">
        <f t="shared" si="7"/>
        <v>0</v>
      </c>
    </row>
    <row r="16" spans="2:95" ht="22.5" customHeight="1" thickBot="1">
      <c r="C16" s="880"/>
      <c r="D16" s="987"/>
      <c r="E16" s="978" t="s">
        <v>977</v>
      </c>
      <c r="F16" s="1048">
        <v>0</v>
      </c>
      <c r="G16" s="1049">
        <v>0</v>
      </c>
      <c r="H16" s="1050">
        <v>0</v>
      </c>
      <c r="I16" s="1358"/>
      <c r="J16" s="73" t="s">
        <v>190</v>
      </c>
      <c r="K16" s="786">
        <v>0</v>
      </c>
      <c r="L16" s="787"/>
      <c r="M16" s="788"/>
      <c r="O16" s="1183" t="s">
        <v>360</v>
      </c>
      <c r="P16" s="1184">
        <f>L99</f>
        <v>3935066550</v>
      </c>
      <c r="Q16" s="248">
        <f t="shared" si="0"/>
        <v>4.4397998705202502E-2</v>
      </c>
      <c r="X16" s="68"/>
      <c r="Y16" s="182"/>
      <c r="Z16" s="1059" t="s">
        <v>1003</v>
      </c>
      <c r="AB16" s="126" t="s">
        <v>185</v>
      </c>
      <c r="AC16" s="799">
        <f>P34</f>
        <v>0</v>
      </c>
      <c r="AD16" s="90"/>
      <c r="AE16" s="90"/>
      <c r="AF16" s="164"/>
      <c r="AH16" s="68"/>
      <c r="AJ16" s="428" t="s">
        <v>412</v>
      </c>
      <c r="AK16" s="168">
        <f>SUM(AK17:AK18)</f>
        <v>10000000000</v>
      </c>
      <c r="AL16" s="127"/>
      <c r="AN16" s="68"/>
      <c r="AP16" s="1360"/>
      <c r="AQ16" s="1382"/>
      <c r="AR16" s="820" t="s">
        <v>186</v>
      </c>
      <c r="AS16" s="824">
        <f>AL38</f>
        <v>74235100107.015991</v>
      </c>
      <c r="AT16" s="1384"/>
      <c r="AV16" s="68"/>
      <c r="AX16" s="1349"/>
      <c r="AY16" s="162" t="s">
        <v>181</v>
      </c>
      <c r="AZ16" s="121" t="s">
        <v>182</v>
      </c>
      <c r="BA16" s="163">
        <f>BA7/BA12</f>
        <v>1.1922757316583499</v>
      </c>
      <c r="BC16" s="123" t="s">
        <v>183</v>
      </c>
      <c r="BD16" s="131"/>
      <c r="BE16" s="64"/>
      <c r="BF16" s="64"/>
      <c r="BG16" s="124"/>
      <c r="BH16" s="124"/>
      <c r="BI16" s="123" t="s">
        <v>117</v>
      </c>
      <c r="BJ16" s="124"/>
      <c r="BK16" s="64"/>
      <c r="BL16" s="124"/>
      <c r="BM16" s="134"/>
      <c r="BN16" s="64"/>
      <c r="BO16" s="64"/>
      <c r="BX16" s="136"/>
      <c r="BY16" s="136"/>
      <c r="BZ16" s="136"/>
      <c r="CC16" s="1373"/>
      <c r="CD16" s="1370" t="s">
        <v>1108</v>
      </c>
      <c r="CE16" s="1371"/>
      <c r="CF16" s="165">
        <v>1500000000</v>
      </c>
      <c r="CG16" s="895"/>
      <c r="CH16" s="896"/>
      <c r="CI16" s="75"/>
      <c r="CK16" s="278" t="s">
        <v>551</v>
      </c>
      <c r="CL16" s="278">
        <f>CF21*CL18</f>
        <v>0</v>
      </c>
      <c r="CM16" s="278">
        <f>CF22*CM18</f>
        <v>0</v>
      </c>
      <c r="CN16" s="278">
        <f>CG21*CN18</f>
        <v>0</v>
      </c>
      <c r="CO16" s="278">
        <f>CO18*CG22</f>
        <v>0</v>
      </c>
      <c r="CP16" s="278">
        <f>CH21*CP18</f>
        <v>0</v>
      </c>
      <c r="CQ16" s="278">
        <f>CI21*CQ18</f>
        <v>0</v>
      </c>
    </row>
    <row r="17" spans="2:95" ht="22.5" customHeight="1" thickTop="1" thickBot="1">
      <c r="B17" s="1059" t="s">
        <v>1019</v>
      </c>
      <c r="D17" s="989"/>
      <c r="E17" s="982" t="s">
        <v>976</v>
      </c>
      <c r="F17" s="1051">
        <v>0</v>
      </c>
      <c r="G17" s="1052">
        <v>0</v>
      </c>
      <c r="H17" s="1053">
        <v>0</v>
      </c>
      <c r="I17" s="1358"/>
      <c r="J17" s="73" t="s">
        <v>196</v>
      </c>
      <c r="K17" s="786">
        <v>48</v>
      </c>
      <c r="L17" s="787"/>
      <c r="M17" s="788"/>
      <c r="O17" s="1199" t="s">
        <v>361</v>
      </c>
      <c r="P17" s="1200">
        <f>L107</f>
        <v>4763750000</v>
      </c>
      <c r="Q17" s="248">
        <f t="shared" si="0"/>
        <v>5.3747748264107095E-2</v>
      </c>
      <c r="X17" s="68"/>
      <c r="Y17" s="182"/>
      <c r="Z17" s="906" t="s">
        <v>963</v>
      </c>
      <c r="AB17" s="126" t="s">
        <v>191</v>
      </c>
      <c r="AC17" s="800">
        <f>P40</f>
        <v>984350773.20000005</v>
      </c>
      <c r="AD17" s="90"/>
      <c r="AE17" s="90"/>
      <c r="AF17" s="164"/>
      <c r="AH17" s="68"/>
      <c r="AJ17" s="811" t="s">
        <v>394</v>
      </c>
      <c r="AK17" s="1056">
        <v>5200000000</v>
      </c>
      <c r="AL17" s="151" t="s">
        <v>7</v>
      </c>
      <c r="AN17" s="68"/>
      <c r="AP17" s="1355" t="s">
        <v>192</v>
      </c>
      <c r="AQ17" s="1390" t="s">
        <v>956</v>
      </c>
      <c r="AR17" s="817" t="s">
        <v>437</v>
      </c>
      <c r="AS17" s="825">
        <f>P6</f>
        <v>88631620000</v>
      </c>
      <c r="AT17" s="1385">
        <f>(AS17-AS18)/AS18</f>
        <v>-2.3405536300704971E-3</v>
      </c>
      <c r="AV17" s="68"/>
      <c r="AX17" s="1349"/>
      <c r="AY17" s="162" t="s">
        <v>187</v>
      </c>
      <c r="AZ17" s="121" t="s">
        <v>188</v>
      </c>
      <c r="BA17" s="169">
        <f>BA12/BA13</f>
        <v>1.0013886961808012</v>
      </c>
      <c r="BC17" s="129">
        <f>P40</f>
        <v>984350773.20000005</v>
      </c>
      <c r="BD17" s="124"/>
      <c r="BE17" s="64"/>
      <c r="BF17" s="123" t="s">
        <v>189</v>
      </c>
      <c r="BG17" s="64"/>
      <c r="BH17" s="124"/>
      <c r="BI17" s="129">
        <f>BI12</f>
        <v>88631620000</v>
      </c>
      <c r="BJ17" s="130"/>
      <c r="BK17" s="64"/>
      <c r="BL17" s="124"/>
      <c r="BM17" s="134"/>
      <c r="BN17" s="64"/>
      <c r="BO17" s="64"/>
      <c r="CC17" s="1374"/>
      <c r="CD17" s="1370" t="s">
        <v>1115</v>
      </c>
      <c r="CE17" s="1371"/>
      <c r="CF17" s="781">
        <v>90000000</v>
      </c>
      <c r="CG17" s="895"/>
      <c r="CH17" s="896"/>
      <c r="CI17" s="75"/>
      <c r="CK17" s="278" t="s">
        <v>554</v>
      </c>
      <c r="CL17" s="278">
        <f>CL15/CF21</f>
        <v>200000</v>
      </c>
      <c r="CM17" s="278" t="e">
        <f>CM15/CF22</f>
        <v>#DIV/0!</v>
      </c>
      <c r="CN17" s="278" t="e">
        <f>CN15/CG21</f>
        <v>#DIV/0!</v>
      </c>
      <c r="CO17" s="278" t="e">
        <f>CO15/CG22</f>
        <v>#DIV/0!</v>
      </c>
      <c r="CP17" s="278" t="e">
        <f>CP15/CH21</f>
        <v>#DIV/0!</v>
      </c>
      <c r="CQ17" s="278" t="e">
        <f>CQ15/CH22</f>
        <v>#VALUE!</v>
      </c>
    </row>
    <row r="18" spans="2:95" ht="22.5" customHeight="1" thickTop="1" thickBot="1">
      <c r="B18" s="880" t="s">
        <v>957</v>
      </c>
      <c r="D18" s="987" t="s">
        <v>1065</v>
      </c>
      <c r="E18" s="1173" t="s">
        <v>1131</v>
      </c>
      <c r="F18" s="1174">
        <v>50</v>
      </c>
      <c r="G18" s="1164"/>
      <c r="H18" s="1165"/>
      <c r="I18" s="1358"/>
      <c r="J18" s="73" t="s">
        <v>201</v>
      </c>
      <c r="K18" s="786">
        <v>0</v>
      </c>
      <c r="L18" s="787"/>
      <c r="M18" s="788"/>
      <c r="O18" s="125" t="s">
        <v>435</v>
      </c>
      <c r="P18" s="772">
        <f>L123</f>
        <v>1500000000</v>
      </c>
      <c r="Q18" s="248">
        <f t="shared" si="0"/>
        <v>1.6923982659913021E-2</v>
      </c>
      <c r="X18" s="68"/>
      <c r="Y18" s="182"/>
      <c r="AB18" s="116" t="s">
        <v>197</v>
      </c>
      <c r="AC18" s="307">
        <f>AC19-AC24</f>
        <v>-2030900000</v>
      </c>
      <c r="AD18" s="90"/>
      <c r="AE18" s="90"/>
      <c r="AF18" s="90"/>
      <c r="AH18" s="68"/>
      <c r="AJ18" s="811" t="s">
        <v>395</v>
      </c>
      <c r="AK18" s="1057">
        <v>4800000000</v>
      </c>
      <c r="AL18" s="151" t="s">
        <v>7</v>
      </c>
      <c r="AN18" s="68"/>
      <c r="AP18" s="1356"/>
      <c r="AQ18" s="1364"/>
      <c r="AR18" s="813" t="s">
        <v>439</v>
      </c>
      <c r="AS18" s="821">
        <f>AC8</f>
        <v>88839553740</v>
      </c>
      <c r="AT18" s="1366"/>
      <c r="AV18" s="68"/>
      <c r="AX18" s="1349"/>
      <c r="AY18" s="170" t="s">
        <v>193</v>
      </c>
      <c r="AZ18" s="171"/>
      <c r="BA18" s="171"/>
      <c r="BC18" s="124"/>
      <c r="BD18" s="124"/>
      <c r="BE18" s="64"/>
      <c r="BF18" s="129">
        <v>65299591812</v>
      </c>
      <c r="BG18" s="130"/>
      <c r="BH18" s="124"/>
      <c r="BI18" s="124" t="s">
        <v>138</v>
      </c>
      <c r="BJ18" s="138"/>
      <c r="BK18" s="140"/>
      <c r="BL18" s="141" t="s">
        <v>194</v>
      </c>
      <c r="BM18" s="140"/>
      <c r="BN18" s="140"/>
      <c r="BO18" s="141" t="s">
        <v>195</v>
      </c>
      <c r="CC18" s="407" t="s">
        <v>549</v>
      </c>
      <c r="CD18" s="73" t="s">
        <v>550</v>
      </c>
      <c r="CE18" s="1152"/>
      <c r="CF18" s="165">
        <v>2000000000</v>
      </c>
      <c r="CG18" s="166">
        <v>0</v>
      </c>
      <c r="CH18" s="167">
        <v>0</v>
      </c>
      <c r="CI18" s="75"/>
      <c r="CK18" s="278" t="s">
        <v>556</v>
      </c>
      <c r="CL18" s="278">
        <f>CF7*CF8</f>
        <v>0</v>
      </c>
      <c r="CM18" s="278">
        <f>CL18</f>
        <v>0</v>
      </c>
      <c r="CN18" s="278">
        <f>CG7*CG20*CG8</f>
        <v>0</v>
      </c>
      <c r="CO18" s="278">
        <f>CN18</f>
        <v>0</v>
      </c>
      <c r="CP18" s="278">
        <f>CH7*CH20*CH8</f>
        <v>0</v>
      </c>
      <c r="CQ18" s="278">
        <f>CP18</f>
        <v>0</v>
      </c>
    </row>
    <row r="19" spans="2:95" ht="22.5" customHeight="1" thickTop="1" thickBot="1">
      <c r="D19" s="987"/>
      <c r="E19" s="1175" t="s">
        <v>1067</v>
      </c>
      <c r="F19" s="1176">
        <v>5</v>
      </c>
      <c r="G19" s="1164"/>
      <c r="H19" s="1165"/>
      <c r="I19" s="1358"/>
      <c r="J19" s="73" t="s">
        <v>207</v>
      </c>
      <c r="K19" s="786">
        <v>0</v>
      </c>
      <c r="L19" s="787"/>
      <c r="M19" s="788"/>
      <c r="O19" s="176" t="s">
        <v>202</v>
      </c>
      <c r="P19" s="772">
        <f>L124</f>
        <v>7390000000</v>
      </c>
      <c r="Q19" s="248">
        <f t="shared" si="0"/>
        <v>8.3378821237838144E-2</v>
      </c>
      <c r="X19" s="68"/>
      <c r="Y19" s="182"/>
      <c r="Z19" s="1059" t="s">
        <v>1004</v>
      </c>
      <c r="AB19" s="126" t="s">
        <v>203</v>
      </c>
      <c r="AC19" s="801">
        <f>AC20+AC21+AC22+AC23</f>
        <v>4000000000</v>
      </c>
      <c r="AD19" s="90"/>
      <c r="AE19" s="90"/>
      <c r="AF19" s="161"/>
      <c r="AH19" s="68"/>
      <c r="AJ19" s="428" t="s">
        <v>413</v>
      </c>
      <c r="AK19" s="133">
        <v>0</v>
      </c>
      <c r="AL19" s="127" t="s">
        <v>7</v>
      </c>
      <c r="AN19" s="68"/>
      <c r="AP19" s="177"/>
      <c r="AQ19" s="178"/>
      <c r="AR19" s="177"/>
      <c r="AS19" s="177"/>
      <c r="AV19" s="68"/>
      <c r="AX19" s="1349"/>
      <c r="AY19" s="172" t="s">
        <v>198</v>
      </c>
      <c r="AZ19" s="171" t="s">
        <v>199</v>
      </c>
      <c r="BA19" s="173">
        <f>BA8/BA7</f>
        <v>0.47057510706675565</v>
      </c>
      <c r="BC19" s="124"/>
      <c r="BD19" s="124"/>
      <c r="BE19" s="64"/>
      <c r="BF19" s="153" t="s">
        <v>200</v>
      </c>
      <c r="BG19" s="138"/>
      <c r="BH19" s="174"/>
      <c r="BI19" s="123" t="s">
        <v>186</v>
      </c>
      <c r="BJ19" s="131"/>
      <c r="BK19" s="64"/>
      <c r="BL19" s="175">
        <f>BI17/BI20</f>
        <v>1.1770531269450435</v>
      </c>
      <c r="BM19" s="134"/>
      <c r="BN19" s="64"/>
      <c r="BO19" s="147">
        <f>BI9/BI28</f>
        <v>5.4386713117915271E-2</v>
      </c>
      <c r="CC19" s="1147" t="s">
        <v>552</v>
      </c>
      <c r="CD19" s="408" t="s">
        <v>553</v>
      </c>
      <c r="CE19" s="409"/>
      <c r="CF19" s="410">
        <v>1</v>
      </c>
      <c r="CG19" s="411">
        <v>1</v>
      </c>
      <c r="CH19" s="412">
        <v>1</v>
      </c>
      <c r="CI19" s="75"/>
      <c r="CK19" s="278" t="s">
        <v>559</v>
      </c>
      <c r="CL19" s="278">
        <f>CF7-CL17-CL18</f>
        <v>480000</v>
      </c>
      <c r="CM19" s="278" t="e">
        <f>CF7-CM17-CM18</f>
        <v>#DIV/0!</v>
      </c>
      <c r="CN19" s="278" t="e">
        <f>(CG7*CG20)-CN17-CN18</f>
        <v>#DIV/0!</v>
      </c>
      <c r="CO19" s="854" t="e">
        <f>(CG7*CG20)-CO17-CO18</f>
        <v>#DIV/0!</v>
      </c>
      <c r="CP19" s="278" t="e">
        <f>(CH7*CH20)-CP17-CP18</f>
        <v>#DIV/0!</v>
      </c>
      <c r="CQ19" s="278" t="e">
        <f>(CH7*CH20)-CQ17-CQ18</f>
        <v>#VALUE!</v>
      </c>
    </row>
    <row r="20" spans="2:95" ht="22.5" customHeight="1" thickTop="1" thickBot="1">
      <c r="D20" s="987"/>
      <c r="E20" s="1175" t="s">
        <v>1066</v>
      </c>
      <c r="F20" s="1176">
        <v>0</v>
      </c>
      <c r="G20" s="1164"/>
      <c r="H20" s="1165"/>
      <c r="I20" s="1358"/>
      <c r="J20" s="73" t="s">
        <v>211</v>
      </c>
      <c r="K20" s="786"/>
      <c r="L20" s="787"/>
      <c r="M20" s="788"/>
      <c r="O20" s="125" t="s">
        <v>208</v>
      </c>
      <c r="P20" s="772">
        <f>L130</f>
        <v>2253750000</v>
      </c>
      <c r="Q20" s="248">
        <f t="shared" si="0"/>
        <v>2.5428283946519314E-2</v>
      </c>
      <c r="X20" s="68"/>
      <c r="Y20" s="182"/>
      <c r="Z20" s="880" t="s">
        <v>967</v>
      </c>
      <c r="AB20" s="137" t="s">
        <v>362</v>
      </c>
      <c r="AC20" s="1054">
        <v>4000000000</v>
      </c>
      <c r="AD20" s="90"/>
      <c r="AE20" s="181"/>
      <c r="AF20" s="90"/>
      <c r="AH20" s="68"/>
      <c r="AJ20" s="267" t="s">
        <v>212</v>
      </c>
      <c r="AK20" s="119" t="s">
        <v>7</v>
      </c>
      <c r="AL20" s="119">
        <f>SUM(AL6,AL15)</f>
        <v>74338190107.015991</v>
      </c>
      <c r="AN20" s="68"/>
      <c r="AV20" s="68"/>
      <c r="AX20" s="1349"/>
      <c r="AY20" s="172" t="s">
        <v>204</v>
      </c>
      <c r="AZ20" s="179" t="s">
        <v>205</v>
      </c>
      <c r="BA20" s="180">
        <f>BA9/BA8</f>
        <v>0.11915013034578446</v>
      </c>
      <c r="BC20" s="124"/>
      <c r="BD20" s="124"/>
      <c r="BE20" s="64"/>
      <c r="BF20" s="123" t="s">
        <v>206</v>
      </c>
      <c r="BG20" s="131"/>
      <c r="BH20" s="124"/>
      <c r="BI20" s="129">
        <f>BF18+BF21</f>
        <v>75299591812</v>
      </c>
      <c r="BJ20" s="124"/>
      <c r="BK20" s="64"/>
      <c r="BL20" s="64"/>
      <c r="BM20" s="134"/>
      <c r="BN20" s="64"/>
      <c r="BO20" s="64"/>
      <c r="CC20" s="1148"/>
      <c r="CD20" s="76" t="s">
        <v>555</v>
      </c>
      <c r="CE20" s="409"/>
      <c r="CF20" s="192">
        <v>1</v>
      </c>
      <c r="CG20" s="193">
        <v>1100</v>
      </c>
      <c r="CH20" s="194">
        <v>175</v>
      </c>
      <c r="CI20" s="75"/>
      <c r="CK20" s="849" t="s">
        <v>561</v>
      </c>
      <c r="CL20" s="850">
        <f t="shared" ref="CL20:CQ20" si="8">CL9/CL19</f>
        <v>7322.916666666667</v>
      </c>
      <c r="CM20" s="850" t="e">
        <f t="shared" si="8"/>
        <v>#DIV/0!</v>
      </c>
      <c r="CN20" s="850" t="e">
        <f t="shared" si="8"/>
        <v>#DIV/0!</v>
      </c>
      <c r="CO20" s="850" t="e">
        <f t="shared" si="8"/>
        <v>#DIV/0!</v>
      </c>
      <c r="CP20" s="850" t="e">
        <f t="shared" si="8"/>
        <v>#DIV/0!</v>
      </c>
      <c r="CQ20" s="850" t="e">
        <f t="shared" si="8"/>
        <v>#VALUE!</v>
      </c>
    </row>
    <row r="21" spans="2:95" ht="22.5" customHeight="1" thickTop="1" thickBot="1">
      <c r="D21" s="987"/>
      <c r="E21" s="1177" t="s">
        <v>1132</v>
      </c>
      <c r="F21" s="1178">
        <f>F18-F19-F20</f>
        <v>45</v>
      </c>
      <c r="G21" s="1164">
        <f>G18-G19--G20</f>
        <v>0</v>
      </c>
      <c r="H21" s="1165">
        <f>H18-H19-H20</f>
        <v>0</v>
      </c>
      <c r="I21" s="1358"/>
      <c r="J21" s="73" t="s">
        <v>215</v>
      </c>
      <c r="K21" s="786">
        <v>0</v>
      </c>
      <c r="L21" s="787"/>
      <c r="M21" s="788"/>
      <c r="O21" s="125" t="s">
        <v>359</v>
      </c>
      <c r="P21" s="772">
        <f>L140</f>
        <v>3460800000</v>
      </c>
      <c r="Q21" s="248">
        <f t="shared" si="0"/>
        <v>3.9047012792951322E-2</v>
      </c>
      <c r="X21" s="68"/>
      <c r="Y21" s="182"/>
      <c r="AB21" s="137" t="s">
        <v>381</v>
      </c>
      <c r="AC21" s="801">
        <f>IF(R245&lt;0,ABS(R246),0)</f>
        <v>0</v>
      </c>
      <c r="AD21" s="90"/>
      <c r="AE21" s="181"/>
      <c r="AF21" s="90"/>
      <c r="AH21" s="68"/>
      <c r="AJ21" s="812" t="s">
        <v>218</v>
      </c>
      <c r="AK21" s="119" t="s">
        <v>7</v>
      </c>
      <c r="AL21" s="119">
        <f>SUM(AK22)</f>
        <v>0</v>
      </c>
      <c r="AN21" s="68"/>
      <c r="AP21" s="64"/>
      <c r="AQ21" s="64"/>
      <c r="AR21" s="64"/>
      <c r="AS21" s="64"/>
      <c r="AT21" s="64"/>
      <c r="AV21" s="68"/>
      <c r="AX21" s="1349"/>
      <c r="AY21" s="172" t="s">
        <v>209</v>
      </c>
      <c r="AZ21" s="179" t="s">
        <v>210</v>
      </c>
      <c r="BA21" s="180">
        <f>BA10/BA9</f>
        <v>1.0105161614862932</v>
      </c>
      <c r="BC21" s="124"/>
      <c r="BD21" s="124"/>
      <c r="BE21" s="64"/>
      <c r="BF21" s="129">
        <v>10000000000</v>
      </c>
      <c r="BG21" s="124"/>
      <c r="BH21" s="124"/>
      <c r="BI21" s="124"/>
      <c r="BJ21" s="124"/>
      <c r="BK21" s="64"/>
      <c r="BL21" s="124"/>
      <c r="BM21" s="134"/>
      <c r="BN21" s="64"/>
      <c r="BO21" s="64"/>
      <c r="CC21" s="1144" t="s">
        <v>557</v>
      </c>
      <c r="CD21" s="404" t="s">
        <v>558</v>
      </c>
      <c r="CE21" s="405"/>
      <c r="CF21" s="413">
        <f>IF(CF11=CC49,CD49*CF10,IF(CF11=CC50,CD50*CF10,IF(CF11=CC51,CD51*CF10,0)))</f>
        <v>21600</v>
      </c>
      <c r="CG21" s="414">
        <f>IF(CG11=CC49,CF49*CG10,IF(CG11=CC50,CF50*CG10,IF(CG11=CC51,CF51*CG10,0)))</f>
        <v>0</v>
      </c>
      <c r="CH21" s="415">
        <f>IF(CH11=CC49,CH49*CH10,IF(CH11=CC50,CH50*CH10,IF(CH11=CC51,CH51*CH10,0)))</f>
        <v>0</v>
      </c>
      <c r="CI21" s="75"/>
    </row>
    <row r="22" spans="2:95" ht="22.5" customHeight="1" thickTop="1" thickBot="1">
      <c r="D22" s="987"/>
      <c r="E22" s="1173" t="s">
        <v>1133</v>
      </c>
      <c r="F22" s="1174">
        <v>23</v>
      </c>
      <c r="G22" s="1164"/>
      <c r="H22" s="1165"/>
      <c r="I22" s="1358"/>
      <c r="J22" s="73" t="s">
        <v>279</v>
      </c>
      <c r="K22" s="782">
        <v>136080</v>
      </c>
      <c r="L22" s="787"/>
      <c r="M22" s="788"/>
      <c r="O22" s="125" t="s">
        <v>216</v>
      </c>
      <c r="P22" s="772">
        <f>L149</f>
        <v>881192000</v>
      </c>
      <c r="Q22" s="248">
        <f t="shared" si="0"/>
        <v>9.9421854187027158E-3</v>
      </c>
      <c r="X22" s="68"/>
      <c r="Y22" s="182"/>
      <c r="Z22" s="1059" t="s">
        <v>1005</v>
      </c>
      <c r="AB22" s="137" t="s">
        <v>217</v>
      </c>
      <c r="AC22" s="1040">
        <v>0</v>
      </c>
      <c r="AD22" s="90"/>
      <c r="AE22" s="181"/>
      <c r="AF22" s="90"/>
      <c r="AH22" s="68"/>
      <c r="AJ22" s="428" t="s">
        <v>221</v>
      </c>
      <c r="AK22" s="133">
        <f>AC31+AC41</f>
        <v>0</v>
      </c>
      <c r="AL22" s="127" t="s">
        <v>7</v>
      </c>
      <c r="AN22" s="68"/>
      <c r="AP22" s="64"/>
      <c r="AQ22" s="64"/>
      <c r="AR22" s="64"/>
      <c r="AS22" s="64"/>
      <c r="AT22" s="64"/>
      <c r="AV22" s="68"/>
      <c r="AX22" s="1393"/>
      <c r="AY22" s="172" t="s">
        <v>213</v>
      </c>
      <c r="AZ22" s="171" t="s">
        <v>214</v>
      </c>
      <c r="BA22" s="173">
        <f>BA11/BA10</f>
        <v>0.80398267229610976</v>
      </c>
      <c r="BC22" s="124"/>
      <c r="BD22" s="124"/>
      <c r="BE22" s="64"/>
      <c r="BF22" s="124"/>
      <c r="BG22" s="124"/>
      <c r="BH22" s="124"/>
      <c r="BI22" s="124"/>
      <c r="BJ22" s="124"/>
      <c r="BK22" s="64"/>
      <c r="BL22" s="153" t="s">
        <v>170</v>
      </c>
      <c r="BM22" s="134"/>
      <c r="BN22" s="64"/>
      <c r="BO22" s="64"/>
      <c r="CC22" s="1145"/>
      <c r="CD22" s="404" t="s">
        <v>560</v>
      </c>
      <c r="CE22" s="405"/>
      <c r="CF22" s="413">
        <f>IF(CF15=CC49,CE49*CF14,IF(CF15=CC50,CE50*CF14,IF(CF15=CC51,CE51*CF14,0)))</f>
        <v>0</v>
      </c>
      <c r="CG22" s="414">
        <f>IF(CG15=CC49,CG49*CG14,IF(CG15=CC50,CG50*CG14,IF(CG15=CC51,CG51*CG14,0)))</f>
        <v>0</v>
      </c>
      <c r="CH22" s="415" t="s">
        <v>1125</v>
      </c>
      <c r="CI22" s="75"/>
      <c r="CK22" s="1153"/>
      <c r="CL22" s="1154"/>
      <c r="CM22" s="994"/>
      <c r="CN22" s="994"/>
    </row>
    <row r="23" spans="2:95" ht="22.5" customHeight="1" thickTop="1" thickBot="1">
      <c r="D23" s="987"/>
      <c r="E23" s="1175" t="s">
        <v>1126</v>
      </c>
      <c r="F23" s="1176">
        <v>3</v>
      </c>
      <c r="G23" s="1164"/>
      <c r="H23" s="1165"/>
      <c r="I23" s="1358"/>
      <c r="J23" s="73" t="s">
        <v>354</v>
      </c>
      <c r="K23" s="782">
        <v>50000000</v>
      </c>
      <c r="L23" s="787"/>
      <c r="M23" s="788"/>
      <c r="O23" s="125" t="s">
        <v>219</v>
      </c>
      <c r="P23" s="772">
        <f>L156</f>
        <v>1400000000</v>
      </c>
      <c r="Q23" s="248">
        <f t="shared" si="0"/>
        <v>1.5795717149252153E-2</v>
      </c>
      <c r="X23" s="68"/>
      <c r="Y23" s="182"/>
      <c r="Z23" s="1353" t="s">
        <v>964</v>
      </c>
      <c r="AB23" s="137" t="s">
        <v>220</v>
      </c>
      <c r="AC23" s="802">
        <v>0</v>
      </c>
      <c r="AD23" s="90"/>
      <c r="AE23" s="90"/>
      <c r="AF23" s="90"/>
      <c r="AH23" s="68"/>
      <c r="AJ23" s="812" t="s">
        <v>224</v>
      </c>
      <c r="AK23" s="119" t="s">
        <v>7</v>
      </c>
      <c r="AL23" s="119">
        <f>SUM(AK24)</f>
        <v>0</v>
      </c>
      <c r="AN23" s="68"/>
      <c r="AP23" s="64"/>
      <c r="AQ23" s="64"/>
      <c r="AR23" s="64"/>
      <c r="AS23" s="64"/>
      <c r="AT23" s="64"/>
      <c r="AV23" s="68"/>
      <c r="BC23" s="124"/>
      <c r="BD23" s="124"/>
      <c r="BE23" s="64"/>
      <c r="BF23" s="124"/>
      <c r="BG23" s="124"/>
      <c r="BH23" s="124"/>
      <c r="BI23" s="124"/>
      <c r="BJ23" s="124"/>
      <c r="BK23" s="64"/>
      <c r="BL23" s="124"/>
      <c r="BM23" s="134"/>
      <c r="BN23" s="64"/>
      <c r="BO23" s="64"/>
      <c r="CC23" s="1145"/>
      <c r="CD23" s="404" t="s">
        <v>562</v>
      </c>
      <c r="CE23" s="405"/>
      <c r="CF23" s="195">
        <f>IF(CF11=CC54,CD54,IF(CF11=CC55,CD55,IF(CF11=CC56,CD56,0)))</f>
        <v>2200000000</v>
      </c>
      <c r="CG23" s="149">
        <f>IF(CG11=CC54,CF54,IF(CG11=CC55,CF55,IF(CG11=CC56,CF56,0)))*CG20</f>
        <v>0</v>
      </c>
      <c r="CH23" s="196">
        <f>IF(CH11=CC54,CH54,IF(CH11=CC55,CH55,IF(CH11=CC56,CH56,0)))*CH20</f>
        <v>0</v>
      </c>
      <c r="CI23" s="75"/>
      <c r="CK23" s="1153"/>
      <c r="CL23" s="1154"/>
      <c r="CM23" s="994"/>
      <c r="CN23" s="994"/>
      <c r="CO23" s="64"/>
      <c r="CP23" s="64"/>
      <c r="CQ23" s="64"/>
    </row>
    <row r="24" spans="2:95" ht="22.5" customHeight="1" thickTop="1" thickBot="1">
      <c r="D24" s="987"/>
      <c r="E24" s="1175" t="s">
        <v>1127</v>
      </c>
      <c r="F24" s="1176">
        <v>0</v>
      </c>
      <c r="G24" s="1164"/>
      <c r="H24" s="1165"/>
      <c r="I24" s="1358"/>
      <c r="J24" s="73" t="s">
        <v>1078</v>
      </c>
      <c r="K24" s="786">
        <v>0</v>
      </c>
      <c r="L24" s="787"/>
      <c r="M24" s="788"/>
      <c r="O24" s="125" t="s">
        <v>355</v>
      </c>
      <c r="P24" s="772">
        <f>L160</f>
        <v>3311250000</v>
      </c>
      <c r="Q24" s="248">
        <f t="shared" si="0"/>
        <v>3.7359691721757994E-2</v>
      </c>
      <c r="X24" s="68"/>
      <c r="Y24" s="182"/>
      <c r="Z24" s="1354"/>
      <c r="AB24" s="126" t="s">
        <v>223</v>
      </c>
      <c r="AC24" s="798">
        <f>AC25+AC26+AC27+AC28</f>
        <v>6030900000</v>
      </c>
      <c r="AD24" s="90"/>
      <c r="AE24" s="90"/>
      <c r="AF24" s="90"/>
      <c r="AH24" s="68"/>
      <c r="AJ24" s="428" t="s">
        <v>225</v>
      </c>
      <c r="AK24" s="133">
        <f>AC32</f>
        <v>0</v>
      </c>
      <c r="AL24" s="127" t="s">
        <v>7</v>
      </c>
      <c r="AN24" s="68"/>
      <c r="AP24" s="64"/>
      <c r="AQ24" s="64"/>
      <c r="AR24" s="64"/>
      <c r="AS24" s="64"/>
      <c r="AT24" s="64"/>
      <c r="AV24" s="68"/>
      <c r="AX24" s="182"/>
      <c r="BC24" s="124"/>
      <c r="BD24" s="124"/>
      <c r="BE24" s="64"/>
      <c r="BF24" s="123" t="s">
        <v>222</v>
      </c>
      <c r="BG24" s="124"/>
      <c r="BH24" s="131"/>
      <c r="BI24" s="123" t="s">
        <v>186</v>
      </c>
      <c r="BJ24" s="124"/>
      <c r="BK24" s="64"/>
      <c r="BL24" s="124"/>
      <c r="BM24" s="134"/>
      <c r="BN24" s="64"/>
      <c r="BO24" s="64"/>
      <c r="CC24" s="1146"/>
      <c r="CD24" s="404" t="s">
        <v>563</v>
      </c>
      <c r="CE24" s="405"/>
      <c r="CF24" s="416">
        <f>IF(CF13=CC54,CE54,IF(CF13=CC55,CE55,IF(CF13=CC56,CE56,0)))</f>
        <v>0</v>
      </c>
      <c r="CG24" s="417">
        <f>IF(CG13=CC54,CG54,IF(CG13=CC55,CG55,IF(CG13=CC56,CG56,0)))*CG20</f>
        <v>0</v>
      </c>
      <c r="CH24" s="418">
        <f>IF(CH13=CC54,CI54,IF(CH13=CC55,CI55,IF(CH13=CC56,CI56,0)))*CH20</f>
        <v>0</v>
      </c>
      <c r="CI24" s="420"/>
      <c r="CK24" s="1153"/>
      <c r="CL24" s="994"/>
      <c r="CM24" s="994"/>
      <c r="CN24" s="994"/>
      <c r="CO24" s="64"/>
      <c r="CP24" s="64"/>
      <c r="CQ24" s="64"/>
    </row>
    <row r="25" spans="2:95" ht="22.5" customHeight="1" thickTop="1" thickBot="1">
      <c r="D25" s="987"/>
      <c r="E25" s="1177" t="s">
        <v>1134</v>
      </c>
      <c r="F25" s="1178">
        <f>F22-F23-F24</f>
        <v>20</v>
      </c>
      <c r="G25" s="1164"/>
      <c r="H25" s="1165"/>
      <c r="I25" s="1358"/>
      <c r="J25" s="73" t="s">
        <v>1079</v>
      </c>
      <c r="K25" s="786">
        <v>0</v>
      </c>
      <c r="L25" s="787">
        <v>0</v>
      </c>
      <c r="M25" s="788">
        <v>0</v>
      </c>
      <c r="O25" s="1199" t="s">
        <v>356</v>
      </c>
      <c r="P25" s="1200">
        <f>L167</f>
        <v>1251400000</v>
      </c>
      <c r="Q25" s="248">
        <f t="shared" si="0"/>
        <v>1.4119114600410102E-2</v>
      </c>
      <c r="X25" s="68"/>
      <c r="Y25" s="182"/>
      <c r="AB25" s="137" t="s">
        <v>363</v>
      </c>
      <c r="AC25" s="797">
        <f>K44</f>
        <v>5000000000</v>
      </c>
      <c r="AD25" s="90"/>
      <c r="AE25" s="181"/>
      <c r="AF25" s="90"/>
      <c r="AH25" s="68"/>
      <c r="AJ25" s="267" t="s">
        <v>227</v>
      </c>
      <c r="AK25" s="119" t="s">
        <v>7</v>
      </c>
      <c r="AL25" s="119">
        <f>SUM(AL21,AL23)</f>
        <v>0</v>
      </c>
      <c r="AN25" s="68"/>
      <c r="AP25" s="64"/>
      <c r="AQ25" s="64"/>
      <c r="AR25" s="64"/>
      <c r="AS25" s="64"/>
      <c r="AT25" s="64"/>
      <c r="AV25" s="68"/>
      <c r="AX25" s="182"/>
      <c r="BC25" s="124"/>
      <c r="BD25" s="124"/>
      <c r="BE25" s="64"/>
      <c r="BF25" s="129">
        <f>AL25</f>
        <v>0</v>
      </c>
      <c r="BG25" s="130"/>
      <c r="BH25" s="124"/>
      <c r="BI25" s="129">
        <f>BF25+BF28</f>
        <v>74235100107.015991</v>
      </c>
      <c r="BJ25" s="130"/>
      <c r="BK25" s="64"/>
      <c r="BL25" s="124"/>
      <c r="BM25" s="134"/>
      <c r="BN25" s="64"/>
      <c r="BO25" s="64"/>
      <c r="CI25" s="1151"/>
      <c r="CK25" s="64"/>
      <c r="CL25" s="64"/>
      <c r="CM25" s="64"/>
      <c r="CN25" s="64"/>
      <c r="CO25" s="64"/>
      <c r="CP25" s="64"/>
      <c r="CQ25" s="64"/>
    </row>
    <row r="26" spans="2:95" ht="22.5" customHeight="1" thickTop="1" thickBot="1">
      <c r="D26" s="988" t="s">
        <v>1007</v>
      </c>
      <c r="E26" s="990" t="s">
        <v>1033</v>
      </c>
      <c r="F26" s="998">
        <v>275</v>
      </c>
      <c r="G26" s="999">
        <v>142</v>
      </c>
      <c r="H26" s="1014">
        <v>145</v>
      </c>
      <c r="I26" s="1359"/>
      <c r="J26" s="1089" t="s">
        <v>1080</v>
      </c>
      <c r="K26" s="1090"/>
      <c r="L26" s="1091">
        <v>0</v>
      </c>
      <c r="M26" s="1092">
        <v>0</v>
      </c>
      <c r="O26" s="1199" t="s">
        <v>357</v>
      </c>
      <c r="P26" s="1200">
        <f>L179</f>
        <v>3660500000</v>
      </c>
      <c r="Q26" s="248">
        <f t="shared" si="0"/>
        <v>4.1300159017741075E-2</v>
      </c>
      <c r="X26" s="68"/>
      <c r="Y26" s="182"/>
      <c r="AB26" s="137" t="s">
        <v>380</v>
      </c>
      <c r="AC26" s="799">
        <f>IF(R245&gt;0,R246,0)</f>
        <v>1030900000</v>
      </c>
      <c r="AD26" s="90"/>
      <c r="AE26" s="181"/>
      <c r="AF26" s="90"/>
      <c r="AH26" s="68"/>
      <c r="AJ26" s="430" t="s">
        <v>1113</v>
      </c>
      <c r="AK26" s="183"/>
      <c r="AL26" s="1058">
        <v>25000000000</v>
      </c>
      <c r="AN26" s="68"/>
      <c r="AP26" s="64"/>
      <c r="AQ26" s="64"/>
      <c r="AR26" s="64"/>
      <c r="AS26" s="64"/>
      <c r="AT26" s="64"/>
      <c r="AV26" s="68"/>
      <c r="AX26" s="182"/>
      <c r="AY26" s="182"/>
      <c r="BC26" s="124"/>
      <c r="BD26" s="124"/>
      <c r="BE26" s="64"/>
      <c r="BF26" s="153" t="s">
        <v>200</v>
      </c>
      <c r="BG26" s="138"/>
      <c r="BH26" s="124"/>
      <c r="BI26" s="124" t="s">
        <v>138</v>
      </c>
      <c r="BJ26" s="138"/>
      <c r="BK26" s="140"/>
      <c r="BL26" s="141" t="s">
        <v>226</v>
      </c>
      <c r="BM26" s="158"/>
      <c r="BN26" s="64"/>
      <c r="BO26" s="64"/>
      <c r="CC26" s="419" t="s">
        <v>564</v>
      </c>
      <c r="CD26" s="420"/>
      <c r="CE26" s="420"/>
      <c r="CF26" s="420"/>
      <c r="CG26" s="420"/>
      <c r="CH26" s="420"/>
      <c r="CI26" s="420"/>
      <c r="CK26" s="64"/>
      <c r="CL26" s="64"/>
      <c r="CM26" s="64"/>
      <c r="CN26" s="64"/>
      <c r="CO26" s="64"/>
      <c r="CP26" s="64"/>
      <c r="CQ26" s="64"/>
    </row>
    <row r="27" spans="2:95" ht="22.5" customHeight="1" thickTop="1" thickBot="1">
      <c r="D27" s="987"/>
      <c r="E27" s="983" t="s">
        <v>1034</v>
      </c>
      <c r="F27" s="1000">
        <v>-25</v>
      </c>
      <c r="G27" s="1001">
        <v>-12</v>
      </c>
      <c r="H27" s="1015">
        <v>-15</v>
      </c>
      <c r="I27" s="1357" t="s">
        <v>1074</v>
      </c>
      <c r="J27" s="1166" t="s">
        <v>1075</v>
      </c>
      <c r="K27" s="1170">
        <v>2800000000</v>
      </c>
      <c r="L27" s="1097"/>
      <c r="M27" s="1098"/>
      <c r="O27" s="125" t="s">
        <v>358</v>
      </c>
      <c r="P27" s="772">
        <f>L189</f>
        <v>1000000000</v>
      </c>
      <c r="Q27" s="248">
        <f t="shared" si="0"/>
        <v>1.1282655106608679E-2</v>
      </c>
      <c r="X27" s="68"/>
      <c r="Y27" s="182"/>
      <c r="AB27" s="137" t="s">
        <v>228</v>
      </c>
      <c r="AC27" s="800">
        <f>IF(K25&gt;=1,K25*Q190*#REF!/Q193)+IF(L25&gt;=1,L25*R190*G38*#REF!/Q193)+IF(M25&gt;=1,M25*S190*H38*#REF!/Q193)</f>
        <v>0</v>
      </c>
      <c r="AD27" s="90"/>
      <c r="AE27" s="181"/>
      <c r="AF27" s="90"/>
      <c r="AH27" s="68"/>
      <c r="AJ27" s="430" t="s">
        <v>230</v>
      </c>
      <c r="AK27" s="168"/>
      <c r="AL27" s="184">
        <f>SUM(AK28:AK28)</f>
        <v>0</v>
      </c>
      <c r="AN27" s="68"/>
      <c r="AP27" s="64"/>
      <c r="AQ27" s="64"/>
      <c r="AR27" s="64"/>
      <c r="AS27" s="64"/>
      <c r="AT27" s="64"/>
      <c r="AV27" s="68"/>
      <c r="AX27" s="182"/>
      <c r="AY27" s="182"/>
      <c r="AZ27" s="95"/>
      <c r="BA27" s="95"/>
      <c r="BC27" s="124"/>
      <c r="BD27" s="124"/>
      <c r="BE27" s="64"/>
      <c r="BF27" s="123" t="s">
        <v>127</v>
      </c>
      <c r="BG27" s="131"/>
      <c r="BH27" s="124"/>
      <c r="BI27" s="123" t="s">
        <v>127</v>
      </c>
      <c r="BJ27" s="131"/>
      <c r="BK27" s="64"/>
      <c r="BL27" s="147">
        <f>BI25/BI28</f>
        <v>1</v>
      </c>
      <c r="BM27" s="64"/>
      <c r="BN27" s="64"/>
      <c r="BO27" s="64"/>
      <c r="CC27" s="421"/>
      <c r="CD27" s="422" t="s">
        <v>534</v>
      </c>
      <c r="CE27" s="422"/>
      <c r="CF27" s="422" t="s">
        <v>1163</v>
      </c>
      <c r="CG27" s="422"/>
      <c r="CH27" s="422" t="s">
        <v>1214</v>
      </c>
      <c r="CI27" s="422"/>
      <c r="CK27" s="64"/>
      <c r="CL27" s="64"/>
      <c r="CM27" s="64"/>
      <c r="CN27" s="64"/>
      <c r="CO27" s="64"/>
      <c r="CP27" s="64"/>
      <c r="CQ27" s="64"/>
    </row>
    <row r="28" spans="2:95" ht="22.5" customHeight="1" thickTop="1" thickBot="1">
      <c r="D28" s="987"/>
      <c r="E28" s="983" t="s">
        <v>1135</v>
      </c>
      <c r="F28" s="1004">
        <f>ABS(F27+(IF(K32&lt;0,K32)))</f>
        <v>25</v>
      </c>
      <c r="G28" s="1005">
        <f>ABS(G27+(IF(L32&lt;0,L32)))</f>
        <v>12</v>
      </c>
      <c r="H28" s="1016">
        <f>ABS(H27+(IF(M32&lt;0,M32)))</f>
        <v>15</v>
      </c>
      <c r="I28" s="1358"/>
      <c r="J28" s="1166" t="s">
        <v>1108</v>
      </c>
      <c r="K28" s="1170">
        <v>1200000000</v>
      </c>
      <c r="L28" s="1097"/>
      <c r="M28" s="1098"/>
      <c r="N28" s="1099"/>
      <c r="O28" s="1199" t="s">
        <v>1106</v>
      </c>
      <c r="P28" s="1200">
        <f>L190</f>
        <v>1930631655</v>
      </c>
      <c r="Q28" s="248">
        <f t="shared" si="0"/>
        <v>2.1782651101266117E-2</v>
      </c>
      <c r="AB28" s="137" t="s">
        <v>229</v>
      </c>
      <c r="AC28" s="799">
        <f>IF(L34=1,R195*G29*G28/Q197)+IF(M34=1,S195*H29*H28/Q197)</f>
        <v>0</v>
      </c>
      <c r="AD28" s="90"/>
      <c r="AE28" s="90"/>
      <c r="AF28" s="90"/>
      <c r="AJ28" s="811" t="s">
        <v>393</v>
      </c>
      <c r="AK28" s="1058">
        <v>0</v>
      </c>
      <c r="AL28" s="151" t="s">
        <v>7</v>
      </c>
      <c r="AP28" s="64"/>
      <c r="AQ28" s="64"/>
      <c r="AR28" s="64"/>
      <c r="AS28" s="64"/>
      <c r="AT28" s="64"/>
      <c r="AX28" s="182"/>
      <c r="AY28" s="182"/>
      <c r="AZ28" s="95"/>
      <c r="BA28" s="95"/>
      <c r="BF28" s="129">
        <f>BA13</f>
        <v>74235100107.015991</v>
      </c>
      <c r="BG28" s="124"/>
      <c r="BH28" s="124"/>
      <c r="BI28" s="129">
        <f>BF28</f>
        <v>74235100107.015991</v>
      </c>
      <c r="CC28" s="423" t="s">
        <v>565</v>
      </c>
      <c r="CD28" s="424"/>
      <c r="CE28" s="424"/>
      <c r="CF28" s="425">
        <f>CG14</f>
        <v>1</v>
      </c>
      <c r="CG28" s="425"/>
      <c r="CH28" s="425">
        <f>CH14</f>
        <v>1</v>
      </c>
      <c r="CI28" s="425"/>
      <c r="CJ28" s="64"/>
      <c r="CK28" s="64"/>
      <c r="CL28" s="64"/>
      <c r="CM28" s="64"/>
      <c r="CN28" s="64"/>
      <c r="CO28" s="64"/>
      <c r="CP28" s="64"/>
      <c r="CQ28" s="64"/>
    </row>
    <row r="29" spans="2:95" ht="22.5" customHeight="1" thickBot="1">
      <c r="D29" s="987"/>
      <c r="E29" s="983" t="s">
        <v>478</v>
      </c>
      <c r="F29" s="1002">
        <f>F26+F27-F28</f>
        <v>225</v>
      </c>
      <c r="G29" s="1003">
        <f>G26+G27-G28</f>
        <v>118</v>
      </c>
      <c r="H29" s="1017">
        <f>H26+H27-H28</f>
        <v>115</v>
      </c>
      <c r="I29" s="1358"/>
      <c r="J29" s="1167" t="s">
        <v>1076</v>
      </c>
      <c r="K29" s="1171">
        <v>5</v>
      </c>
      <c r="L29" s="895"/>
      <c r="M29" s="896"/>
      <c r="O29" s="115" t="s">
        <v>425</v>
      </c>
      <c r="P29" s="185">
        <f>P14-P15</f>
        <v>4969493866</v>
      </c>
      <c r="Q29" s="248">
        <f t="shared" si="0"/>
        <v>5.606908534448541E-2</v>
      </c>
      <c r="AB29" s="126" t="s">
        <v>233</v>
      </c>
      <c r="AC29" s="752">
        <f>AC30-AC35</f>
        <v>-121122092.78399999</v>
      </c>
      <c r="AD29" s="90"/>
      <c r="AE29" s="90"/>
      <c r="AF29" s="90"/>
      <c r="AJ29" s="428" t="s">
        <v>1114</v>
      </c>
      <c r="AK29" s="155">
        <f>AK30*AK31</f>
        <v>0</v>
      </c>
      <c r="AL29" s="127" t="s">
        <v>7</v>
      </c>
      <c r="AP29" s="64"/>
      <c r="AQ29" s="64"/>
      <c r="AR29" s="64"/>
      <c r="AS29" s="64"/>
      <c r="AT29" s="64"/>
      <c r="AX29" s="182"/>
      <c r="AY29" s="182"/>
      <c r="AZ29" s="95"/>
      <c r="BA29" s="95"/>
      <c r="CC29" s="423" t="s">
        <v>566</v>
      </c>
      <c r="CD29" s="426" t="s">
        <v>567</v>
      </c>
      <c r="CE29" s="426" t="s">
        <v>568</v>
      </c>
      <c r="CF29" s="426" t="s">
        <v>567</v>
      </c>
      <c r="CG29" s="426" t="s">
        <v>568</v>
      </c>
      <c r="CH29" s="426" t="s">
        <v>567</v>
      </c>
      <c r="CI29" s="426" t="s">
        <v>568</v>
      </c>
      <c r="CJ29" s="64"/>
      <c r="CK29" s="64"/>
      <c r="CL29" s="64"/>
      <c r="CM29" s="64"/>
      <c r="CN29" s="64"/>
      <c r="CO29" s="64"/>
      <c r="CP29" s="64"/>
      <c r="CQ29" s="64"/>
    </row>
    <row r="30" spans="2:95" ht="22.5" customHeight="1" thickBot="1">
      <c r="D30" s="987"/>
      <c r="E30" s="1120" t="s">
        <v>939</v>
      </c>
      <c r="F30" s="1119">
        <f>K32</f>
        <v>35</v>
      </c>
      <c r="G30" s="997">
        <f>L32</f>
        <v>17</v>
      </c>
      <c r="H30" s="1011">
        <f>M32</f>
        <v>22</v>
      </c>
      <c r="I30" s="1358"/>
      <c r="J30" s="1168" t="s">
        <v>1077</v>
      </c>
      <c r="K30" s="1171">
        <v>3</v>
      </c>
      <c r="L30" s="895"/>
      <c r="M30" s="896"/>
      <c r="O30" s="115" t="s">
        <v>1111</v>
      </c>
      <c r="P30" s="775">
        <f>L205</f>
        <v>86250000</v>
      </c>
      <c r="Q30" s="248">
        <f t="shared" si="0"/>
        <v>9.7312900294499861E-4</v>
      </c>
      <c r="AB30" s="126" t="s">
        <v>1109</v>
      </c>
      <c r="AC30" s="799">
        <f>SUM(AC31:AC33)</f>
        <v>0</v>
      </c>
      <c r="AD30" s="90"/>
      <c r="AE30" s="90"/>
      <c r="AF30" s="90"/>
      <c r="AJ30" s="811" t="s">
        <v>392</v>
      </c>
      <c r="AK30" s="1058">
        <v>774</v>
      </c>
      <c r="AL30" s="151" t="s">
        <v>7</v>
      </c>
      <c r="AP30" s="64"/>
      <c r="AQ30" s="64"/>
      <c r="AR30" s="64"/>
      <c r="AS30" s="64"/>
      <c r="AT30" s="64"/>
      <c r="AZ30" s="95"/>
      <c r="BA30" s="95"/>
      <c r="CC30" s="423"/>
      <c r="CD30" s="414">
        <f>CF10</f>
        <v>1</v>
      </c>
      <c r="CE30" s="414">
        <f>CF12</f>
        <v>0</v>
      </c>
      <c r="CF30" s="414">
        <f>CG10</f>
        <v>0</v>
      </c>
      <c r="CG30" s="414">
        <f>CG12</f>
        <v>0</v>
      </c>
      <c r="CH30" s="414">
        <f>CH10</f>
        <v>0</v>
      </c>
      <c r="CI30" s="414">
        <f>CH12</f>
        <v>0</v>
      </c>
      <c r="CJ30" s="64"/>
      <c r="CK30" s="64"/>
      <c r="CL30" s="64"/>
      <c r="CM30" s="64"/>
      <c r="CN30" s="64"/>
      <c r="CO30" s="64"/>
      <c r="CP30" s="64"/>
      <c r="CQ30" s="64"/>
    </row>
    <row r="31" spans="2:95" ht="22.5" customHeight="1" thickTop="1" thickBot="1">
      <c r="D31" s="987"/>
      <c r="E31" s="1179" t="s">
        <v>1128</v>
      </c>
      <c r="F31" s="1180">
        <v>17</v>
      </c>
      <c r="G31" s="1164"/>
      <c r="H31" s="1165"/>
      <c r="I31" s="1359"/>
      <c r="J31" s="1169" t="s">
        <v>1054</v>
      </c>
      <c r="K31" s="1172">
        <v>9000000</v>
      </c>
      <c r="L31" s="899"/>
      <c r="M31" s="900"/>
      <c r="O31" s="125" t="s">
        <v>1112</v>
      </c>
      <c r="P31" s="776">
        <f>K206</f>
        <v>86250000</v>
      </c>
      <c r="Q31" s="248">
        <f t="shared" si="0"/>
        <v>9.7312900294499861E-4</v>
      </c>
      <c r="AB31" s="137" t="s">
        <v>1110</v>
      </c>
      <c r="AC31" s="800">
        <f>K41</f>
        <v>0</v>
      </c>
      <c r="AD31" s="90"/>
      <c r="AE31" s="90"/>
      <c r="AF31" s="90"/>
      <c r="AJ31" s="430" t="s">
        <v>237</v>
      </c>
      <c r="AK31" s="186"/>
      <c r="AL31" s="127">
        <f>SUM(AK32:AK33)</f>
        <v>49235100107.015999</v>
      </c>
      <c r="AR31" s="187"/>
      <c r="AZ31" s="95"/>
      <c r="BA31" s="95"/>
      <c r="CC31" s="423" t="s">
        <v>569</v>
      </c>
      <c r="CD31" s="414">
        <f>CF11</f>
        <v>48</v>
      </c>
      <c r="CE31" s="414">
        <f>CF13</f>
        <v>0</v>
      </c>
      <c r="CF31" s="414">
        <f>CG11</f>
        <v>0</v>
      </c>
      <c r="CG31" s="414">
        <f>CG13</f>
        <v>0</v>
      </c>
      <c r="CH31" s="414">
        <f>CH11</f>
        <v>0</v>
      </c>
      <c r="CI31" s="414">
        <f>CH13</f>
        <v>0</v>
      </c>
      <c r="CJ31" s="64"/>
      <c r="CK31" s="64"/>
      <c r="CL31" s="64"/>
      <c r="CM31" s="64"/>
      <c r="CN31" s="64"/>
      <c r="CO31" s="64"/>
      <c r="CP31" s="64"/>
      <c r="CQ31" s="64"/>
    </row>
    <row r="32" spans="2:95" ht="22.5" customHeight="1" thickTop="1" thickBot="1">
      <c r="D32" s="987"/>
      <c r="E32" s="1179" t="s">
        <v>1107</v>
      </c>
      <c r="F32" s="1180">
        <v>2</v>
      </c>
      <c r="G32" s="1164"/>
      <c r="H32" s="1165"/>
      <c r="I32" s="1394" t="s">
        <v>1011</v>
      </c>
      <c r="J32" s="889" t="s">
        <v>1009</v>
      </c>
      <c r="K32" s="790">
        <v>35</v>
      </c>
      <c r="L32" s="791">
        <v>17</v>
      </c>
      <c r="M32" s="792">
        <v>22</v>
      </c>
      <c r="O32" s="125" t="s">
        <v>234</v>
      </c>
      <c r="P32" s="772">
        <f>IF(R250&gt;0,R250,0)</f>
        <v>0</v>
      </c>
      <c r="Q32" s="248">
        <f t="shared" ref="Q32:Q41" si="9">P32/$P$6</f>
        <v>0</v>
      </c>
      <c r="R32" s="807"/>
      <c r="S32" s="807"/>
      <c r="T32" s="807"/>
      <c r="U32" s="807"/>
      <c r="V32" s="807"/>
      <c r="AB32" s="137" t="s">
        <v>236</v>
      </c>
      <c r="AC32" s="797">
        <f>K42</f>
        <v>0</v>
      </c>
      <c r="AD32" s="90"/>
      <c r="AE32" s="90"/>
      <c r="AF32" s="90"/>
      <c r="AJ32" s="811" t="s">
        <v>390</v>
      </c>
      <c r="AK32" s="1058">
        <v>45318819107</v>
      </c>
      <c r="AL32" s="151" t="s">
        <v>7</v>
      </c>
      <c r="AR32" s="187"/>
      <c r="AZ32" s="95"/>
      <c r="BA32" s="95"/>
      <c r="CC32" s="423" t="s">
        <v>570</v>
      </c>
      <c r="CD32" s="427">
        <f t="shared" ref="CD32:CH32" si="10">SUM(CD33:CD35)</f>
        <v>2500000000</v>
      </c>
      <c r="CE32" s="427">
        <f t="shared" si="10"/>
        <v>0</v>
      </c>
      <c r="CF32" s="427">
        <f t="shared" si="10"/>
        <v>11000000000</v>
      </c>
      <c r="CG32" s="427">
        <f t="shared" si="10"/>
        <v>0</v>
      </c>
      <c r="CH32" s="427">
        <f t="shared" si="10"/>
        <v>5250000000</v>
      </c>
      <c r="CI32" s="427">
        <f>CH13</f>
        <v>0</v>
      </c>
    </row>
    <row r="33" spans="2:96" ht="22.5" customHeight="1" thickTop="1" thickBot="1">
      <c r="D33" s="987"/>
      <c r="E33" s="1175" t="s">
        <v>1129</v>
      </c>
      <c r="F33" s="1181">
        <v>0</v>
      </c>
      <c r="G33" s="1164"/>
      <c r="H33" s="1165"/>
      <c r="I33" s="1395"/>
      <c r="J33" s="1168" t="s">
        <v>1149</v>
      </c>
      <c r="K33" s="1100">
        <v>5</v>
      </c>
      <c r="L33" s="1101">
        <v>0</v>
      </c>
      <c r="M33" s="1102">
        <v>0</v>
      </c>
      <c r="O33" s="115" t="s">
        <v>426</v>
      </c>
      <c r="P33" s="778">
        <f>L208</f>
        <v>33990000</v>
      </c>
      <c r="Q33" s="248">
        <f t="shared" si="9"/>
        <v>3.8349744707362904E-4</v>
      </c>
      <c r="R33" s="807" t="s">
        <v>941</v>
      </c>
      <c r="S33" s="807"/>
      <c r="T33" s="807"/>
      <c r="U33" s="807"/>
      <c r="V33" s="807"/>
      <c r="AB33" s="137" t="s">
        <v>240</v>
      </c>
      <c r="AC33" s="797">
        <f>K43*AC34</f>
        <v>0</v>
      </c>
      <c r="AD33" s="90"/>
      <c r="AE33" s="90"/>
      <c r="AF33" s="90"/>
      <c r="AJ33" s="428" t="s">
        <v>391</v>
      </c>
      <c r="AK33" s="155">
        <f>AK34-AK35</f>
        <v>3916281000.0160003</v>
      </c>
      <c r="AL33" s="127" t="s">
        <v>7</v>
      </c>
      <c r="AR33" s="187"/>
      <c r="AZ33" s="95"/>
      <c r="BA33" s="95"/>
      <c r="CC33" s="428" t="s">
        <v>1123</v>
      </c>
      <c r="CD33" s="1160"/>
      <c r="CE33" s="1160"/>
      <c r="CF33" s="429">
        <f>IF(CF28=1,CF72*CG20)</f>
        <v>11000000000</v>
      </c>
      <c r="CG33" s="1160"/>
      <c r="CH33" s="429">
        <f>IF(CH28=1,CG72*CH20)</f>
        <v>5250000000</v>
      </c>
      <c r="CI33" s="1160"/>
    </row>
    <row r="34" spans="2:96" ht="22.5" customHeight="1" thickTop="1" thickBot="1">
      <c r="D34" s="987"/>
      <c r="E34" s="1177" t="s">
        <v>1130</v>
      </c>
      <c r="F34" s="1181">
        <v>15</v>
      </c>
      <c r="G34" s="1164"/>
      <c r="H34" s="1165"/>
      <c r="I34" s="1395"/>
      <c r="J34" s="302" t="s">
        <v>1037</v>
      </c>
      <c r="K34" s="1171">
        <v>8000000</v>
      </c>
      <c r="L34" s="1196">
        <v>10000</v>
      </c>
      <c r="M34" s="1197">
        <v>30000</v>
      </c>
      <c r="O34" s="125" t="s">
        <v>239</v>
      </c>
      <c r="P34" s="776">
        <f>K41*F40*0.25+K42*F41*0.25</f>
        <v>0</v>
      </c>
      <c r="Q34" s="248">
        <f t="shared" si="9"/>
        <v>0</v>
      </c>
      <c r="R34" s="807"/>
      <c r="S34" s="807"/>
      <c r="T34" s="807"/>
      <c r="U34" s="807"/>
      <c r="V34" s="807"/>
      <c r="AB34" s="188" t="s">
        <v>243</v>
      </c>
      <c r="AC34" s="803">
        <v>5774</v>
      </c>
      <c r="AD34" s="90"/>
      <c r="AE34" s="90"/>
      <c r="AF34" s="90"/>
      <c r="AJ34" s="428" t="s">
        <v>396</v>
      </c>
      <c r="AK34" s="133">
        <f>P41</f>
        <v>4037403092.8000002</v>
      </c>
      <c r="AL34" s="127" t="s">
        <v>7</v>
      </c>
      <c r="AR34" s="187"/>
      <c r="AZ34" s="95"/>
      <c r="BA34" s="95"/>
      <c r="CC34" s="428" t="s">
        <v>1124</v>
      </c>
      <c r="CD34" s="429">
        <f>IF(CD30&gt;=1,CD30*CE70)</f>
        <v>2000000000</v>
      </c>
      <c r="CE34" s="1160"/>
      <c r="CF34" s="429" t="b">
        <f>IF(CF30&gt;=1,CF30*CF70*CG20)</f>
        <v>0</v>
      </c>
      <c r="CG34" s="1160"/>
      <c r="CH34" s="429" t="b">
        <f>IF(CH30&gt;=1,CH30*CG70*CH20)</f>
        <v>0</v>
      </c>
      <c r="CI34" s="1160"/>
    </row>
    <row r="35" spans="2:96" ht="22.5" customHeight="1" thickTop="1" thickBot="1">
      <c r="C35" s="1114"/>
      <c r="D35" s="989"/>
      <c r="E35" s="1182"/>
      <c r="F35" s="1181"/>
      <c r="G35" s="1162"/>
      <c r="H35" s="1163"/>
      <c r="I35" s="1395"/>
      <c r="J35" s="73" t="s">
        <v>1039</v>
      </c>
      <c r="K35" s="1171">
        <v>800000</v>
      </c>
      <c r="L35" s="1196">
        <v>1000</v>
      </c>
      <c r="M35" s="1197">
        <v>3000</v>
      </c>
      <c r="O35" s="125" t="s">
        <v>242</v>
      </c>
      <c r="P35" s="772">
        <f>IF(R250&lt;0,ABS(R250),0)</f>
        <v>33990000</v>
      </c>
      <c r="Q35" s="248">
        <f t="shared" si="9"/>
        <v>3.8349744707362904E-4</v>
      </c>
      <c r="R35" s="807"/>
      <c r="S35" s="807"/>
      <c r="T35" s="807"/>
      <c r="U35" s="807"/>
      <c r="V35" s="807"/>
      <c r="AB35" s="189" t="s">
        <v>245</v>
      </c>
      <c r="AC35" s="805">
        <f>SUM(AC36:AC38)</f>
        <v>121122092.78399999</v>
      </c>
      <c r="AD35" s="90"/>
      <c r="AE35" s="90"/>
      <c r="AF35" s="90"/>
      <c r="AJ35" s="428" t="s">
        <v>248</v>
      </c>
      <c r="AK35" s="133">
        <f>IF(AK34&gt;0,AK34*K46,0)</f>
        <v>121122092.78399999</v>
      </c>
      <c r="AL35" s="127" t="s">
        <v>7</v>
      </c>
      <c r="AZ35" s="95"/>
      <c r="BA35" s="95"/>
      <c r="CC35" s="428" t="s">
        <v>571</v>
      </c>
      <c r="CD35" s="429">
        <f>IF(CD30&gt;=1,CD30*CE68)</f>
        <v>500000000</v>
      </c>
      <c r="CE35" s="429" t="b">
        <f>IF(CE30&gt;=1,CE30*CE68)</f>
        <v>0</v>
      </c>
      <c r="CF35" s="429" t="b">
        <f>IF(CF30&gt;=1,CF30*CF68*CG20)</f>
        <v>0</v>
      </c>
      <c r="CG35" s="429" t="b">
        <f>IF(CG30&gt;=1,CG30*CF68*CG20)</f>
        <v>0</v>
      </c>
      <c r="CH35" s="429" t="b">
        <f>IF(CH30&gt;=1,CH30*CG68*CH20)</f>
        <v>0</v>
      </c>
      <c r="CI35" s="429" t="b">
        <f>IF(CI30&gt;=1,CI30*CG68*CH20)</f>
        <v>0</v>
      </c>
    </row>
    <row r="36" spans="2:96" ht="22.5" customHeight="1" thickTop="1" thickBot="1">
      <c r="C36" s="1114"/>
      <c r="D36" s="1130" t="s">
        <v>1092</v>
      </c>
      <c r="E36" s="1131" t="s">
        <v>1093</v>
      </c>
      <c r="F36" s="1132">
        <v>1000000</v>
      </c>
      <c r="G36" s="1133"/>
      <c r="H36" s="1134"/>
      <c r="I36" s="1395"/>
      <c r="J36" s="302" t="s">
        <v>1041</v>
      </c>
      <c r="K36" s="781">
        <v>1800000000</v>
      </c>
      <c r="L36" s="793"/>
      <c r="M36" s="794"/>
      <c r="O36" s="125" t="s">
        <v>353</v>
      </c>
      <c r="P36" s="777">
        <v>0</v>
      </c>
      <c r="Q36" s="248">
        <f t="shared" si="9"/>
        <v>0</v>
      </c>
      <c r="R36" s="807"/>
      <c r="S36" s="807"/>
      <c r="T36" s="807"/>
      <c r="U36" s="807"/>
      <c r="V36" s="807"/>
      <c r="AB36" s="137" t="s">
        <v>382</v>
      </c>
      <c r="AC36" s="885">
        <v>0</v>
      </c>
      <c r="AD36" s="90"/>
      <c r="AE36" s="90"/>
      <c r="AF36" s="90"/>
      <c r="AJ36" s="430" t="s">
        <v>252</v>
      </c>
      <c r="AK36" s="183"/>
      <c r="AL36" s="127">
        <v>0</v>
      </c>
      <c r="AZ36" s="95"/>
      <c r="BA36" s="95"/>
      <c r="CC36" s="430" t="s">
        <v>572</v>
      </c>
      <c r="CD36" s="427">
        <f>IF(CD31=CC49,CD49*CD30,IF(CD31=CC50,CD50*CD30,IF(CD31=CC51,CD51*CD30)))</f>
        <v>21600</v>
      </c>
      <c r="CE36" s="427" t="b">
        <f>IF(CE31=CC49,CE49*CE30,IF(CE31=CC50,CE50*CE30,IF(CE31=CC51,CE51*CE30)))</f>
        <v>0</v>
      </c>
      <c r="CF36" s="427" t="b">
        <f>IF(CF31=CC49,CF49*CF30,IF(CF31=CC50,CF50*CF30,IF(CF31=CC51,CF51*CF30)))</f>
        <v>0</v>
      </c>
      <c r="CG36" s="427" t="b">
        <f>IF(CG31=CC49,CG49*CG30,IF(CG31=CC50,CG50*CG30,IF(CG31=CC51,CG51*CG30)))</f>
        <v>0</v>
      </c>
      <c r="CH36" s="427" t="b">
        <f>IF(CH31=CC49,CH49*CH30,IF(CH31=CC50,CH50*CH30,IF(CH31=CC51,CH51*CH30)))</f>
        <v>0</v>
      </c>
      <c r="CI36" s="431" t="b">
        <f>IF(CI31=CC49,CI49*CI30,IF(CI31=CC50,CI50*CI30,IF(CI31=CC51,CI51*CI30)))</f>
        <v>0</v>
      </c>
    </row>
    <row r="37" spans="2:96" ht="22.5" customHeight="1" thickTop="1" thickBot="1">
      <c r="C37" s="1114"/>
      <c r="D37" s="1113" t="s">
        <v>1091</v>
      </c>
      <c r="E37" s="1126" t="s">
        <v>1085</v>
      </c>
      <c r="F37" s="1125">
        <v>1</v>
      </c>
      <c r="G37" s="1123">
        <v>1</v>
      </c>
      <c r="H37" s="1124">
        <v>1</v>
      </c>
      <c r="I37" s="1395"/>
      <c r="J37" s="302" t="s">
        <v>1043</v>
      </c>
      <c r="K37" s="781">
        <v>200000000</v>
      </c>
      <c r="L37" s="795"/>
      <c r="M37" s="796"/>
      <c r="O37" s="115" t="s">
        <v>429</v>
      </c>
      <c r="P37" s="779">
        <f>L212</f>
        <v>5021753866</v>
      </c>
      <c r="Q37" s="248">
        <f t="shared" si="9"/>
        <v>5.665871690035678E-2</v>
      </c>
      <c r="R37" s="807"/>
      <c r="S37" s="807"/>
      <c r="T37" s="807"/>
      <c r="U37" s="807"/>
      <c r="V37" s="807"/>
      <c r="AB37" s="137" t="s">
        <v>251</v>
      </c>
      <c r="AC37" s="802">
        <v>0</v>
      </c>
      <c r="AD37" s="90"/>
      <c r="AE37" s="90"/>
      <c r="AF37" s="90"/>
      <c r="AJ37" s="267" t="s">
        <v>255</v>
      </c>
      <c r="AK37" s="119" t="s">
        <v>7</v>
      </c>
      <c r="AL37" s="190">
        <f>SUM(AL26,AL27,AL31,AL36)</f>
        <v>74235100107.015991</v>
      </c>
      <c r="AZ37" s="95"/>
      <c r="BA37" s="95"/>
      <c r="CC37" s="432"/>
      <c r="CD37" s="433"/>
      <c r="CE37" s="433"/>
      <c r="CF37" s="433"/>
      <c r="CG37" s="433"/>
      <c r="CH37" s="433"/>
      <c r="CI37" s="434"/>
    </row>
    <row r="38" spans="2:96" s="64" customFormat="1" ht="22.5" customHeight="1">
      <c r="B38" s="90"/>
      <c r="C38" s="1114"/>
      <c r="D38" s="1113"/>
      <c r="E38" s="1127" t="s">
        <v>1000</v>
      </c>
      <c r="F38" s="1115">
        <v>1</v>
      </c>
      <c r="G38" s="1121">
        <v>1100</v>
      </c>
      <c r="H38" s="1122">
        <v>175</v>
      </c>
      <c r="I38" s="1395"/>
      <c r="J38" s="302" t="s">
        <v>1045</v>
      </c>
      <c r="K38" s="781">
        <v>400000000</v>
      </c>
      <c r="L38" s="795">
        <v>200000</v>
      </c>
      <c r="M38" s="796">
        <v>1000000</v>
      </c>
      <c r="N38" s="90"/>
      <c r="O38" s="115" t="s">
        <v>250</v>
      </c>
      <c r="P38" s="775">
        <f>L213</f>
        <v>0</v>
      </c>
      <c r="Q38" s="248">
        <f t="shared" si="9"/>
        <v>0</v>
      </c>
      <c r="R38" s="807"/>
      <c r="S38" s="807"/>
      <c r="T38" s="807"/>
      <c r="U38" s="807"/>
      <c r="V38" s="807"/>
      <c r="X38" s="65"/>
      <c r="AB38" s="137" t="s">
        <v>254</v>
      </c>
      <c r="AC38" s="804">
        <f>IF(P41&gt;=1,P41*K46,0)</f>
        <v>121122092.78399999</v>
      </c>
      <c r="AD38" s="90"/>
      <c r="AE38" s="90"/>
      <c r="AF38" s="90"/>
      <c r="AH38" s="65"/>
      <c r="AJ38" s="267" t="s">
        <v>257</v>
      </c>
      <c r="AK38" s="119" t="s">
        <v>7</v>
      </c>
      <c r="AL38" s="119">
        <f>SUM(AL25,AL37)</f>
        <v>74235100107.015991</v>
      </c>
      <c r="AN38" s="65"/>
      <c r="AP38" s="66"/>
      <c r="AQ38" s="187"/>
      <c r="AR38" s="66"/>
      <c r="AS38" s="66"/>
      <c r="AT38" s="66"/>
      <c r="AV38" s="65"/>
      <c r="AZ38" s="109"/>
      <c r="BA38" s="109"/>
      <c r="BB38" s="97"/>
      <c r="BC38" s="96"/>
      <c r="BD38" s="96"/>
      <c r="BE38" s="97"/>
      <c r="BF38" s="96"/>
      <c r="BG38" s="96"/>
      <c r="BH38" s="96"/>
      <c r="BI38" s="96"/>
      <c r="BJ38" s="96"/>
      <c r="BK38" s="97"/>
      <c r="BL38" s="96"/>
      <c r="BM38" s="97"/>
      <c r="BN38" s="97"/>
      <c r="BO38" s="97"/>
      <c r="BQ38" s="619"/>
      <c r="CB38" s="619"/>
      <c r="CC38" s="432"/>
      <c r="CD38" s="433"/>
      <c r="CE38" s="433"/>
      <c r="CF38" s="433"/>
      <c r="CG38" s="433"/>
      <c r="CH38" s="433"/>
      <c r="CI38" s="434"/>
      <c r="CJ38" s="66"/>
      <c r="CK38" s="66"/>
      <c r="CL38" s="66"/>
      <c r="CM38" s="66"/>
      <c r="CN38" s="66"/>
      <c r="CO38" s="66"/>
      <c r="CP38" s="66"/>
      <c r="CQ38" s="66"/>
    </row>
    <row r="39" spans="2:96" s="64" customFormat="1" ht="22.5" customHeight="1" thickBot="1">
      <c r="B39" s="90"/>
      <c r="C39" s="90"/>
      <c r="D39" s="1041"/>
      <c r="E39" s="1120" t="s">
        <v>978</v>
      </c>
      <c r="F39" s="1116">
        <v>6.9000000000000006E-2</v>
      </c>
      <c r="G39" s="895"/>
      <c r="H39" s="896"/>
      <c r="I39" s="1395"/>
      <c r="J39" s="302" t="s">
        <v>1047</v>
      </c>
      <c r="K39" s="781">
        <v>80000000</v>
      </c>
      <c r="L39" s="795"/>
      <c r="M39" s="796"/>
      <c r="N39" s="90"/>
      <c r="O39" s="115" t="s">
        <v>427</v>
      </c>
      <c r="P39" s="775">
        <f>L214</f>
        <v>5021753866</v>
      </c>
      <c r="Q39" s="248">
        <f t="shared" si="9"/>
        <v>5.665871690035678E-2</v>
      </c>
      <c r="R39" s="806"/>
      <c r="S39" s="806"/>
      <c r="T39" s="806"/>
      <c r="U39" s="806"/>
      <c r="V39" s="807"/>
      <c r="X39" s="65"/>
      <c r="AB39" s="755" t="s">
        <v>384</v>
      </c>
      <c r="AC39" s="751">
        <f>AC6+AC18+AC29</f>
        <v>730330425.01600015</v>
      </c>
      <c r="AD39" s="90"/>
      <c r="AE39" s="90"/>
      <c r="AF39" s="90"/>
      <c r="AH39" s="65"/>
      <c r="AJ39" s="64" t="s">
        <v>260</v>
      </c>
      <c r="AN39" s="65"/>
      <c r="AP39" s="66"/>
      <c r="AQ39" s="66"/>
      <c r="AR39" s="66"/>
      <c r="AS39" s="66"/>
      <c r="AT39" s="66"/>
      <c r="AV39" s="65"/>
      <c r="AZ39" s="109"/>
      <c r="BA39" s="109"/>
      <c r="BB39" s="97"/>
      <c r="BC39" s="96"/>
      <c r="BD39" s="96"/>
      <c r="BE39" s="97"/>
      <c r="BF39" s="96"/>
      <c r="BG39" s="96"/>
      <c r="BH39" s="96"/>
      <c r="BI39" s="96"/>
      <c r="BJ39" s="96"/>
      <c r="BK39" s="97"/>
      <c r="BL39" s="96"/>
      <c r="BM39" s="97"/>
      <c r="BN39" s="97"/>
      <c r="BO39" s="97"/>
      <c r="BQ39" s="619"/>
      <c r="CB39" s="619"/>
      <c r="CC39" s="66"/>
      <c r="CD39" s="66"/>
      <c r="CE39" s="66"/>
      <c r="CF39" s="66"/>
      <c r="CG39" s="66"/>
      <c r="CH39" s="1402" t="s">
        <v>573</v>
      </c>
      <c r="CI39" s="1402"/>
      <c r="CJ39" s="1402"/>
      <c r="CK39" s="1402"/>
      <c r="CL39" s="1402"/>
      <c r="CM39" s="66"/>
      <c r="CN39" s="66"/>
      <c r="CO39" s="66"/>
      <c r="CP39" s="66"/>
      <c r="CQ39" s="66"/>
    </row>
    <row r="40" spans="2:96" s="64" customFormat="1" ht="22.5" customHeight="1" thickBot="1">
      <c r="B40" s="90"/>
      <c r="C40" s="90"/>
      <c r="D40" s="1042"/>
      <c r="E40" s="1128" t="s">
        <v>980</v>
      </c>
      <c r="F40" s="1116">
        <v>7.1900000000000006E-2</v>
      </c>
      <c r="G40" s="897"/>
      <c r="H40" s="898"/>
      <c r="I40" s="1396"/>
      <c r="J40" s="1212" t="s">
        <v>1035</v>
      </c>
      <c r="K40" s="1171">
        <v>100000000</v>
      </c>
      <c r="L40" s="795"/>
      <c r="M40" s="796"/>
      <c r="N40" s="90"/>
      <c r="O40" s="115" t="s">
        <v>428</v>
      </c>
      <c r="P40" s="775">
        <f>L215</f>
        <v>984350773.20000005</v>
      </c>
      <c r="Q40" s="248">
        <f t="shared" si="9"/>
        <v>1.1106090277939183E-2</v>
      </c>
      <c r="V40" s="90"/>
      <c r="X40" s="65"/>
      <c r="AB40" s="116" t="s">
        <v>259</v>
      </c>
      <c r="AC40" s="885">
        <v>14218477611</v>
      </c>
      <c r="AD40" s="90"/>
      <c r="AE40" s="90"/>
      <c r="AF40" s="90"/>
      <c r="AH40" s="65"/>
      <c r="AN40" s="65"/>
      <c r="AP40" s="66"/>
      <c r="AQ40" s="66"/>
      <c r="AR40" s="66"/>
      <c r="AS40" s="66"/>
      <c r="AT40" s="66"/>
      <c r="AV40" s="65"/>
      <c r="AZ40" s="109"/>
      <c r="BA40" s="109"/>
      <c r="BB40" s="97"/>
      <c r="BC40" s="96"/>
      <c r="BD40" s="96"/>
      <c r="BE40" s="97"/>
      <c r="BF40" s="96"/>
      <c r="BG40" s="96"/>
      <c r="BH40" s="96"/>
      <c r="BI40" s="96"/>
      <c r="BJ40" s="96"/>
      <c r="BK40" s="97"/>
      <c r="BL40" s="96"/>
      <c r="BM40" s="97"/>
      <c r="BN40" s="97"/>
      <c r="BO40" s="97"/>
      <c r="BQ40" s="619"/>
      <c r="CB40" s="619"/>
      <c r="CC40" s="808"/>
      <c r="CD40" s="808"/>
      <c r="CE40" s="808"/>
      <c r="CF40" s="809"/>
      <c r="CG40" s="809"/>
      <c r="CH40" s="1402"/>
      <c r="CI40" s="1402"/>
      <c r="CJ40" s="1402"/>
      <c r="CK40" s="1402"/>
      <c r="CL40" s="1402"/>
      <c r="CM40" s="808"/>
      <c r="CN40" s="808"/>
      <c r="CO40" s="808"/>
      <c r="CP40" s="809"/>
      <c r="CQ40" s="809"/>
    </row>
    <row r="41" spans="2:96" s="64" customFormat="1" ht="22.5" customHeight="1" thickTop="1">
      <c r="B41" s="90"/>
      <c r="C41" s="90"/>
      <c r="D41" s="1112"/>
      <c r="E41" s="1128" t="s">
        <v>979</v>
      </c>
      <c r="F41" s="1117">
        <v>7.9399999999999998E-2</v>
      </c>
      <c r="G41" s="1043"/>
      <c r="H41" s="1044"/>
      <c r="I41" s="1397" t="s">
        <v>1010</v>
      </c>
      <c r="J41" s="890" t="s">
        <v>286</v>
      </c>
      <c r="K41" s="783">
        <v>0</v>
      </c>
      <c r="L41" s="893"/>
      <c r="M41" s="894"/>
      <c r="N41" s="90"/>
      <c r="O41" s="115" t="s">
        <v>430</v>
      </c>
      <c r="P41" s="185">
        <f>L216</f>
        <v>4037403092.8000002</v>
      </c>
      <c r="Q41" s="248">
        <f t="shared" si="9"/>
        <v>4.5552626622417602E-2</v>
      </c>
      <c r="V41" s="90"/>
      <c r="X41" s="65"/>
      <c r="AB41" s="116" t="s">
        <v>385</v>
      </c>
      <c r="AC41" s="309">
        <f>IF(AC39+AC40&lt;0,ABS(AC39+AC40),0)</f>
        <v>0</v>
      </c>
      <c r="AD41" s="90"/>
      <c r="AE41" s="90"/>
      <c r="AF41" s="90"/>
      <c r="AH41" s="65"/>
      <c r="AN41" s="65"/>
      <c r="AP41" s="66"/>
      <c r="AQ41" s="66"/>
      <c r="AR41" s="66"/>
      <c r="AS41" s="66"/>
      <c r="AT41" s="66"/>
      <c r="AV41" s="65"/>
      <c r="AZ41" s="109"/>
      <c r="BA41" s="109"/>
      <c r="BB41" s="97"/>
      <c r="BC41" s="96"/>
      <c r="BD41" s="96"/>
      <c r="BE41" s="97"/>
      <c r="BF41" s="96"/>
      <c r="BG41" s="96"/>
      <c r="BH41" s="96"/>
      <c r="BI41" s="96"/>
      <c r="BJ41" s="96"/>
      <c r="BK41" s="97"/>
      <c r="BL41" s="96"/>
      <c r="BM41" s="97"/>
      <c r="BN41" s="97"/>
      <c r="BO41" s="97"/>
      <c r="BQ41" s="619"/>
      <c r="CB41" s="619"/>
      <c r="CC41" s="66"/>
      <c r="CD41" s="66"/>
      <c r="CE41" s="66"/>
      <c r="CF41" s="75"/>
      <c r="CG41" s="75"/>
      <c r="CH41" s="1402"/>
      <c r="CI41" s="1402"/>
      <c r="CJ41" s="1402"/>
      <c r="CK41" s="1402"/>
      <c r="CL41" s="1402"/>
      <c r="CM41" s="66"/>
      <c r="CN41" s="66"/>
      <c r="CO41" s="66"/>
      <c r="CP41" s="75"/>
      <c r="CQ41" s="75"/>
    </row>
    <row r="42" spans="2:96" s="64" customFormat="1" ht="25.5" customHeight="1">
      <c r="B42" s="90"/>
      <c r="C42" s="90"/>
      <c r="D42" s="90"/>
      <c r="E42" s="1129" t="s">
        <v>1001</v>
      </c>
      <c r="F42" s="1118">
        <v>103.09</v>
      </c>
      <c r="G42" s="897"/>
      <c r="H42" s="898"/>
      <c r="I42" s="1398"/>
      <c r="J42" s="302" t="s">
        <v>238</v>
      </c>
      <c r="K42" s="781">
        <v>0</v>
      </c>
      <c r="L42" s="895"/>
      <c r="M42" s="896"/>
      <c r="N42" s="90"/>
      <c r="O42" s="1204">
        <v>36638329500</v>
      </c>
      <c r="P42" s="878">
        <f>P15</f>
        <v>36738340205</v>
      </c>
      <c r="Q42" s="878">
        <f>P42-O42</f>
        <v>100010705</v>
      </c>
      <c r="X42" s="65"/>
      <c r="AB42" s="755" t="s">
        <v>383</v>
      </c>
      <c r="AC42" s="756">
        <f>AC39+AC40+AC41</f>
        <v>14948808036.016001</v>
      </c>
      <c r="AD42" s="90"/>
      <c r="AE42" s="90"/>
      <c r="AF42" s="90"/>
      <c r="AH42" s="65"/>
      <c r="AJ42" s="311"/>
      <c r="AK42" s="90"/>
      <c r="AL42" s="90"/>
      <c r="AN42" s="65"/>
      <c r="AP42" s="66"/>
      <c r="AQ42" s="66"/>
      <c r="AR42" s="66"/>
      <c r="AS42" s="66"/>
      <c r="AT42" s="66"/>
      <c r="AV42" s="65"/>
      <c r="AZ42" s="109"/>
      <c r="BA42" s="109"/>
      <c r="BB42" s="97"/>
      <c r="BC42" s="96"/>
      <c r="BD42" s="96"/>
      <c r="BE42" s="97"/>
      <c r="BF42" s="96"/>
      <c r="BG42" s="96"/>
      <c r="BH42" s="96"/>
      <c r="BI42" s="96"/>
      <c r="BJ42" s="96"/>
      <c r="BK42" s="97"/>
      <c r="BL42" s="96"/>
      <c r="BM42" s="97"/>
      <c r="BN42" s="97"/>
      <c r="BO42" s="97"/>
      <c r="BQ42" s="619"/>
      <c r="CB42" s="619"/>
      <c r="CC42" s="75"/>
      <c r="CD42" s="75"/>
      <c r="CE42" s="75"/>
      <c r="CF42" s="75"/>
      <c r="CG42" s="75"/>
      <c r="CH42" s="75"/>
      <c r="CI42" s="75"/>
      <c r="CJ42" s="75"/>
      <c r="CK42" s="75"/>
      <c r="CL42" s="75"/>
      <c r="CM42" s="75"/>
      <c r="CO42" s="66"/>
      <c r="CP42" s="75"/>
      <c r="CQ42" s="75"/>
    </row>
    <row r="43" spans="2:96" s="64" customFormat="1" ht="22.5" customHeight="1" thickBot="1">
      <c r="B43" s="90"/>
      <c r="C43" s="90"/>
      <c r="D43" s="1143"/>
      <c r="E43" s="1129" t="s">
        <v>1002</v>
      </c>
      <c r="F43" s="1045">
        <v>100</v>
      </c>
      <c r="G43" s="984"/>
      <c r="H43" s="985"/>
      <c r="I43" s="1398"/>
      <c r="J43" s="302" t="s">
        <v>241</v>
      </c>
      <c r="K43" s="781">
        <v>0</v>
      </c>
      <c r="L43" s="895"/>
      <c r="M43" s="896"/>
      <c r="N43" s="90"/>
      <c r="R43" s="1405" t="s">
        <v>1015</v>
      </c>
      <c r="S43" s="1405"/>
      <c r="T43" s="1405"/>
      <c r="U43" s="1405"/>
      <c r="X43" s="65"/>
      <c r="AD43" s="90"/>
      <c r="AH43" s="65"/>
      <c r="AJ43" s="90"/>
      <c r="AK43" s="90"/>
      <c r="AL43" s="90"/>
      <c r="AN43" s="65"/>
      <c r="AP43" s="66"/>
      <c r="AQ43" s="66"/>
      <c r="AR43" s="66"/>
      <c r="AS43" s="66"/>
      <c r="AT43" s="66"/>
      <c r="AV43" s="65"/>
      <c r="AZ43" s="109"/>
      <c r="BA43" s="109"/>
      <c r="BB43" s="97"/>
      <c r="BC43" s="96"/>
      <c r="BD43" s="96"/>
      <c r="BE43" s="97"/>
      <c r="BF43" s="96"/>
      <c r="BG43" s="96"/>
      <c r="BH43" s="96"/>
      <c r="BI43" s="96"/>
      <c r="BJ43" s="96"/>
      <c r="BK43" s="97"/>
      <c r="BL43" s="96"/>
      <c r="BM43" s="97"/>
      <c r="BN43" s="97"/>
      <c r="BO43" s="97"/>
      <c r="BQ43" s="619"/>
      <c r="CB43" s="619"/>
      <c r="CC43" s="75"/>
      <c r="CD43" s="75"/>
      <c r="CE43" s="75"/>
      <c r="CF43" s="75"/>
      <c r="CG43" s="75"/>
      <c r="CH43" s="75"/>
      <c r="CI43" s="75"/>
      <c r="CJ43" s="75"/>
      <c r="CK43" s="75"/>
      <c r="CL43" s="75"/>
      <c r="CM43" s="75"/>
      <c r="CN43" s="75"/>
      <c r="CO43" s="75"/>
      <c r="CP43" s="75"/>
      <c r="CQ43" s="75"/>
    </row>
    <row r="44" spans="2:96" s="64" customFormat="1" ht="22.5" customHeight="1" thickTop="1" thickBot="1">
      <c r="B44" s="90"/>
      <c r="C44" s="90"/>
      <c r="D44" s="90"/>
      <c r="E44" s="90"/>
      <c r="F44" s="90"/>
      <c r="G44" s="90"/>
      <c r="H44" s="1114"/>
      <c r="I44" s="1398"/>
      <c r="J44" s="302" t="s">
        <v>244</v>
      </c>
      <c r="K44" s="781">
        <v>5000000000</v>
      </c>
      <c r="L44" s="895"/>
      <c r="M44" s="896"/>
      <c r="N44" s="90"/>
      <c r="O44" s="1403" t="s">
        <v>910</v>
      </c>
      <c r="P44" s="1403"/>
      <c r="Q44" s="1403"/>
      <c r="R44" s="1405" t="s">
        <v>1016</v>
      </c>
      <c r="S44" s="1405"/>
      <c r="T44" s="1405"/>
      <c r="U44" s="1405"/>
      <c r="V44" s="90"/>
      <c r="X44" s="65"/>
      <c r="AD44" s="90"/>
      <c r="AH44" s="65"/>
      <c r="AN44" s="65"/>
      <c r="AP44" s="66"/>
      <c r="AQ44" s="66"/>
      <c r="AR44" s="66"/>
      <c r="AS44" s="66"/>
      <c r="AT44" s="66"/>
      <c r="AV44" s="65"/>
      <c r="AZ44" s="177"/>
      <c r="BA44" s="177"/>
      <c r="BB44" s="97"/>
      <c r="BC44" s="96"/>
      <c r="BD44" s="96"/>
      <c r="BE44" s="97"/>
      <c r="BF44" s="96"/>
      <c r="BG44" s="96"/>
      <c r="BH44" s="96"/>
      <c r="BI44" s="96"/>
      <c r="BJ44" s="96"/>
      <c r="BK44" s="97"/>
      <c r="BL44" s="96"/>
      <c r="BM44" s="97"/>
      <c r="BN44" s="97"/>
      <c r="BO44" s="97"/>
      <c r="BQ44" s="619"/>
      <c r="CB44" s="619"/>
      <c r="CC44" s="75"/>
      <c r="CD44" s="75"/>
      <c r="CE44" s="75"/>
      <c r="CF44" s="75"/>
      <c r="CG44" s="75"/>
      <c r="CH44" s="75"/>
      <c r="CI44" s="75"/>
      <c r="CJ44" s="75"/>
      <c r="CK44" s="75"/>
      <c r="CL44" s="75"/>
      <c r="CM44" s="75"/>
      <c r="CN44" s="75"/>
      <c r="CO44" s="75"/>
      <c r="CP44" s="75"/>
      <c r="CQ44" s="75"/>
    </row>
    <row r="45" spans="2:96" s="64" customFormat="1" ht="22.5" customHeight="1" thickTop="1">
      <c r="B45" s="90"/>
      <c r="C45" s="90"/>
      <c r="D45" s="90"/>
      <c r="E45" s="90"/>
      <c r="F45" s="90"/>
      <c r="G45" s="90"/>
      <c r="H45" s="90"/>
      <c r="I45" s="1398"/>
      <c r="J45" s="302" t="s">
        <v>246</v>
      </c>
      <c r="K45" s="781">
        <v>10000000</v>
      </c>
      <c r="L45" s="895"/>
      <c r="M45" s="896"/>
      <c r="N45" s="90"/>
      <c r="O45" s="101"/>
      <c r="P45" s="66"/>
      <c r="Q45" s="66"/>
      <c r="R45" s="66"/>
      <c r="S45" s="66"/>
      <c r="T45" s="66"/>
      <c r="X45" s="65"/>
      <c r="AD45" s="90"/>
      <c r="AH45" s="65"/>
      <c r="AN45" s="65"/>
      <c r="AP45" s="66"/>
      <c r="AQ45" s="66"/>
      <c r="AR45" s="66"/>
      <c r="AS45" s="66"/>
      <c r="AT45" s="66"/>
      <c r="AV45" s="65"/>
      <c r="AZ45" s="177"/>
      <c r="BA45" s="177"/>
      <c r="BB45" s="97"/>
      <c r="BC45" s="96"/>
      <c r="BD45" s="96"/>
      <c r="BE45" s="97"/>
      <c r="BF45" s="96"/>
      <c r="BG45" s="96"/>
      <c r="BH45" s="96"/>
      <c r="BI45" s="96"/>
      <c r="BJ45" s="96"/>
      <c r="BK45" s="97"/>
      <c r="BL45" s="96"/>
      <c r="BM45" s="97"/>
      <c r="BN45" s="97"/>
      <c r="BO45" s="97"/>
      <c r="BQ45" s="619"/>
      <c r="CB45" s="619"/>
      <c r="CC45" s="75"/>
      <c r="CD45" s="75"/>
      <c r="CE45" s="75"/>
      <c r="CF45" s="75"/>
      <c r="CG45" s="75"/>
      <c r="CH45" s="75"/>
      <c r="CI45" s="75"/>
      <c r="CJ45" s="75"/>
      <c r="CK45" s="75"/>
      <c r="CL45" s="75"/>
      <c r="CM45" s="75"/>
      <c r="CN45" s="75"/>
      <c r="CO45" s="75"/>
      <c r="CP45" s="75"/>
      <c r="CQ45" s="75"/>
    </row>
    <row r="46" spans="2:96" s="64" customFormat="1" ht="22.5" customHeight="1" thickBot="1">
      <c r="B46" s="90"/>
      <c r="C46" s="90"/>
      <c r="D46" s="90"/>
      <c r="E46" s="90"/>
      <c r="F46" s="90"/>
      <c r="G46" s="90"/>
      <c r="H46" s="90"/>
      <c r="I46" s="1399"/>
      <c r="J46" s="302" t="s">
        <v>249</v>
      </c>
      <c r="K46" s="1096">
        <v>0.03</v>
      </c>
      <c r="L46" s="984"/>
      <c r="M46" s="985"/>
      <c r="N46" s="90"/>
      <c r="O46" s="313" t="s">
        <v>417</v>
      </c>
      <c r="P46" s="313" t="s">
        <v>418</v>
      </c>
      <c r="Q46" s="313" t="s">
        <v>1163</v>
      </c>
      <c r="R46" s="313" t="s">
        <v>1215</v>
      </c>
      <c r="S46" s="313" t="s">
        <v>419</v>
      </c>
      <c r="T46" s="313" t="s">
        <v>420</v>
      </c>
      <c r="V46" s="90"/>
      <c r="X46" s="65"/>
      <c r="AD46" s="90"/>
      <c r="AH46" s="65"/>
      <c r="AN46" s="65"/>
      <c r="AP46" s="66"/>
      <c r="AQ46" s="66"/>
      <c r="AR46" s="66"/>
      <c r="AS46" s="66"/>
      <c r="AT46" s="66"/>
      <c r="AV46" s="65"/>
      <c r="AZ46" s="177"/>
      <c r="BA46" s="177"/>
      <c r="BB46" s="97"/>
      <c r="BC46" s="96"/>
      <c r="BD46" s="96"/>
      <c r="BE46" s="97"/>
      <c r="BF46" s="96"/>
      <c r="BG46" s="96"/>
      <c r="BH46" s="96"/>
      <c r="BI46" s="96"/>
      <c r="BJ46" s="96"/>
      <c r="BK46" s="97"/>
      <c r="BL46" s="96"/>
      <c r="BM46" s="97"/>
      <c r="BN46" s="97"/>
      <c r="BO46" s="97"/>
      <c r="BQ46" s="619"/>
      <c r="CB46" s="619"/>
      <c r="CC46" s="69" t="s">
        <v>270</v>
      </c>
      <c r="CD46" s="66"/>
      <c r="CE46" s="66"/>
      <c r="CF46" s="66"/>
      <c r="CG46" s="66"/>
      <c r="CH46" s="66"/>
      <c r="CI46" s="66"/>
      <c r="CJ46" s="66"/>
      <c r="CK46" s="69" t="s">
        <v>574</v>
      </c>
      <c r="CL46" s="66"/>
      <c r="CM46" s="66"/>
      <c r="CN46" s="66"/>
      <c r="CO46" s="66"/>
      <c r="CP46" s="66"/>
    </row>
    <row r="47" spans="2:96" s="64" customFormat="1" ht="22.5" customHeight="1">
      <c r="B47" s="90"/>
      <c r="C47" s="90"/>
      <c r="D47" s="90"/>
      <c r="E47" s="90"/>
      <c r="F47" s="90"/>
      <c r="G47" s="90"/>
      <c r="H47" s="90"/>
      <c r="I47" s="90"/>
      <c r="J47" s="90"/>
      <c r="K47" s="90"/>
      <c r="L47" s="90"/>
      <c r="M47" s="90"/>
      <c r="N47" s="90"/>
      <c r="O47" s="314" t="s">
        <v>421</v>
      </c>
      <c r="P47" s="767">
        <f>K10</f>
        <v>680000</v>
      </c>
      <c r="Q47" s="767">
        <f>L10*G38</f>
        <v>704000</v>
      </c>
      <c r="R47" s="767">
        <f>M10*H38</f>
        <v>665000</v>
      </c>
      <c r="S47" s="315">
        <f>AVERAGE(P47:R47)</f>
        <v>683000</v>
      </c>
      <c r="T47" s="316">
        <f>S47/$S$47</f>
        <v>1</v>
      </c>
      <c r="V47" s="90"/>
      <c r="X47" s="65"/>
      <c r="AD47" s="90"/>
      <c r="AH47" s="65"/>
      <c r="AN47" s="65"/>
      <c r="AP47" s="66"/>
      <c r="AQ47" s="66"/>
      <c r="AR47" s="66"/>
      <c r="AS47" s="66"/>
      <c r="AT47" s="66"/>
      <c r="AV47" s="65"/>
      <c r="AZ47" s="177"/>
      <c r="BA47" s="177"/>
      <c r="BB47" s="97"/>
      <c r="BC47" s="96"/>
      <c r="BD47" s="96"/>
      <c r="BE47" s="97"/>
      <c r="BF47" s="96"/>
      <c r="BG47" s="96"/>
      <c r="BH47" s="96"/>
      <c r="BI47" s="96"/>
      <c r="BJ47" s="96"/>
      <c r="BK47" s="97"/>
      <c r="BL47" s="96"/>
      <c r="BM47" s="97"/>
      <c r="BN47" s="97"/>
      <c r="BO47" s="97"/>
      <c r="BQ47" s="619"/>
      <c r="CB47" s="619"/>
      <c r="CC47" s="305" t="s">
        <v>575</v>
      </c>
      <c r="CD47" s="435" t="s">
        <v>1</v>
      </c>
      <c r="CE47" s="435"/>
      <c r="CF47" s="436" t="s">
        <v>1163</v>
      </c>
      <c r="CG47" s="436"/>
      <c r="CH47" s="435" t="s">
        <v>1206</v>
      </c>
      <c r="CI47" s="435"/>
      <c r="CJ47" s="66"/>
      <c r="CK47" s="437"/>
      <c r="CL47" s="437"/>
      <c r="CM47" s="437" t="s">
        <v>576</v>
      </c>
      <c r="CN47" s="438"/>
      <c r="CO47" s="439" t="s">
        <v>1165</v>
      </c>
      <c r="CP47" s="440"/>
      <c r="CQ47" s="441" t="s">
        <v>1211</v>
      </c>
      <c r="CR47" s="440"/>
    </row>
    <row r="48" spans="2:96" s="64" customFormat="1" ht="22.5" customHeight="1">
      <c r="B48" s="90"/>
      <c r="C48" s="90"/>
      <c r="D48" s="90"/>
      <c r="E48" s="90"/>
      <c r="F48" s="90"/>
      <c r="G48" s="90"/>
      <c r="H48" s="90"/>
      <c r="I48" s="90"/>
      <c r="N48" s="90"/>
      <c r="O48" s="314" t="s">
        <v>422</v>
      </c>
      <c r="P48" s="767">
        <f>P71</f>
        <v>361523</v>
      </c>
      <c r="Q48" s="767">
        <f>IF(Q70&lt;=0,P71,Q71)</f>
        <v>361523</v>
      </c>
      <c r="R48" s="767">
        <f>IF(R70&lt;=0,P71,R71)</f>
        <v>361523</v>
      </c>
      <c r="S48" s="315">
        <f>AVERAGE(P48:R48)</f>
        <v>361523</v>
      </c>
      <c r="T48" s="316">
        <f>S48/$S$47</f>
        <v>0.52931625183016107</v>
      </c>
      <c r="V48" s="90"/>
      <c r="X48" s="65"/>
      <c r="AD48" s="90"/>
      <c r="AH48" s="65"/>
      <c r="AN48" s="65"/>
      <c r="AP48" s="66"/>
      <c r="AQ48" s="66"/>
      <c r="AR48" s="66"/>
      <c r="AS48" s="66"/>
      <c r="AT48" s="66"/>
      <c r="AV48" s="65"/>
      <c r="AZ48" s="177"/>
      <c r="BA48" s="177"/>
      <c r="BB48" s="97"/>
      <c r="BC48" s="96"/>
      <c r="BD48" s="96"/>
      <c r="BE48" s="97"/>
      <c r="BF48" s="96"/>
      <c r="BG48" s="96"/>
      <c r="BH48" s="96"/>
      <c r="BI48" s="96"/>
      <c r="BJ48" s="96"/>
      <c r="BK48" s="97"/>
      <c r="BL48" s="96"/>
      <c r="BM48" s="97"/>
      <c r="BN48" s="97"/>
      <c r="BO48" s="97"/>
      <c r="BQ48" s="619"/>
      <c r="CB48" s="619"/>
      <c r="CC48" s="442" t="s">
        <v>2</v>
      </c>
      <c r="CD48" s="220" t="s">
        <v>3</v>
      </c>
      <c r="CE48" s="220" t="s">
        <v>4</v>
      </c>
      <c r="CF48" s="220" t="s">
        <v>3</v>
      </c>
      <c r="CG48" s="220" t="s">
        <v>4</v>
      </c>
      <c r="CH48" s="220" t="s">
        <v>3</v>
      </c>
      <c r="CI48" s="220" t="s">
        <v>4</v>
      </c>
      <c r="CJ48" s="66"/>
      <c r="CK48" s="437" t="s">
        <v>577</v>
      </c>
      <c r="CL48" s="437" t="s">
        <v>578</v>
      </c>
      <c r="CM48" s="437" t="s">
        <v>540</v>
      </c>
      <c r="CN48" s="438" t="s">
        <v>541</v>
      </c>
      <c r="CO48" s="439" t="s">
        <v>540</v>
      </c>
      <c r="CP48" s="440" t="s">
        <v>541</v>
      </c>
      <c r="CQ48" s="441" t="s">
        <v>540</v>
      </c>
      <c r="CR48" s="440" t="s">
        <v>541</v>
      </c>
    </row>
    <row r="49" spans="2:96" s="64" customFormat="1" ht="22.5" customHeight="1">
      <c r="B49" s="90"/>
      <c r="C49" s="90"/>
      <c r="D49" s="90"/>
      <c r="E49" s="90"/>
      <c r="F49" s="90"/>
      <c r="G49" s="90"/>
      <c r="H49" s="90"/>
      <c r="I49" s="90"/>
      <c r="N49" s="90"/>
      <c r="O49" s="314" t="s">
        <v>423</v>
      </c>
      <c r="P49" s="768">
        <f>P102</f>
        <v>264754.91966700606</v>
      </c>
      <c r="Q49" s="768">
        <f>Q102</f>
        <v>331453.78143871535</v>
      </c>
      <c r="R49" s="768">
        <f>R102</f>
        <v>262707.29784219072</v>
      </c>
      <c r="S49" s="315">
        <f>AVERAGE(P49:R49)</f>
        <v>286305.3329826374</v>
      </c>
      <c r="T49" s="316">
        <f>S49/$S$47</f>
        <v>0.41918789602143103</v>
      </c>
      <c r="V49" s="90"/>
      <c r="X49" s="65"/>
      <c r="AD49" s="197"/>
      <c r="AH49" s="65"/>
      <c r="AN49" s="65"/>
      <c r="AP49" s="66"/>
      <c r="AQ49" s="66"/>
      <c r="AR49" s="66"/>
      <c r="AS49" s="66"/>
      <c r="AT49" s="66"/>
      <c r="AV49" s="65"/>
      <c r="AZ49" s="177"/>
      <c r="BA49" s="177"/>
      <c r="BB49" s="97"/>
      <c r="BC49" s="96"/>
      <c r="BD49" s="96"/>
      <c r="BE49" s="97"/>
      <c r="BF49" s="96"/>
      <c r="BG49" s="96"/>
      <c r="BH49" s="96"/>
      <c r="BI49" s="96"/>
      <c r="BJ49" s="96"/>
      <c r="BK49" s="97"/>
      <c r="BL49" s="96"/>
      <c r="BM49" s="97"/>
      <c r="BN49" s="97"/>
      <c r="BO49" s="97"/>
      <c r="BQ49" s="619"/>
      <c r="CB49" s="619"/>
      <c r="CC49" s="221">
        <v>40</v>
      </c>
      <c r="CD49" s="222">
        <v>20000</v>
      </c>
      <c r="CE49" s="222">
        <v>19000</v>
      </c>
      <c r="CF49" s="222">
        <v>21000</v>
      </c>
      <c r="CG49" s="222">
        <v>19950</v>
      </c>
      <c r="CH49" s="222">
        <v>19000</v>
      </c>
      <c r="CI49" s="222">
        <v>18050</v>
      </c>
      <c r="CJ49" s="66"/>
      <c r="CK49" s="443" t="s">
        <v>579</v>
      </c>
      <c r="CL49" s="444" t="s">
        <v>580</v>
      </c>
      <c r="CM49" s="445">
        <f t="shared" ref="CM49:CR49" si="11">CM50+CM55+CM59</f>
        <v>7335000000</v>
      </c>
      <c r="CN49" s="446">
        <f t="shared" si="11"/>
        <v>0</v>
      </c>
      <c r="CO49" s="447" t="e">
        <f t="shared" si="11"/>
        <v>#DIV/0!</v>
      </c>
      <c r="CP49" s="448">
        <f t="shared" si="11"/>
        <v>0</v>
      </c>
      <c r="CQ49" s="449" t="e">
        <f t="shared" si="11"/>
        <v>#DIV/0!</v>
      </c>
      <c r="CR49" s="448">
        <f t="shared" si="11"/>
        <v>0</v>
      </c>
    </row>
    <row r="50" spans="2:96" s="64" customFormat="1" ht="22.5" customHeight="1">
      <c r="B50" s="90"/>
      <c r="C50" s="90"/>
      <c r="D50" s="90"/>
      <c r="E50" s="90"/>
      <c r="F50" s="90"/>
      <c r="G50" s="90"/>
      <c r="I50" s="90"/>
      <c r="N50" s="90"/>
      <c r="O50" s="314" t="s">
        <v>440</v>
      </c>
      <c r="P50" s="769">
        <f>P47-P48-P49</f>
        <v>53722.080332993937</v>
      </c>
      <c r="Q50" s="769">
        <f>Q47-Q48-Q49</f>
        <v>11023.218561284652</v>
      </c>
      <c r="R50" s="770">
        <f>R47-R48-R49</f>
        <v>40769.702157809283</v>
      </c>
      <c r="S50" s="317">
        <f>AVERAGE(P50:R50)</f>
        <v>35171.667017362626</v>
      </c>
      <c r="T50" s="316">
        <f>S50/$S$47</f>
        <v>5.1495852148407947E-2</v>
      </c>
      <c r="V50" s="90"/>
      <c r="X50" s="65"/>
      <c r="AH50" s="65"/>
      <c r="AN50" s="65"/>
      <c r="AP50" s="66"/>
      <c r="AQ50" s="66"/>
      <c r="AR50" s="66"/>
      <c r="AS50" s="66"/>
      <c r="AT50" s="66"/>
      <c r="AV50" s="65"/>
      <c r="AZ50" s="177"/>
      <c r="BA50" s="177"/>
      <c r="BB50" s="97"/>
      <c r="BC50" s="96"/>
      <c r="BD50" s="96"/>
      <c r="BE50" s="97"/>
      <c r="BF50" s="96"/>
      <c r="BG50" s="96"/>
      <c r="BH50" s="96"/>
      <c r="BI50" s="96"/>
      <c r="BJ50" s="96"/>
      <c r="BK50" s="97"/>
      <c r="BL50" s="96"/>
      <c r="BM50" s="97"/>
      <c r="BN50" s="97"/>
      <c r="BO50" s="97"/>
      <c r="BQ50" s="619"/>
      <c r="CB50" s="619"/>
      <c r="CC50" s="221">
        <v>44</v>
      </c>
      <c r="CD50" s="222">
        <v>20800</v>
      </c>
      <c r="CE50" s="222">
        <v>19760</v>
      </c>
      <c r="CF50" s="222">
        <v>21840</v>
      </c>
      <c r="CG50" s="222">
        <v>20748</v>
      </c>
      <c r="CH50" s="222">
        <v>19760</v>
      </c>
      <c r="CI50" s="222">
        <v>18772</v>
      </c>
      <c r="CJ50" s="66"/>
      <c r="CK50" s="450" t="s">
        <v>581</v>
      </c>
      <c r="CL50" s="451" t="s">
        <v>580</v>
      </c>
      <c r="CM50" s="452">
        <f>CM52*CM53*CM54</f>
        <v>4320000000</v>
      </c>
      <c r="CN50" s="453">
        <f>CN52*CN53*CN54</f>
        <v>0</v>
      </c>
      <c r="CO50" s="454">
        <f>CO52*CO53*CO54*CG20</f>
        <v>0</v>
      </c>
      <c r="CP50" s="455">
        <f>CP52*CP53*CP54*CG20</f>
        <v>0</v>
      </c>
      <c r="CQ50" s="456">
        <f>CQ52*CQ53*CQ54*CH20</f>
        <v>0</v>
      </c>
      <c r="CR50" s="455">
        <f>CR52*CR53*CR54*CH20</f>
        <v>0</v>
      </c>
    </row>
    <row r="51" spans="2:96" ht="22.5" customHeight="1">
      <c r="H51" s="64"/>
      <c r="O51" s="314" t="s">
        <v>441</v>
      </c>
      <c r="P51" s="767">
        <f>F6</f>
        <v>66680</v>
      </c>
      <c r="Q51" s="767">
        <f>G6</f>
        <v>32680</v>
      </c>
      <c r="R51" s="767">
        <f>H6</f>
        <v>30500</v>
      </c>
      <c r="S51" s="318">
        <f>AVERAGE(P51:R51)</f>
        <v>43286.666666666664</v>
      </c>
      <c r="T51" s="319"/>
      <c r="U51" s="64"/>
      <c r="AD51" s="64"/>
      <c r="AZ51" s="177"/>
      <c r="BA51" s="177"/>
      <c r="CC51" s="221">
        <v>48</v>
      </c>
      <c r="CD51" s="222">
        <v>21600</v>
      </c>
      <c r="CE51" s="222">
        <v>20520</v>
      </c>
      <c r="CF51" s="222">
        <v>22680</v>
      </c>
      <c r="CG51" s="222">
        <v>21546</v>
      </c>
      <c r="CH51" s="222">
        <v>20520</v>
      </c>
      <c r="CI51" s="222">
        <v>19494</v>
      </c>
      <c r="CK51" s="457"/>
      <c r="CL51" s="458" t="s">
        <v>582</v>
      </c>
      <c r="CM51" s="459">
        <f>CF9</f>
        <v>4</v>
      </c>
      <c r="CN51" s="487">
        <f>CM51</f>
        <v>4</v>
      </c>
      <c r="CO51" s="1161">
        <f>CN51</f>
        <v>4</v>
      </c>
      <c r="CP51" s="487">
        <f>CO51</f>
        <v>4</v>
      </c>
      <c r="CQ51" s="1161">
        <f>CP51</f>
        <v>4</v>
      </c>
      <c r="CR51" s="487">
        <f>CQ51</f>
        <v>4</v>
      </c>
    </row>
    <row r="52" spans="2:96" ht="22.5" customHeight="1">
      <c r="N52" s="64"/>
      <c r="O52" s="314" t="s">
        <v>442</v>
      </c>
      <c r="P52" s="768">
        <f>P47*P51</f>
        <v>45342400000</v>
      </c>
      <c r="Q52" s="768">
        <f>Q47*Q51</f>
        <v>23006720000</v>
      </c>
      <c r="R52" s="768">
        <f>R47*R51</f>
        <v>20282500000</v>
      </c>
      <c r="S52" s="315">
        <f>SUM(P52:R52)</f>
        <v>88631620000</v>
      </c>
      <c r="T52" s="319"/>
      <c r="U52" s="878"/>
      <c r="AD52" s="64"/>
      <c r="AZ52" s="177"/>
      <c r="BA52" s="177"/>
      <c r="CC52" s="461" t="s">
        <v>583</v>
      </c>
      <c r="CD52" s="223" t="s">
        <v>584</v>
      </c>
      <c r="CE52" s="223"/>
      <c r="CF52" s="223" t="s">
        <v>1163</v>
      </c>
      <c r="CG52" s="223"/>
      <c r="CH52" s="223" t="s">
        <v>1206</v>
      </c>
      <c r="CI52" s="223"/>
      <c r="CK52" s="462"/>
      <c r="CL52" s="458" t="s">
        <v>585</v>
      </c>
      <c r="CM52" s="463">
        <f>CF21</f>
        <v>21600</v>
      </c>
      <c r="CN52" s="466">
        <f>CF22</f>
        <v>0</v>
      </c>
      <c r="CO52" s="467">
        <f>CG21</f>
        <v>0</v>
      </c>
      <c r="CP52" s="466">
        <f>CG22</f>
        <v>0</v>
      </c>
      <c r="CQ52" s="467">
        <f>CH21</f>
        <v>0</v>
      </c>
      <c r="CR52" s="466">
        <f>CI22</f>
        <v>0</v>
      </c>
    </row>
    <row r="53" spans="2:96" ht="18.75" customHeight="1">
      <c r="N53" s="64"/>
      <c r="O53" s="320" t="s">
        <v>424</v>
      </c>
      <c r="P53" s="771">
        <f>P50*P51</f>
        <v>3582188316.6040359</v>
      </c>
      <c r="Q53" s="771">
        <f>Q50*Q51</f>
        <v>360238782.58278239</v>
      </c>
      <c r="R53" s="771">
        <f>R50*R51</f>
        <v>1243475915.8131831</v>
      </c>
      <c r="S53" s="321">
        <f>SUM(P53:R53)</f>
        <v>5185903015.000001</v>
      </c>
      <c r="T53" s="319"/>
      <c r="U53" s="879"/>
      <c r="AD53" s="64"/>
      <c r="AZ53" s="177"/>
      <c r="BA53" s="177"/>
      <c r="CC53" s="219" t="s">
        <v>9</v>
      </c>
      <c r="CD53" s="220" t="s">
        <v>3</v>
      </c>
      <c r="CE53" s="220" t="s">
        <v>4</v>
      </c>
      <c r="CF53" s="220" t="s">
        <v>3</v>
      </c>
      <c r="CG53" s="220" t="s">
        <v>4</v>
      </c>
      <c r="CH53" s="220" t="s">
        <v>3</v>
      </c>
      <c r="CI53" s="220" t="s">
        <v>4</v>
      </c>
      <c r="CK53" s="462"/>
      <c r="CL53" s="458" t="s">
        <v>586</v>
      </c>
      <c r="CM53" s="463">
        <f>IF(CM51=CD57,CD58,IF(CE57,CE58,IF(CF57,CF58,IF(CG57,CG58,IF(CH57,CH58,CI58)))))</f>
        <v>200000</v>
      </c>
      <c r="CN53" s="464">
        <f>CM53</f>
        <v>200000</v>
      </c>
      <c r="CO53" s="465">
        <f>IF(CO51=CD57,CD59,IF(CE57,CE59,IF(CF57,CF59,IF(CG57,CG59,IF(CH57,CH59,CI59)))))</f>
        <v>180</v>
      </c>
      <c r="CP53" s="466">
        <f>CO53</f>
        <v>180</v>
      </c>
      <c r="CQ53" s="467">
        <f>IF(CQ51=CD57,CD60,IF(CE57,CE60,IF(CF57,CF60,IF(CG57,CG60,IF(CH57,CH60,CI60)))))</f>
        <v>1000</v>
      </c>
      <c r="CR53" s="466">
        <f>CQ53</f>
        <v>1000</v>
      </c>
    </row>
    <row r="54" spans="2:96" ht="22.5" customHeight="1">
      <c r="N54" s="64"/>
      <c r="O54" s="64"/>
      <c r="P54" s="64"/>
      <c r="Q54" s="64"/>
      <c r="R54" s="64"/>
      <c r="S54" s="64"/>
      <c r="T54" s="64"/>
      <c r="U54" s="64"/>
      <c r="V54" s="90" t="s">
        <v>349</v>
      </c>
      <c r="AD54" s="64"/>
      <c r="AZ54" s="177"/>
      <c r="BA54" s="177"/>
      <c r="CC54" s="221">
        <v>40</v>
      </c>
      <c r="CD54" s="468">
        <f>CF18</f>
        <v>2000000000</v>
      </c>
      <c r="CE54" s="469">
        <f>CD54*1.1</f>
        <v>2200000000</v>
      </c>
      <c r="CF54" s="468">
        <f>IF(CG18&gt;=1,CG18,2200000)</f>
        <v>2200000</v>
      </c>
      <c r="CG54" s="469">
        <f>CF54*1.1</f>
        <v>2420000</v>
      </c>
      <c r="CH54" s="468">
        <f>IF(CH18&gt;=1,CH18,8000000)</f>
        <v>8000000</v>
      </c>
      <c r="CI54" s="469">
        <f>CH54*1.1</f>
        <v>8800000</v>
      </c>
      <c r="CK54" s="462"/>
      <c r="CL54" s="458" t="s">
        <v>587</v>
      </c>
      <c r="CM54" s="470">
        <f>CF19</f>
        <v>1</v>
      </c>
      <c r="CN54" s="471">
        <f>CM54</f>
        <v>1</v>
      </c>
      <c r="CO54" s="472">
        <f>CG19</f>
        <v>1</v>
      </c>
      <c r="CP54" s="473">
        <f>CO54</f>
        <v>1</v>
      </c>
      <c r="CQ54" s="474">
        <f>CH19</f>
        <v>1</v>
      </c>
      <c r="CR54" s="473">
        <f>CQ54</f>
        <v>1</v>
      </c>
    </row>
    <row r="55" spans="2:96" ht="22.5" customHeight="1" thickBot="1">
      <c r="N55" s="64"/>
      <c r="AD55" s="197"/>
      <c r="AE55" s="64"/>
      <c r="AF55" s="64"/>
      <c r="AJ55" s="64"/>
      <c r="AK55" s="64"/>
      <c r="AL55" s="64"/>
      <c r="AZ55" s="177"/>
      <c r="BA55" s="177"/>
      <c r="CC55" s="475">
        <v>44</v>
      </c>
      <c r="CD55" s="222">
        <f t="shared" ref="CD55:CI55" si="12">CD54*1.05</f>
        <v>2100000000</v>
      </c>
      <c r="CE55" s="222">
        <f t="shared" si="12"/>
        <v>2310000000</v>
      </c>
      <c r="CF55" s="222">
        <f t="shared" si="12"/>
        <v>2310000</v>
      </c>
      <c r="CG55" s="222">
        <f t="shared" si="12"/>
        <v>2541000</v>
      </c>
      <c r="CH55" s="222">
        <f t="shared" si="12"/>
        <v>8400000</v>
      </c>
      <c r="CI55" s="222">
        <f t="shared" si="12"/>
        <v>9240000</v>
      </c>
      <c r="CK55" s="450" t="s">
        <v>588</v>
      </c>
      <c r="CL55" s="451" t="s">
        <v>580</v>
      </c>
      <c r="CM55" s="452">
        <f t="shared" ref="CM55:CR55" si="13">CM56*CM58</f>
        <v>2200000000</v>
      </c>
      <c r="CN55" s="453">
        <f t="shared" si="13"/>
        <v>0</v>
      </c>
      <c r="CO55" s="454">
        <f t="shared" si="13"/>
        <v>0</v>
      </c>
      <c r="CP55" s="455">
        <f t="shared" si="13"/>
        <v>0</v>
      </c>
      <c r="CQ55" s="456">
        <f t="shared" si="13"/>
        <v>0</v>
      </c>
      <c r="CR55" s="455">
        <f t="shared" si="13"/>
        <v>0</v>
      </c>
    </row>
    <row r="56" spans="2:96" ht="22.5" customHeight="1" thickTop="1" thickBot="1">
      <c r="N56" s="64"/>
      <c r="O56" s="1149" t="s">
        <v>913</v>
      </c>
      <c r="P56" s="1149"/>
      <c r="Q56" s="1149"/>
      <c r="AD56" s="64"/>
      <c r="AE56" s="64"/>
      <c r="AF56" s="64"/>
      <c r="AJ56" s="64"/>
      <c r="AK56" s="64"/>
      <c r="AL56" s="64"/>
      <c r="CC56" s="475">
        <v>48</v>
      </c>
      <c r="CD56" s="222">
        <f t="shared" ref="CD56:CI56" si="14">CD54*1.1</f>
        <v>2200000000</v>
      </c>
      <c r="CE56" s="222">
        <f t="shared" si="14"/>
        <v>2420000000</v>
      </c>
      <c r="CF56" s="222">
        <f t="shared" si="14"/>
        <v>2420000</v>
      </c>
      <c r="CG56" s="222">
        <f t="shared" si="14"/>
        <v>2662000</v>
      </c>
      <c r="CH56" s="222">
        <f t="shared" si="14"/>
        <v>8800000</v>
      </c>
      <c r="CI56" s="222">
        <f t="shared" si="14"/>
        <v>9680000</v>
      </c>
      <c r="CK56" s="457"/>
      <c r="CL56" s="458" t="s">
        <v>267</v>
      </c>
      <c r="CM56" s="463">
        <f>CF10</f>
        <v>1</v>
      </c>
      <c r="CN56" s="464">
        <f>CF12</f>
        <v>0</v>
      </c>
      <c r="CO56" s="465">
        <f>CG10</f>
        <v>0</v>
      </c>
      <c r="CP56" s="466">
        <f>CG12</f>
        <v>0</v>
      </c>
      <c r="CQ56" s="467">
        <f>CH12</f>
        <v>0</v>
      </c>
      <c r="CR56" s="466">
        <f>CI14</f>
        <v>0</v>
      </c>
    </row>
    <row r="57" spans="2:96" ht="22.5" customHeight="1" thickTop="1">
      <c r="O57" s="101"/>
      <c r="P57" s="66"/>
      <c r="Q57" s="66"/>
      <c r="AD57" s="64"/>
      <c r="AE57" s="64"/>
      <c r="AF57" s="64"/>
      <c r="AJ57" s="64"/>
      <c r="AK57" s="64"/>
      <c r="AL57" s="64"/>
      <c r="CC57" s="305" t="s">
        <v>589</v>
      </c>
      <c r="CD57" s="226">
        <v>4</v>
      </c>
      <c r="CE57" s="226">
        <v>5</v>
      </c>
      <c r="CF57" s="226">
        <v>6</v>
      </c>
      <c r="CG57" s="226">
        <v>7</v>
      </c>
      <c r="CH57" s="226">
        <v>8</v>
      </c>
      <c r="CI57" s="226">
        <v>9</v>
      </c>
      <c r="CK57" s="462"/>
      <c r="CL57" s="458" t="s">
        <v>590</v>
      </c>
      <c r="CM57" s="463">
        <f>CF11</f>
        <v>48</v>
      </c>
      <c r="CN57" s="464">
        <f>CF13</f>
        <v>0</v>
      </c>
      <c r="CO57" s="465">
        <f>CG11</f>
        <v>0</v>
      </c>
      <c r="CP57" s="466">
        <f>CG13</f>
        <v>0</v>
      </c>
      <c r="CQ57" s="467">
        <f>CH11</f>
        <v>0</v>
      </c>
      <c r="CR57" s="466">
        <f>CI15</f>
        <v>0</v>
      </c>
    </row>
    <row r="58" spans="2:96" ht="22.5" customHeight="1">
      <c r="I58" s="66"/>
      <c r="J58" s="66"/>
      <c r="K58" s="66"/>
      <c r="L58" s="66"/>
      <c r="M58" s="66"/>
      <c r="O58" s="276" t="s">
        <v>334</v>
      </c>
      <c r="P58" s="277" t="s">
        <v>1</v>
      </c>
      <c r="Q58" s="277" t="s">
        <v>1166</v>
      </c>
      <c r="R58" s="277" t="s">
        <v>1206</v>
      </c>
      <c r="S58" s="277" t="s">
        <v>262</v>
      </c>
      <c r="AD58" s="64"/>
      <c r="AE58" s="64"/>
      <c r="AF58" s="64"/>
      <c r="AJ58" s="64"/>
      <c r="AK58" s="64"/>
      <c r="AL58" s="64"/>
      <c r="CC58" s="221" t="s">
        <v>1</v>
      </c>
      <c r="CD58" s="222">
        <v>200000</v>
      </c>
      <c r="CE58" s="222">
        <v>225000</v>
      </c>
      <c r="CF58" s="222">
        <v>255000</v>
      </c>
      <c r="CG58" s="222">
        <v>290000</v>
      </c>
      <c r="CH58" s="222">
        <v>315000</v>
      </c>
      <c r="CI58" s="222">
        <v>345000</v>
      </c>
      <c r="CK58" s="462"/>
      <c r="CL58" s="458" t="s">
        <v>591</v>
      </c>
      <c r="CM58" s="463">
        <f>CF23</f>
        <v>2200000000</v>
      </c>
      <c r="CN58" s="464">
        <f>CF24</f>
        <v>0</v>
      </c>
      <c r="CO58" s="465">
        <f>CG23</f>
        <v>0</v>
      </c>
      <c r="CP58" s="466">
        <f>CG24</f>
        <v>0</v>
      </c>
      <c r="CQ58" s="467">
        <f>CH23</f>
        <v>0</v>
      </c>
      <c r="CR58" s="466">
        <f>CH24</f>
        <v>0</v>
      </c>
    </row>
    <row r="59" spans="2:96" ht="22.5" customHeight="1">
      <c r="I59" s="66"/>
      <c r="J59" s="66"/>
      <c r="K59" s="66"/>
      <c r="L59" s="66"/>
      <c r="M59" s="66"/>
      <c r="O59" s="89" t="s">
        <v>62</v>
      </c>
      <c r="P59" s="278">
        <f>Q124</f>
        <v>49196000000</v>
      </c>
      <c r="Q59" s="278">
        <f>S124</f>
        <v>0</v>
      </c>
      <c r="R59" s="278">
        <f>U124</f>
        <v>0</v>
      </c>
      <c r="S59" s="278">
        <f>SUM(P59:R59)</f>
        <v>49196000000</v>
      </c>
      <c r="AD59" s="64"/>
      <c r="AE59" s="64"/>
      <c r="AF59" s="64"/>
      <c r="AJ59" s="64"/>
      <c r="AK59" s="64"/>
      <c r="AL59" s="64"/>
      <c r="CC59" s="221" t="s">
        <v>1163</v>
      </c>
      <c r="CD59" s="222">
        <v>180</v>
      </c>
      <c r="CE59" s="222">
        <v>200</v>
      </c>
      <c r="CF59" s="222">
        <v>220</v>
      </c>
      <c r="CG59" s="222">
        <v>250</v>
      </c>
      <c r="CH59" s="222">
        <v>280</v>
      </c>
      <c r="CI59" s="222">
        <v>300</v>
      </c>
      <c r="CK59" s="450" t="s">
        <v>592</v>
      </c>
      <c r="CL59" s="451" t="s">
        <v>580</v>
      </c>
      <c r="CM59" s="452">
        <f>CM64+CM68+CM71+CM72</f>
        <v>815000000</v>
      </c>
      <c r="CN59" s="453">
        <f>CN64+CN72</f>
        <v>0</v>
      </c>
      <c r="CO59" s="454" t="e">
        <f>CO64+CO68+CO71+CO72</f>
        <v>#DIV/0!</v>
      </c>
      <c r="CP59" s="455">
        <f>CP64+CP72</f>
        <v>0</v>
      </c>
      <c r="CQ59" s="456" t="e">
        <f>CQ64+CQ68+CQ71+CQ72</f>
        <v>#DIV/0!</v>
      </c>
      <c r="CR59" s="455">
        <f>CR64+CR72</f>
        <v>0</v>
      </c>
    </row>
    <row r="60" spans="2:96" ht="22.5" customHeight="1">
      <c r="I60" s="66"/>
      <c r="J60" s="66"/>
      <c r="K60" s="66"/>
      <c r="L60" s="66"/>
      <c r="M60" s="66"/>
      <c r="O60" s="71" t="s">
        <v>399</v>
      </c>
      <c r="P60" s="278">
        <f>Q125</f>
        <v>27216000000</v>
      </c>
      <c r="Q60" s="278">
        <f>S125</f>
        <v>0</v>
      </c>
      <c r="R60" s="278">
        <f>U125</f>
        <v>0</v>
      </c>
      <c r="S60" s="278">
        <f t="shared" ref="S60:S70" si="15">SUM(P60:R60)</f>
        <v>27216000000</v>
      </c>
      <c r="T60" s="64"/>
      <c r="AD60" s="64"/>
      <c r="AE60" s="64"/>
      <c r="AF60" s="64"/>
      <c r="AJ60" s="64"/>
      <c r="AK60" s="64"/>
      <c r="AL60" s="64"/>
      <c r="CC60" s="221" t="s">
        <v>1206</v>
      </c>
      <c r="CD60" s="222">
        <v>1000</v>
      </c>
      <c r="CE60" s="222">
        <v>1150</v>
      </c>
      <c r="CF60" s="222">
        <v>1200</v>
      </c>
      <c r="CG60" s="222">
        <v>1380</v>
      </c>
      <c r="CH60" s="222">
        <v>1650</v>
      </c>
      <c r="CI60" s="222">
        <v>1800</v>
      </c>
      <c r="CK60" s="476" t="s">
        <v>593</v>
      </c>
      <c r="CL60" s="477" t="s">
        <v>580</v>
      </c>
      <c r="CM60" s="478">
        <f>CF75</f>
        <v>400000000</v>
      </c>
      <c r="CN60" s="479" t="s">
        <v>594</v>
      </c>
      <c r="CO60" s="480">
        <f>IF(CG12&gt;=1,CF76,0)</f>
        <v>0</v>
      </c>
      <c r="CP60" s="481" t="s">
        <v>594</v>
      </c>
      <c r="CQ60" s="482">
        <f>IF(CH12&gt;=1,CF77,0)</f>
        <v>0</v>
      </c>
      <c r="CR60" s="481" t="s">
        <v>594</v>
      </c>
    </row>
    <row r="61" spans="2:96" ht="22.5" customHeight="1">
      <c r="I61" s="991"/>
      <c r="J61" s="992"/>
      <c r="K61" s="993"/>
      <c r="L61" s="994"/>
      <c r="M61" s="994"/>
      <c r="O61" s="71" t="s">
        <v>400</v>
      </c>
      <c r="P61" s="278">
        <f>Q130+R130</f>
        <v>13200000000.000004</v>
      </c>
      <c r="Q61" s="278">
        <f>S130+T130</f>
        <v>0</v>
      </c>
      <c r="R61" s="278">
        <f>U130+V130</f>
        <v>0</v>
      </c>
      <c r="S61" s="278">
        <f t="shared" si="15"/>
        <v>13200000000.000004</v>
      </c>
      <c r="V61" s="64"/>
      <c r="AD61" s="64"/>
      <c r="AE61" s="64"/>
      <c r="AF61" s="64"/>
      <c r="AJ61" s="64"/>
      <c r="AK61" s="64"/>
      <c r="AL61" s="64"/>
      <c r="CC61" s="305" t="s">
        <v>595</v>
      </c>
      <c r="CD61" s="223" t="s">
        <v>1</v>
      </c>
      <c r="CE61" s="223"/>
      <c r="CF61" s="223" t="s">
        <v>1163</v>
      </c>
      <c r="CG61" s="223"/>
      <c r="CH61" s="223" t="s">
        <v>1206</v>
      </c>
      <c r="CI61" s="223"/>
      <c r="CK61" s="476" t="s">
        <v>596</v>
      </c>
      <c r="CL61" s="477" t="s">
        <v>580</v>
      </c>
      <c r="CM61" s="484">
        <f>CM62*CM63</f>
        <v>100000000</v>
      </c>
      <c r="CN61" s="479" t="s">
        <v>594</v>
      </c>
      <c r="CO61" s="485">
        <f>CO62*CO63</f>
        <v>0</v>
      </c>
      <c r="CP61" s="481" t="s">
        <v>594</v>
      </c>
      <c r="CQ61" s="486">
        <f>CQ62*CQ63</f>
        <v>0</v>
      </c>
      <c r="CR61" s="481" t="s">
        <v>594</v>
      </c>
    </row>
    <row r="62" spans="2:96" ht="22.5" customHeight="1">
      <c r="I62" s="1345"/>
      <c r="J62" s="1345"/>
      <c r="K62" s="1345"/>
      <c r="L62" s="1345"/>
      <c r="M62" s="1066" t="s">
        <v>909</v>
      </c>
      <c r="O62" s="71" t="s">
        <v>401</v>
      </c>
      <c r="P62" s="278">
        <f>Q135+R135</f>
        <v>8780000000</v>
      </c>
      <c r="Q62" s="278">
        <f>S135+T135</f>
        <v>0</v>
      </c>
      <c r="R62" s="278">
        <f>U135+V135</f>
        <v>0</v>
      </c>
      <c r="S62" s="278">
        <f t="shared" si="15"/>
        <v>8780000000</v>
      </c>
      <c r="V62" s="64"/>
      <c r="AD62" s="64"/>
      <c r="AE62" s="64"/>
      <c r="AF62" s="64"/>
      <c r="AJ62" s="64"/>
      <c r="AK62" s="64"/>
      <c r="AL62" s="64"/>
      <c r="CC62" s="72" t="s">
        <v>59</v>
      </c>
      <c r="CD62" s="220" t="s">
        <v>3</v>
      </c>
      <c r="CE62" s="220" t="s">
        <v>4</v>
      </c>
      <c r="CF62" s="220" t="s">
        <v>3</v>
      </c>
      <c r="CG62" s="220" t="s">
        <v>4</v>
      </c>
      <c r="CH62" s="220" t="s">
        <v>3</v>
      </c>
      <c r="CI62" s="220" t="s">
        <v>4</v>
      </c>
      <c r="CK62" s="462"/>
      <c r="CL62" s="458" t="s">
        <v>597</v>
      </c>
      <c r="CM62" s="463">
        <f>CF80</f>
        <v>100000000</v>
      </c>
      <c r="CN62" s="460" t="s">
        <v>594</v>
      </c>
      <c r="CO62" s="465">
        <f>CF81</f>
        <v>110000000</v>
      </c>
      <c r="CP62" s="487" t="s">
        <v>594</v>
      </c>
      <c r="CQ62" s="467">
        <f>CF82</f>
        <v>87500000</v>
      </c>
      <c r="CR62" s="487" t="s">
        <v>594</v>
      </c>
    </row>
    <row r="63" spans="2:96" ht="22.5" customHeight="1" thickBot="1">
      <c r="I63" s="1019"/>
      <c r="J63" s="1019"/>
      <c r="K63" s="1019"/>
      <c r="L63" s="1019"/>
      <c r="M63" s="1020"/>
      <c r="O63" s="71" t="s">
        <v>402</v>
      </c>
      <c r="P63" s="278">
        <f>Q136</f>
        <v>400000000</v>
      </c>
      <c r="Q63" s="278">
        <f>S136</f>
        <v>0</v>
      </c>
      <c r="R63" s="278">
        <f>U136</f>
        <v>0</v>
      </c>
      <c r="S63" s="278">
        <f t="shared" si="15"/>
        <v>400000000</v>
      </c>
      <c r="V63" s="64"/>
      <c r="AD63" s="64"/>
      <c r="AE63" s="64"/>
      <c r="AF63" s="64"/>
      <c r="AJ63" s="64"/>
      <c r="AK63" s="64"/>
      <c r="AL63" s="64"/>
      <c r="CC63" s="72" t="s">
        <v>161</v>
      </c>
      <c r="CD63" s="222">
        <v>300000000</v>
      </c>
      <c r="CE63" s="222">
        <v>300000000</v>
      </c>
      <c r="CF63" s="222">
        <v>300000</v>
      </c>
      <c r="CG63" s="222">
        <v>300000</v>
      </c>
      <c r="CH63" s="222">
        <v>1300000</v>
      </c>
      <c r="CI63" s="222">
        <v>1300000</v>
      </c>
      <c r="CK63" s="462"/>
      <c r="CL63" s="458" t="s">
        <v>267</v>
      </c>
      <c r="CM63" s="463">
        <f>CF10</f>
        <v>1</v>
      </c>
      <c r="CN63" s="460" t="s">
        <v>594</v>
      </c>
      <c r="CO63" s="465">
        <f>CG10</f>
        <v>0</v>
      </c>
      <c r="CP63" s="487" t="s">
        <v>594</v>
      </c>
      <c r="CQ63" s="467">
        <f>CH12</f>
        <v>0</v>
      </c>
      <c r="CR63" s="487" t="s">
        <v>594</v>
      </c>
    </row>
    <row r="64" spans="2:96" ht="22.5" customHeight="1" thickTop="1" thickBot="1">
      <c r="I64" s="210"/>
      <c r="J64" s="908" t="s">
        <v>911</v>
      </c>
      <c r="K64" s="908"/>
      <c r="L64" s="908"/>
      <c r="O64" s="71" t="s">
        <v>403</v>
      </c>
      <c r="P64" s="278">
        <f>Q137</f>
        <v>600000000</v>
      </c>
      <c r="Q64" s="278">
        <f>S137</f>
        <v>0</v>
      </c>
      <c r="R64" s="278">
        <f>U137</f>
        <v>0</v>
      </c>
      <c r="S64" s="278">
        <f t="shared" si="15"/>
        <v>600000000</v>
      </c>
      <c r="V64" s="64"/>
      <c r="AD64" s="202"/>
      <c r="AE64" s="64"/>
      <c r="AF64" s="64"/>
      <c r="AJ64" s="64"/>
      <c r="AK64" s="64"/>
      <c r="AL64" s="64"/>
      <c r="CC64" s="461" t="s">
        <v>598</v>
      </c>
      <c r="CD64" s="223" t="s">
        <v>1</v>
      </c>
      <c r="CE64" s="223"/>
      <c r="CF64" s="223" t="s">
        <v>1163</v>
      </c>
      <c r="CG64" s="223"/>
      <c r="CH64" s="223" t="s">
        <v>1206</v>
      </c>
      <c r="CI64" s="223"/>
      <c r="CK64" s="476" t="s">
        <v>599</v>
      </c>
      <c r="CL64" s="477" t="s">
        <v>580</v>
      </c>
      <c r="CM64" s="488">
        <f>CM65*CM66*CM67</f>
        <v>300000000</v>
      </c>
      <c r="CN64" s="489">
        <f>CN65*CN66*CN67</f>
        <v>0</v>
      </c>
      <c r="CO64" s="490">
        <f>CO65*CO66*CO67*CG20</f>
        <v>0</v>
      </c>
      <c r="CP64" s="491">
        <f>CP65*CP66*CP67*CG20</f>
        <v>0</v>
      </c>
      <c r="CQ64" s="492">
        <f>CQ65*CQ66*CQ67*CH20</f>
        <v>0</v>
      </c>
      <c r="CR64" s="491">
        <f>CR65*CR66*CR67*CI20</f>
        <v>0</v>
      </c>
    </row>
    <row r="65" spans="9:96" ht="22.5" customHeight="1" thickTop="1">
      <c r="I65" s="210"/>
      <c r="J65" s="101"/>
      <c r="K65" s="101"/>
      <c r="L65" s="101"/>
      <c r="O65" s="71" t="s">
        <v>404</v>
      </c>
      <c r="P65" s="278">
        <f>Q140+R140</f>
        <v>1800000000</v>
      </c>
      <c r="Q65" s="278">
        <f>S140+T140</f>
        <v>0</v>
      </c>
      <c r="R65" s="278">
        <f>U140+V140</f>
        <v>0</v>
      </c>
      <c r="S65" s="278">
        <f t="shared" si="15"/>
        <v>1800000000</v>
      </c>
      <c r="V65" s="64"/>
      <c r="AD65" s="197"/>
      <c r="AE65" s="64"/>
      <c r="AF65" s="64"/>
      <c r="AJ65" s="64"/>
      <c r="AK65" s="64"/>
      <c r="AL65" s="64"/>
      <c r="CC65" s="72" t="s">
        <v>59</v>
      </c>
      <c r="CD65" s="220" t="s">
        <v>3</v>
      </c>
      <c r="CE65" s="220" t="s">
        <v>4</v>
      </c>
      <c r="CF65" s="220" t="s">
        <v>3</v>
      </c>
      <c r="CG65" s="220" t="s">
        <v>4</v>
      </c>
      <c r="CH65" s="220" t="s">
        <v>3</v>
      </c>
      <c r="CI65" s="220" t="s">
        <v>4</v>
      </c>
      <c r="CK65" s="462"/>
      <c r="CL65" s="458" t="s">
        <v>267</v>
      </c>
      <c r="CM65" s="463">
        <f>CF10</f>
        <v>1</v>
      </c>
      <c r="CN65" s="464">
        <f>CF12</f>
        <v>0</v>
      </c>
      <c r="CO65" s="465">
        <f>CG10</f>
        <v>0</v>
      </c>
      <c r="CP65" s="466">
        <f>CG12</f>
        <v>0</v>
      </c>
      <c r="CQ65" s="467">
        <f>CH12</f>
        <v>0</v>
      </c>
      <c r="CR65" s="466">
        <f>CI14</f>
        <v>0</v>
      </c>
    </row>
    <row r="66" spans="9:96" ht="22.5" customHeight="1">
      <c r="I66" s="210"/>
      <c r="J66" s="1023" t="s">
        <v>97</v>
      </c>
      <c r="K66" s="1024"/>
      <c r="L66" s="1023" t="s">
        <v>261</v>
      </c>
      <c r="M66" s="312"/>
      <c r="O66" s="71" t="s">
        <v>405</v>
      </c>
      <c r="P66" s="278">
        <f>Q143</f>
        <v>4000000000</v>
      </c>
      <c r="Q66" s="278">
        <f>S143</f>
        <v>0</v>
      </c>
      <c r="R66" s="278">
        <f>U143</f>
        <v>0</v>
      </c>
      <c r="S66" s="278">
        <f t="shared" si="15"/>
        <v>4000000000</v>
      </c>
      <c r="V66" s="64"/>
      <c r="AD66" s="64"/>
      <c r="AE66" s="64"/>
      <c r="AF66" s="64"/>
      <c r="AJ66" s="64"/>
      <c r="AK66" s="64"/>
      <c r="AL66" s="64"/>
      <c r="CC66" s="72"/>
      <c r="CD66" s="222">
        <f>'1. Parameter Table'!D35</f>
        <v>4000000000</v>
      </c>
      <c r="CE66" s="222">
        <f>'1. Parameter Table'!E35</f>
        <v>0</v>
      </c>
      <c r="CF66" s="222">
        <f>'1. Parameter Table'!F35</f>
        <v>2000000</v>
      </c>
      <c r="CG66" s="222">
        <f>'1. Parameter Table'!G35</f>
        <v>0</v>
      </c>
      <c r="CH66" s="222">
        <f>'1. Parameter Table'!H35</f>
        <v>5000000</v>
      </c>
      <c r="CI66" s="222">
        <f>'1. Parameter Table'!I35</f>
        <v>0</v>
      </c>
      <c r="CK66" s="462"/>
      <c r="CL66" s="458" t="s">
        <v>600</v>
      </c>
      <c r="CM66" s="463">
        <f>CD63</f>
        <v>300000000</v>
      </c>
      <c r="CN66" s="464">
        <f>CM66</f>
        <v>300000000</v>
      </c>
      <c r="CO66" s="465">
        <f>CF63</f>
        <v>300000</v>
      </c>
      <c r="CP66" s="466">
        <f>CO66</f>
        <v>300000</v>
      </c>
      <c r="CQ66" s="467">
        <f>CH63</f>
        <v>1300000</v>
      </c>
      <c r="CR66" s="466">
        <f>CQ66</f>
        <v>1300000</v>
      </c>
    </row>
    <row r="67" spans="9:96" ht="22.5" customHeight="1">
      <c r="I67" s="210"/>
      <c r="J67" s="1025" t="s">
        <v>107</v>
      </c>
      <c r="K67" s="249"/>
      <c r="L67" s="252">
        <f>L68+L71+L78</f>
        <v>88631620000</v>
      </c>
      <c r="O67" s="71" t="s">
        <v>406</v>
      </c>
      <c r="P67" s="278">
        <f>Q145</f>
        <v>1500000000</v>
      </c>
      <c r="Q67" s="278">
        <f>S145</f>
        <v>0</v>
      </c>
      <c r="R67" s="278">
        <f>U145</f>
        <v>0</v>
      </c>
      <c r="S67" s="278">
        <f t="shared" si="15"/>
        <v>1500000000</v>
      </c>
      <c r="V67" s="64"/>
      <c r="AD67" s="64"/>
      <c r="AE67" s="64"/>
      <c r="AF67" s="64"/>
      <c r="AJ67" s="64"/>
      <c r="AK67" s="64"/>
      <c r="AL67" s="64"/>
      <c r="CC67" s="461" t="s">
        <v>601</v>
      </c>
      <c r="CD67" s="223"/>
      <c r="CE67" s="223" t="s">
        <v>1</v>
      </c>
      <c r="CF67" s="223" t="s">
        <v>1163</v>
      </c>
      <c r="CG67" s="223" t="s">
        <v>1206</v>
      </c>
      <c r="CH67" s="493"/>
      <c r="CI67" s="493"/>
      <c r="CK67" s="462"/>
      <c r="CL67" s="458" t="s">
        <v>587</v>
      </c>
      <c r="CM67" s="470">
        <f t="shared" ref="CM67:CR67" si="16">CM54</f>
        <v>1</v>
      </c>
      <c r="CN67" s="471">
        <f t="shared" si="16"/>
        <v>1</v>
      </c>
      <c r="CO67" s="472">
        <f t="shared" si="16"/>
        <v>1</v>
      </c>
      <c r="CP67" s="473">
        <f t="shared" si="16"/>
        <v>1</v>
      </c>
      <c r="CQ67" s="474">
        <f t="shared" si="16"/>
        <v>1</v>
      </c>
      <c r="CR67" s="473">
        <f t="shared" si="16"/>
        <v>1</v>
      </c>
    </row>
    <row r="68" spans="9:96" ht="22.5" customHeight="1">
      <c r="I68" s="210"/>
      <c r="J68" s="213" t="s">
        <v>263</v>
      </c>
      <c r="K68" s="253"/>
      <c r="L68" s="252">
        <f>K69*K70</f>
        <v>45342400000</v>
      </c>
      <c r="O68" s="71" t="s">
        <v>407</v>
      </c>
      <c r="P68" s="278">
        <f>Q149+R149</f>
        <v>480000000</v>
      </c>
      <c r="Q68" s="278">
        <f>S149+T149</f>
        <v>0</v>
      </c>
      <c r="R68" s="278">
        <f>U149+V149</f>
        <v>0</v>
      </c>
      <c r="S68" s="278">
        <f t="shared" si="15"/>
        <v>480000000</v>
      </c>
      <c r="V68" s="64"/>
      <c r="AB68" s="197"/>
      <c r="AC68" s="197"/>
      <c r="AD68" s="197"/>
      <c r="AE68" s="64"/>
      <c r="AF68" s="64"/>
      <c r="AJ68" s="64"/>
      <c r="AK68" s="64"/>
      <c r="AL68" s="64"/>
      <c r="CC68" s="494"/>
      <c r="CD68" s="220" t="s">
        <v>602</v>
      </c>
      <c r="CE68" s="222">
        <v>500000000</v>
      </c>
      <c r="CF68" s="222">
        <v>500000</v>
      </c>
      <c r="CG68" s="222">
        <v>1500000</v>
      </c>
      <c r="CH68" s="495"/>
      <c r="CI68" s="495"/>
      <c r="CK68" s="476" t="s">
        <v>603</v>
      </c>
      <c r="CL68" s="477" t="s">
        <v>580</v>
      </c>
      <c r="CM68" s="496"/>
      <c r="CN68" s="479" t="s">
        <v>594</v>
      </c>
      <c r="CO68" s="490">
        <f>CO69*CO70</f>
        <v>0</v>
      </c>
      <c r="CP68" s="481" t="s">
        <v>594</v>
      </c>
      <c r="CQ68" s="492">
        <f>CQ69*CQ70</f>
        <v>0</v>
      </c>
      <c r="CR68" s="481" t="s">
        <v>594</v>
      </c>
    </row>
    <row r="69" spans="9:96" ht="22.5" customHeight="1">
      <c r="I69" s="210"/>
      <c r="J69" s="203" t="s">
        <v>280</v>
      </c>
      <c r="K69" s="254">
        <f>K10</f>
        <v>680000</v>
      </c>
      <c r="L69" s="250"/>
      <c r="O69" s="71" t="s">
        <v>408</v>
      </c>
      <c r="P69" s="278">
        <f>Q156+R156</f>
        <v>0</v>
      </c>
      <c r="Q69" s="278">
        <f>S156+T156</f>
        <v>0</v>
      </c>
      <c r="R69" s="278">
        <f>U156+V156</f>
        <v>0</v>
      </c>
      <c r="S69" s="278" t="s">
        <v>1125</v>
      </c>
      <c r="AB69" s="64"/>
      <c r="AC69" s="197"/>
      <c r="AD69" s="197"/>
      <c r="AE69" s="64"/>
      <c r="AF69" s="64"/>
      <c r="AJ69" s="64"/>
      <c r="AK69" s="197"/>
      <c r="AL69" s="197"/>
      <c r="CC69" s="305" t="s">
        <v>604</v>
      </c>
      <c r="CD69" s="223"/>
      <c r="CE69" s="223" t="s">
        <v>1</v>
      </c>
      <c r="CF69" s="223" t="s">
        <v>1163</v>
      </c>
      <c r="CG69" s="223" t="s">
        <v>1206</v>
      </c>
      <c r="CH69" s="493"/>
      <c r="CI69" s="493"/>
      <c r="CK69" s="462"/>
      <c r="CL69" s="458" t="s">
        <v>605</v>
      </c>
      <c r="CM69" s="497">
        <f>CD66</f>
        <v>4000000000</v>
      </c>
      <c r="CN69" s="498">
        <v>0</v>
      </c>
      <c r="CO69" s="499" t="b">
        <f>IF(CG12&gt;=1,CF66*CG20)</f>
        <v>0</v>
      </c>
      <c r="CP69" s="500"/>
      <c r="CQ69" s="501" t="b">
        <f>IF(CH12&gt;=1,CH66*CH20)</f>
        <v>0</v>
      </c>
      <c r="CR69" s="500"/>
    </row>
    <row r="70" spans="9:96" ht="22.5" customHeight="1">
      <c r="I70" s="210"/>
      <c r="J70" s="203" t="s">
        <v>264</v>
      </c>
      <c r="K70" s="254">
        <f>F6</f>
        <v>66680</v>
      </c>
      <c r="L70" s="250"/>
      <c r="O70" s="71" t="s">
        <v>63</v>
      </c>
      <c r="P70" s="278">
        <f>Q160</f>
        <v>136080</v>
      </c>
      <c r="Q70" s="278">
        <f>S160</f>
        <v>0</v>
      </c>
      <c r="R70" s="278">
        <f>U160</f>
        <v>0</v>
      </c>
      <c r="S70" s="278">
        <f t="shared" si="15"/>
        <v>136080</v>
      </c>
      <c r="AB70" s="197"/>
      <c r="AC70" s="64"/>
      <c r="AD70" s="64"/>
      <c r="AE70" s="64"/>
      <c r="AF70" s="64"/>
      <c r="AJ70" s="197"/>
      <c r="AK70" s="64"/>
      <c r="AL70" s="64"/>
      <c r="CC70" s="502"/>
      <c r="CD70" s="220" t="s">
        <v>19</v>
      </c>
      <c r="CE70" s="222">
        <v>2000000000</v>
      </c>
      <c r="CF70" s="222">
        <v>2000000</v>
      </c>
      <c r="CG70" s="222">
        <v>10000000</v>
      </c>
      <c r="CH70" s="495"/>
      <c r="CI70" s="495"/>
      <c r="CK70" s="462"/>
      <c r="CL70" s="458" t="s">
        <v>587</v>
      </c>
      <c r="CM70" s="470">
        <f t="shared" ref="CM70:CR70" si="17">CM54</f>
        <v>1</v>
      </c>
      <c r="CN70" s="471">
        <f t="shared" si="17"/>
        <v>1</v>
      </c>
      <c r="CO70" s="472">
        <f t="shared" si="17"/>
        <v>1</v>
      </c>
      <c r="CP70" s="473">
        <f t="shared" si="17"/>
        <v>1</v>
      </c>
      <c r="CQ70" s="474">
        <f t="shared" si="17"/>
        <v>1</v>
      </c>
      <c r="CR70" s="473">
        <f t="shared" si="17"/>
        <v>1</v>
      </c>
    </row>
    <row r="71" spans="9:96" ht="22.5" customHeight="1">
      <c r="I71" s="210"/>
      <c r="J71" s="213" t="s">
        <v>265</v>
      </c>
      <c r="K71" s="255"/>
      <c r="L71" s="252">
        <f>K72+K75</f>
        <v>43289220000</v>
      </c>
      <c r="O71" s="77" t="s">
        <v>64</v>
      </c>
      <c r="P71" s="279">
        <f>ROUND(P59/P70,0)</f>
        <v>361523</v>
      </c>
      <c r="Q71" s="279" t="e">
        <f>ROUND(Q59/Q70,0)</f>
        <v>#DIV/0!</v>
      </c>
      <c r="R71" s="279" t="e">
        <f>ROUND(R59/R70,0)</f>
        <v>#DIV/0!</v>
      </c>
      <c r="S71" s="280"/>
      <c r="AB71" s="64"/>
      <c r="AC71" s="64"/>
      <c r="AD71" s="64"/>
      <c r="AE71" s="64"/>
      <c r="AF71" s="64"/>
      <c r="AJ71" s="64"/>
      <c r="AK71" s="64"/>
      <c r="AL71" s="64"/>
      <c r="CC71" s="305" t="s">
        <v>606</v>
      </c>
      <c r="CD71" s="223"/>
      <c r="CE71" s="229" t="s">
        <v>1</v>
      </c>
      <c r="CF71" s="229" t="s">
        <v>1166</v>
      </c>
      <c r="CG71" s="229" t="s">
        <v>1206</v>
      </c>
      <c r="CH71" s="495"/>
      <c r="CI71" s="495"/>
      <c r="CK71" s="476" t="s">
        <v>607</v>
      </c>
      <c r="CL71" s="477" t="s">
        <v>580</v>
      </c>
      <c r="CM71" s="483">
        <f>CF17/(6+CF12)</f>
        <v>15000000</v>
      </c>
      <c r="CN71" s="479" t="s">
        <v>608</v>
      </c>
      <c r="CO71" s="503" t="e">
        <f>CG17/CG12</f>
        <v>#DIV/0!</v>
      </c>
      <c r="CP71" s="481" t="s">
        <v>608</v>
      </c>
      <c r="CQ71" s="504" t="e">
        <f>CH17/CH12</f>
        <v>#DIV/0!</v>
      </c>
      <c r="CR71" s="481" t="s">
        <v>608</v>
      </c>
    </row>
    <row r="72" spans="9:96" ht="22.5" customHeight="1">
      <c r="I72" s="210"/>
      <c r="J72" s="201" t="s">
        <v>1167</v>
      </c>
      <c r="K72" s="254">
        <f>K73*K74*G38</f>
        <v>23006720000</v>
      </c>
      <c r="L72" s="250"/>
      <c r="U72" s="64"/>
      <c r="AB72" s="64"/>
      <c r="AC72" s="64"/>
      <c r="AD72" s="64"/>
      <c r="AE72" s="64"/>
      <c r="AF72" s="64"/>
      <c r="AJ72" s="64"/>
      <c r="AK72" s="64"/>
      <c r="AL72" s="64"/>
      <c r="CC72" s="502"/>
      <c r="CD72" s="220" t="s">
        <v>609</v>
      </c>
      <c r="CE72" s="222">
        <v>10000000000</v>
      </c>
      <c r="CF72" s="222">
        <v>10000000</v>
      </c>
      <c r="CG72" s="222">
        <v>30000000</v>
      </c>
      <c r="CH72" s="495"/>
      <c r="CI72" s="495"/>
      <c r="CK72" s="476" t="s">
        <v>610</v>
      </c>
      <c r="CL72" s="477" t="s">
        <v>580</v>
      </c>
      <c r="CM72" s="483">
        <f>CM73*CM74*CM75</f>
        <v>500000000</v>
      </c>
      <c r="CN72" s="505">
        <f>CN73*CN74*CN75</f>
        <v>0</v>
      </c>
      <c r="CO72" s="503">
        <f>CO73*CO74*CO75*CG20</f>
        <v>0</v>
      </c>
      <c r="CP72" s="506">
        <f>CP73*CP74*CP75*CG20</f>
        <v>0</v>
      </c>
      <c r="CQ72" s="504">
        <f>CQ73*CQ74*CQ75*CH20</f>
        <v>0</v>
      </c>
      <c r="CR72" s="506">
        <f>CR73*CR74*CR75*CI20</f>
        <v>0</v>
      </c>
    </row>
    <row r="73" spans="9:96" ht="22.5" customHeight="1">
      <c r="I73" s="210"/>
      <c r="J73" s="191" t="s">
        <v>1168</v>
      </c>
      <c r="K73" s="254">
        <f>L10</f>
        <v>640</v>
      </c>
      <c r="L73" s="250"/>
      <c r="T73" s="64"/>
      <c r="U73" s="64"/>
      <c r="AB73" s="64"/>
      <c r="AC73" s="64"/>
      <c r="AD73" s="64"/>
      <c r="AE73" s="64"/>
      <c r="AF73" s="64"/>
      <c r="AJ73" s="64"/>
      <c r="AK73" s="64"/>
      <c r="AL73" s="64"/>
      <c r="CC73" s="305" t="s">
        <v>611</v>
      </c>
      <c r="CD73" s="223" t="s">
        <v>612</v>
      </c>
      <c r="CE73" s="229">
        <v>25</v>
      </c>
      <c r="CF73" s="507"/>
      <c r="CG73" s="495"/>
      <c r="CH73" s="495"/>
      <c r="CI73" s="495"/>
      <c r="CK73" s="508"/>
      <c r="CL73" s="458" t="s">
        <v>613</v>
      </c>
      <c r="CM73" s="463">
        <f t="shared" ref="CM73:CR73" si="18">CM65</f>
        <v>1</v>
      </c>
      <c r="CN73" s="464">
        <f t="shared" si="18"/>
        <v>0</v>
      </c>
      <c r="CO73" s="465">
        <f t="shared" si="18"/>
        <v>0</v>
      </c>
      <c r="CP73" s="466">
        <f t="shared" si="18"/>
        <v>0</v>
      </c>
      <c r="CQ73" s="467">
        <f t="shared" si="18"/>
        <v>0</v>
      </c>
      <c r="CR73" s="466">
        <f t="shared" si="18"/>
        <v>0</v>
      </c>
    </row>
    <row r="74" spans="9:96" ht="22.5" customHeight="1">
      <c r="I74" s="210"/>
      <c r="J74" s="191" t="s">
        <v>1169</v>
      </c>
      <c r="K74" s="254">
        <f>G6</f>
        <v>32680</v>
      </c>
      <c r="L74" s="250"/>
      <c r="T74" s="64"/>
      <c r="U74" s="64"/>
      <c r="AA74" s="995"/>
      <c r="AB74"/>
      <c r="AC74"/>
      <c r="AG74" s="66"/>
      <c r="AI74" s="66"/>
      <c r="AM74"/>
      <c r="AO74"/>
      <c r="AP74"/>
      <c r="AQ74"/>
      <c r="AR74"/>
      <c r="AS74"/>
      <c r="AT74"/>
      <c r="AU74"/>
      <c r="AW74"/>
      <c r="AX74"/>
      <c r="AY74"/>
      <c r="AZ74"/>
      <c r="BA74"/>
      <c r="BB74"/>
      <c r="BC74"/>
      <c r="BD74"/>
      <c r="BE74"/>
      <c r="BF74" s="177"/>
      <c r="BG74" s="177"/>
      <c r="BH74"/>
      <c r="BI74"/>
      <c r="BJ74"/>
      <c r="BK74"/>
      <c r="BL74"/>
      <c r="BM74"/>
      <c r="BN74"/>
      <c r="BO74"/>
      <c r="BP74"/>
      <c r="BQ74" s="1065"/>
      <c r="BR74"/>
      <c r="CA74"/>
      <c r="CB74" s="1065"/>
      <c r="CC74" s="442"/>
      <c r="CD74" s="220" t="s">
        <v>60</v>
      </c>
      <c r="CE74" s="220" t="s">
        <v>25</v>
      </c>
      <c r="CF74" s="230" t="s">
        <v>61</v>
      </c>
      <c r="CG74" s="509"/>
      <c r="CH74" s="509"/>
      <c r="CI74" s="509"/>
      <c r="CK74" s="508"/>
      <c r="CL74" s="458" t="s">
        <v>614</v>
      </c>
      <c r="CM74" s="463">
        <f>CE68</f>
        <v>500000000</v>
      </c>
      <c r="CN74" s="464">
        <f>CM74</f>
        <v>500000000</v>
      </c>
      <c r="CO74" s="465">
        <f>CF68</f>
        <v>500000</v>
      </c>
      <c r="CP74" s="466">
        <f>CO74</f>
        <v>500000</v>
      </c>
      <c r="CQ74" s="467">
        <f>CG68</f>
        <v>1500000</v>
      </c>
      <c r="CR74" s="466">
        <f>CQ74</f>
        <v>1500000</v>
      </c>
    </row>
    <row r="75" spans="9:96" ht="22.5" customHeight="1">
      <c r="I75" s="210"/>
      <c r="J75" s="201" t="s">
        <v>1216</v>
      </c>
      <c r="K75" s="254">
        <f>K76*K77*H38</f>
        <v>20282500000</v>
      </c>
      <c r="L75" s="250"/>
      <c r="T75" s="64"/>
      <c r="U75" s="64"/>
      <c r="AA75" s="995"/>
      <c r="AB75"/>
      <c r="AC75"/>
      <c r="AG75" s="66"/>
      <c r="AI75" s="66"/>
      <c r="AM75"/>
      <c r="AO75"/>
      <c r="AP75"/>
      <c r="AQ75"/>
      <c r="AR75"/>
      <c r="AS75"/>
      <c r="AT75"/>
      <c r="AU75"/>
      <c r="AW75"/>
      <c r="AX75"/>
      <c r="AY75"/>
      <c r="AZ75"/>
      <c r="BA75"/>
      <c r="BB75"/>
      <c r="BC75"/>
      <c r="BD75"/>
      <c r="BE75"/>
      <c r="BF75" s="177"/>
      <c r="BG75" s="177"/>
      <c r="BH75"/>
      <c r="BI75"/>
      <c r="BJ75"/>
      <c r="BK75"/>
      <c r="BL75"/>
      <c r="BM75"/>
      <c r="BN75"/>
      <c r="BO75"/>
      <c r="BP75"/>
      <c r="BQ75" s="1065"/>
      <c r="BR75"/>
      <c r="CA75"/>
      <c r="CB75" s="1065"/>
      <c r="CC75" s="442" t="s">
        <v>27</v>
      </c>
      <c r="CD75" s="222">
        <v>10000000000</v>
      </c>
      <c r="CE75" s="231">
        <v>0.04</v>
      </c>
      <c r="CF75" s="222">
        <f>CD75*CE75</f>
        <v>400000000</v>
      </c>
      <c r="CG75" s="509"/>
      <c r="CH75" s="509"/>
      <c r="CI75" s="509"/>
      <c r="CK75" s="508"/>
      <c r="CL75" s="458" t="s">
        <v>587</v>
      </c>
      <c r="CM75" s="470">
        <f t="shared" ref="CM75:CR75" si="19">CM70</f>
        <v>1</v>
      </c>
      <c r="CN75" s="471">
        <f t="shared" si="19"/>
        <v>1</v>
      </c>
      <c r="CO75" s="472">
        <f t="shared" si="19"/>
        <v>1</v>
      </c>
      <c r="CP75" s="473">
        <f t="shared" si="19"/>
        <v>1</v>
      </c>
      <c r="CQ75" s="474">
        <f t="shared" si="19"/>
        <v>1</v>
      </c>
      <c r="CR75" s="473">
        <f t="shared" si="19"/>
        <v>1</v>
      </c>
    </row>
    <row r="76" spans="9:96" ht="22.5" customHeight="1">
      <c r="I76" s="210"/>
      <c r="J76" s="191" t="s">
        <v>1217</v>
      </c>
      <c r="K76" s="254">
        <f>M10</f>
        <v>3800</v>
      </c>
      <c r="L76" s="250"/>
      <c r="AA76" s="995"/>
      <c r="AB76"/>
      <c r="AC76"/>
      <c r="AG76" s="66"/>
      <c r="AI76" s="66"/>
      <c r="AM76"/>
      <c r="AO76"/>
      <c r="AP76"/>
      <c r="AQ76"/>
      <c r="AR76"/>
      <c r="AS76"/>
      <c r="AT76"/>
      <c r="AU76"/>
      <c r="AW76"/>
      <c r="AX76"/>
      <c r="AY76"/>
      <c r="AZ76"/>
      <c r="BA76"/>
      <c r="BB76"/>
      <c r="BC76"/>
      <c r="BD76"/>
      <c r="BE76"/>
      <c r="BF76" s="177"/>
      <c r="BG76" s="177"/>
      <c r="BH76"/>
      <c r="BI76"/>
      <c r="BJ76"/>
      <c r="BK76"/>
      <c r="BL76"/>
      <c r="BM76"/>
      <c r="BN76"/>
      <c r="BO76"/>
      <c r="BP76"/>
      <c r="BQ76" s="1065"/>
      <c r="BR76"/>
      <c r="CA76"/>
      <c r="CB76" s="1065"/>
      <c r="CC76" s="442" t="s">
        <v>1170</v>
      </c>
      <c r="CD76" s="222">
        <v>11000000000</v>
      </c>
      <c r="CE76" s="231">
        <v>0.04</v>
      </c>
      <c r="CF76" s="222">
        <f>CD76*CE76</f>
        <v>440000000</v>
      </c>
      <c r="CG76" s="509"/>
      <c r="CH76" s="509"/>
      <c r="CI76" s="509"/>
      <c r="CK76" s="510" t="s">
        <v>615</v>
      </c>
      <c r="CL76" s="511"/>
      <c r="CM76" s="512">
        <f t="shared" ref="CM76:CR76" si="20">CM52</f>
        <v>21600</v>
      </c>
      <c r="CN76" s="513">
        <f t="shared" si="20"/>
        <v>0</v>
      </c>
      <c r="CO76" s="514">
        <f t="shared" si="20"/>
        <v>0</v>
      </c>
      <c r="CP76" s="515">
        <f t="shared" si="20"/>
        <v>0</v>
      </c>
      <c r="CQ76" s="516">
        <f t="shared" si="20"/>
        <v>0</v>
      </c>
      <c r="CR76" s="515">
        <f t="shared" si="20"/>
        <v>0</v>
      </c>
    </row>
    <row r="77" spans="9:96" ht="22.5" customHeight="1">
      <c r="I77" s="210"/>
      <c r="J77" s="191" t="s">
        <v>1218</v>
      </c>
      <c r="K77" s="254">
        <f>H6</f>
        <v>30500</v>
      </c>
      <c r="L77" s="250"/>
      <c r="M77" s="326"/>
      <c r="AA77" s="995"/>
      <c r="AB77"/>
      <c r="AC77"/>
      <c r="AG77" s="66"/>
      <c r="AI77" s="66"/>
      <c r="AM77"/>
      <c r="AO77"/>
      <c r="AP77"/>
      <c r="AQ77"/>
      <c r="AR77"/>
      <c r="AS77"/>
      <c r="AT77"/>
      <c r="AU77"/>
      <c r="AW77"/>
      <c r="AX77"/>
      <c r="AY77"/>
      <c r="AZ77"/>
      <c r="BA77"/>
      <c r="BB77"/>
      <c r="BC77"/>
      <c r="BD77"/>
      <c r="BE77"/>
      <c r="BF77" s="177"/>
      <c r="BG77" s="177"/>
      <c r="BH77"/>
      <c r="BI77"/>
      <c r="BJ77"/>
      <c r="BK77"/>
      <c r="BL77"/>
      <c r="BM77"/>
      <c r="BN77"/>
      <c r="BO77"/>
      <c r="BP77"/>
      <c r="BQ77" s="1065"/>
      <c r="BR77"/>
      <c r="CA77"/>
      <c r="CB77" s="1065"/>
      <c r="CC77" s="442" t="s">
        <v>1212</v>
      </c>
      <c r="CD77" s="222">
        <v>5250000000</v>
      </c>
      <c r="CE77" s="231">
        <v>0.04</v>
      </c>
      <c r="CF77" s="222">
        <f>CD77*CE77</f>
        <v>210000000</v>
      </c>
      <c r="CG77" s="509"/>
      <c r="CH77" s="509"/>
      <c r="CI77" s="509"/>
      <c r="CK77" s="510" t="s">
        <v>616</v>
      </c>
      <c r="CL77" s="511"/>
      <c r="CM77" s="512">
        <f t="shared" ref="CM77:CR77" si="21">CM49/CM76</f>
        <v>339583.33333333331</v>
      </c>
      <c r="CN77" s="513" t="e">
        <f t="shared" si="21"/>
        <v>#DIV/0!</v>
      </c>
      <c r="CO77" s="514" t="e">
        <f t="shared" si="21"/>
        <v>#DIV/0!</v>
      </c>
      <c r="CP77" s="515" t="e">
        <f t="shared" si="21"/>
        <v>#DIV/0!</v>
      </c>
      <c r="CQ77" s="516" t="e">
        <f t="shared" si="21"/>
        <v>#DIV/0!</v>
      </c>
      <c r="CR77" s="515" t="e">
        <f t="shared" si="21"/>
        <v>#DIV/0!</v>
      </c>
    </row>
    <row r="78" spans="9:96" ht="22.5" customHeight="1">
      <c r="I78" s="210"/>
      <c r="J78" s="214" t="s">
        <v>288</v>
      </c>
      <c r="K78" s="256"/>
      <c r="L78" s="252">
        <f>K79+K81+K83</f>
        <v>0</v>
      </c>
      <c r="AA78" s="995"/>
      <c r="AB78"/>
      <c r="AC78"/>
      <c r="AG78" s="66"/>
      <c r="AI78" s="66"/>
      <c r="AM78"/>
      <c r="AO78"/>
      <c r="AP78"/>
      <c r="AQ78"/>
      <c r="AR78"/>
      <c r="AS78"/>
      <c r="AT78"/>
      <c r="AU78"/>
      <c r="AW78"/>
      <c r="AX78"/>
      <c r="AY78"/>
      <c r="AZ78"/>
      <c r="BA78"/>
      <c r="BB78"/>
      <c r="BC78"/>
      <c r="BD78"/>
      <c r="BE78"/>
      <c r="BF78" s="177"/>
      <c r="BG78" s="177"/>
      <c r="BH78"/>
      <c r="BI78"/>
      <c r="BJ78"/>
      <c r="BK78"/>
      <c r="BL78"/>
      <c r="BM78"/>
      <c r="BN78"/>
      <c r="BO78"/>
      <c r="BP78"/>
      <c r="BQ78" s="1065"/>
      <c r="BR78"/>
      <c r="CA78"/>
      <c r="CB78" s="1065"/>
      <c r="CC78" s="517" t="s">
        <v>617</v>
      </c>
      <c r="CD78" s="223" t="s">
        <v>612</v>
      </c>
      <c r="CE78" s="223">
        <v>20</v>
      </c>
      <c r="CF78" s="223"/>
      <c r="CG78" s="509"/>
      <c r="CH78" s="509"/>
      <c r="CI78" s="509"/>
      <c r="CK78" s="75"/>
      <c r="CL78" s="75"/>
      <c r="CM78" s="75"/>
      <c r="CN78" s="75"/>
      <c r="CO78" s="75"/>
      <c r="CP78" s="75"/>
      <c r="CQ78" s="75"/>
    </row>
    <row r="79" spans="9:96" ht="21">
      <c r="I79" s="210"/>
      <c r="J79" s="191" t="s">
        <v>266</v>
      </c>
      <c r="K79" s="254">
        <f>K80*P211</f>
        <v>0</v>
      </c>
      <c r="L79" s="254"/>
      <c r="AA79" s="995"/>
      <c r="AB79"/>
      <c r="AC79"/>
      <c r="AG79" s="66"/>
      <c r="AI79" s="66"/>
      <c r="AM79"/>
      <c r="AO79"/>
      <c r="AP79"/>
      <c r="AQ79"/>
      <c r="AR79"/>
      <c r="AS79"/>
      <c r="AT79"/>
      <c r="AU79"/>
      <c r="AW79"/>
      <c r="AX79"/>
      <c r="AY79"/>
      <c r="AZ79"/>
      <c r="BA79"/>
      <c r="BB79"/>
      <c r="BC79"/>
      <c r="BD79"/>
      <c r="BE79"/>
      <c r="BF79" s="177"/>
      <c r="BG79" s="177"/>
      <c r="BH79"/>
      <c r="BI79"/>
      <c r="BJ79"/>
      <c r="BK79"/>
      <c r="BL79"/>
      <c r="BM79"/>
      <c r="BN79"/>
      <c r="BO79"/>
      <c r="BP79"/>
      <c r="BQ79" s="1065"/>
      <c r="BR79"/>
      <c r="CA79"/>
      <c r="CB79" s="1065"/>
      <c r="CC79" s="442"/>
      <c r="CD79" s="220" t="s">
        <v>60</v>
      </c>
      <c r="CE79" s="220" t="s">
        <v>25</v>
      </c>
      <c r="CF79" s="220" t="s">
        <v>61</v>
      </c>
      <c r="CG79" s="509"/>
      <c r="CH79" s="509"/>
      <c r="CI79" s="509"/>
      <c r="CK79" s="75"/>
      <c r="CL79" s="75"/>
      <c r="CM79" s="75"/>
      <c r="CN79" s="75"/>
      <c r="CO79" s="75"/>
      <c r="CP79" s="75"/>
      <c r="CQ79" s="75"/>
    </row>
    <row r="80" spans="9:96" ht="25.5" customHeight="1">
      <c r="J80" s="191" t="s">
        <v>450</v>
      </c>
      <c r="K80" s="254">
        <f>F8</f>
        <v>0</v>
      </c>
      <c r="L80" s="254"/>
      <c r="M80" s="327"/>
      <c r="Y80" s="66"/>
      <c r="Z80" s="66"/>
      <c r="CC80" s="442" t="s">
        <v>27</v>
      </c>
      <c r="CD80" s="222">
        <v>2000000000</v>
      </c>
      <c r="CE80" s="222">
        <v>0.05</v>
      </c>
      <c r="CF80" s="222">
        <f>CD80*CE80</f>
        <v>100000000</v>
      </c>
      <c r="CG80" s="509"/>
      <c r="CH80" s="509"/>
      <c r="CI80" s="509"/>
      <c r="CK80" s="75"/>
      <c r="CL80" s="75"/>
      <c r="CM80" s="518"/>
      <c r="CN80" s="75"/>
      <c r="CO80" s="75"/>
      <c r="CP80" s="75"/>
      <c r="CQ80" s="75"/>
    </row>
    <row r="81" spans="2:95" ht="25.5" customHeight="1">
      <c r="J81" s="191" t="s">
        <v>1171</v>
      </c>
      <c r="K81" s="254">
        <f>K82*P211</f>
        <v>0</v>
      </c>
      <c r="L81" s="254"/>
      <c r="M81" s="327"/>
      <c r="N81" s="1020"/>
      <c r="Y81" s="995"/>
      <c r="Z81" s="995"/>
      <c r="CC81" s="442" t="s">
        <v>1170</v>
      </c>
      <c r="CD81" s="222">
        <v>2200000000</v>
      </c>
      <c r="CE81" s="222">
        <v>0.05</v>
      </c>
      <c r="CF81" s="222">
        <f>CD81*CE81</f>
        <v>110000000</v>
      </c>
      <c r="CG81" s="509"/>
      <c r="CH81" s="509"/>
      <c r="CI81" s="509"/>
      <c r="CK81" s="75"/>
      <c r="CL81" s="75"/>
      <c r="CM81" s="75"/>
      <c r="CN81" s="75"/>
      <c r="CO81" s="75"/>
      <c r="CP81" s="75"/>
      <c r="CQ81" s="75"/>
    </row>
    <row r="82" spans="2:95" ht="19.5" customHeight="1">
      <c r="J82" s="191" t="s">
        <v>1172</v>
      </c>
      <c r="K82" s="254">
        <f>G8</f>
        <v>0</v>
      </c>
      <c r="L82" s="254"/>
      <c r="M82" s="328"/>
      <c r="N82" s="1066"/>
      <c r="O82" s="1066"/>
      <c r="P82" s="1066"/>
      <c r="Q82" s="1066"/>
      <c r="R82" s="1021"/>
      <c r="S82" s="1021"/>
      <c r="T82" s="1021"/>
      <c r="U82" s="1021"/>
      <c r="V82" s="1021"/>
      <c r="CC82" s="442" t="s">
        <v>1212</v>
      </c>
      <c r="CD82" s="222">
        <v>1750000000</v>
      </c>
      <c r="CE82" s="222">
        <v>0.05</v>
      </c>
      <c r="CF82" s="222">
        <f>CD82*CE82</f>
        <v>87500000</v>
      </c>
      <c r="CG82" s="509"/>
      <c r="CH82" s="509"/>
      <c r="CI82" s="509"/>
      <c r="CK82" s="75"/>
      <c r="CL82" s="75"/>
      <c r="CM82" s="75"/>
      <c r="CN82" s="75"/>
      <c r="CO82" s="75"/>
      <c r="CP82" s="75"/>
      <c r="CQ82" s="75"/>
    </row>
    <row r="83" spans="2:95" ht="19.5" customHeight="1" thickBot="1">
      <c r="J83" s="191" t="s">
        <v>1219</v>
      </c>
      <c r="K83" s="254">
        <f>K84*P211</f>
        <v>0</v>
      </c>
      <c r="L83" s="254"/>
      <c r="O83" s="1020"/>
      <c r="P83" s="1020"/>
      <c r="Q83" s="1020"/>
      <c r="R83" s="995"/>
      <c r="S83" s="995"/>
      <c r="T83" s="995"/>
      <c r="U83" s="995"/>
      <c r="V83" s="995"/>
      <c r="CC83" s="305" t="s">
        <v>618</v>
      </c>
      <c r="CD83" s="223" t="s">
        <v>619</v>
      </c>
      <c r="CE83" s="519">
        <v>0.6</v>
      </c>
      <c r="CF83" s="520"/>
      <c r="CG83" s="509"/>
      <c r="CH83" s="509"/>
      <c r="CI83" s="509"/>
      <c r="CK83" s="75"/>
      <c r="CL83" s="75"/>
      <c r="CM83" s="75"/>
      <c r="CN83" s="75"/>
      <c r="CO83" s="75"/>
      <c r="CP83" s="75"/>
      <c r="CQ83" s="75"/>
    </row>
    <row r="84" spans="2:95" ht="19.5" customHeight="1" thickTop="1" thickBot="1">
      <c r="B84" s="212"/>
      <c r="J84" s="191" t="s">
        <v>1220</v>
      </c>
      <c r="K84" s="254">
        <f>H8</f>
        <v>0</v>
      </c>
      <c r="L84" s="254"/>
      <c r="O84" s="1150" t="s">
        <v>912</v>
      </c>
      <c r="P84" s="1150"/>
      <c r="Q84" s="1150"/>
      <c r="T84" s="64"/>
      <c r="U84" s="64"/>
      <c r="CC84" s="305" t="s">
        <v>620</v>
      </c>
      <c r="CD84" s="223" t="s">
        <v>621</v>
      </c>
      <c r="CE84" s="519">
        <v>0.3</v>
      </c>
      <c r="CF84" s="520"/>
      <c r="CG84" s="509"/>
      <c r="CH84" s="509"/>
      <c r="CI84" s="509"/>
      <c r="CK84" s="75"/>
      <c r="CL84" s="75"/>
      <c r="CM84" s="75"/>
      <c r="CN84" s="75"/>
      <c r="CO84" s="75"/>
      <c r="CP84" s="75"/>
      <c r="CQ84" s="75"/>
    </row>
    <row r="85" spans="2:95" ht="19.5" customHeight="1" thickTop="1">
      <c r="J85" s="204" t="s">
        <v>140</v>
      </c>
      <c r="K85" s="251"/>
      <c r="L85" s="252">
        <f>L86+L87-L88</f>
        <v>46923785929</v>
      </c>
      <c r="O85" s="1022"/>
      <c r="P85" s="1022"/>
      <c r="Q85" s="1022"/>
      <c r="T85" s="64"/>
      <c r="U85" s="64"/>
      <c r="CC85" s="305" t="s">
        <v>622</v>
      </c>
      <c r="CD85" s="223" t="s">
        <v>623</v>
      </c>
      <c r="CE85" s="519">
        <v>0.5</v>
      </c>
      <c r="CF85" s="520"/>
      <c r="CG85" s="509"/>
      <c r="CH85" s="509"/>
      <c r="CI85" s="509"/>
      <c r="CK85" s="75"/>
      <c r="CL85" s="75"/>
      <c r="CM85" s="75"/>
      <c r="CN85" s="75"/>
      <c r="CO85" s="75"/>
      <c r="CP85" s="75"/>
      <c r="CQ85" s="75"/>
    </row>
    <row r="86" spans="2:95" ht="19.5" customHeight="1">
      <c r="J86" s="213" t="s">
        <v>289</v>
      </c>
      <c r="K86" s="255"/>
      <c r="L86" s="257">
        <f>P11</f>
        <v>5564520000</v>
      </c>
      <c r="O86" s="324" t="s">
        <v>434</v>
      </c>
      <c r="P86" s="277" t="s">
        <v>1</v>
      </c>
      <c r="Q86" s="277" t="s">
        <v>1166</v>
      </c>
      <c r="R86" s="277" t="s">
        <v>1206</v>
      </c>
      <c r="S86" s="277" t="s">
        <v>262</v>
      </c>
      <c r="T86" s="64"/>
      <c r="U86" s="64"/>
      <c r="CC86" s="66"/>
      <c r="CD86" s="66"/>
      <c r="CE86" s="66"/>
      <c r="CK86" s="75"/>
      <c r="CL86" s="75"/>
      <c r="CM86" s="75"/>
      <c r="CN86" s="75"/>
      <c r="CO86" s="75"/>
      <c r="CP86" s="75"/>
      <c r="CQ86" s="75"/>
    </row>
    <row r="87" spans="2:95" ht="19.5" customHeight="1">
      <c r="J87" s="213" t="s">
        <v>290</v>
      </c>
      <c r="K87" s="255"/>
      <c r="L87" s="257">
        <f>P59+Q59+R59</f>
        <v>49196000000</v>
      </c>
      <c r="O87" s="125" t="s">
        <v>360</v>
      </c>
      <c r="P87" s="278">
        <f>L100</f>
        <v>2813406000</v>
      </c>
      <c r="Q87" s="278">
        <f>L103</f>
        <v>732966300</v>
      </c>
      <c r="R87" s="278">
        <f>L105</f>
        <v>388694250</v>
      </c>
      <c r="S87" s="278">
        <f>SUM(P87:R87)</f>
        <v>3935066550</v>
      </c>
      <c r="T87" s="64"/>
      <c r="U87" s="64"/>
      <c r="CC87" s="75"/>
      <c r="CD87" s="75"/>
      <c r="CE87" s="75"/>
      <c r="CF87" s="75"/>
      <c r="CG87" s="75"/>
      <c r="CH87" s="75"/>
      <c r="CI87" s="75"/>
      <c r="CJ87" s="75"/>
      <c r="CK87" s="75"/>
      <c r="CL87" s="75"/>
      <c r="CM87" s="75"/>
      <c r="CN87" s="75"/>
      <c r="CO87" s="75"/>
      <c r="CP87" s="75"/>
      <c r="CQ87" s="75"/>
    </row>
    <row r="88" spans="2:95" ht="19.5" customHeight="1">
      <c r="J88" s="213" t="s">
        <v>291</v>
      </c>
      <c r="K88" s="255"/>
      <c r="L88" s="257">
        <f>K93+K89</f>
        <v>7836734071</v>
      </c>
      <c r="O88" s="125" t="s">
        <v>361</v>
      </c>
      <c r="P88" s="278">
        <f>K108</f>
        <v>2200000000</v>
      </c>
      <c r="Q88" s="278">
        <f>K112</f>
        <v>1573000000</v>
      </c>
      <c r="R88" s="278">
        <f>K116</f>
        <v>750750000</v>
      </c>
      <c r="S88" s="278">
        <f t="shared" ref="S88:S98" si="22">SUM(P88:R88)</f>
        <v>4523750000</v>
      </c>
      <c r="T88" s="64"/>
      <c r="U88" s="64"/>
      <c r="CC88" s="75"/>
      <c r="CD88" s="75"/>
      <c r="CE88" s="75"/>
      <c r="CF88" s="75"/>
      <c r="CG88" s="75"/>
      <c r="CH88" s="75"/>
      <c r="CI88" s="75"/>
      <c r="CJ88" s="75"/>
      <c r="CK88" s="75"/>
      <c r="CL88" s="75"/>
      <c r="CM88" s="75"/>
      <c r="CN88" s="75"/>
      <c r="CO88" s="75"/>
      <c r="CP88" s="75"/>
      <c r="CQ88" s="75"/>
    </row>
    <row r="89" spans="2:95" ht="19.5" customHeight="1">
      <c r="F89" s="1207"/>
      <c r="G89" s="1206"/>
      <c r="J89" s="331" t="s">
        <v>386</v>
      </c>
      <c r="K89" s="1141">
        <f>K90*Q109*F37+K91*S109*G37*G38+K92*U127*H37*H38</f>
        <v>0</v>
      </c>
      <c r="L89" s="258"/>
      <c r="O89" s="125" t="s">
        <v>435</v>
      </c>
      <c r="P89" s="278">
        <f>L123*(F6/SUM(F6:H6))</f>
        <v>770214076.69798231</v>
      </c>
      <c r="Q89" s="278">
        <f>L123*(G6/SUM(F6:H6))</f>
        <v>377483443.70860928</v>
      </c>
      <c r="R89" s="278">
        <f>L123*(H6/SUM(F6:H6))</f>
        <v>352302479.59340829</v>
      </c>
      <c r="S89" s="278">
        <f t="shared" si="22"/>
        <v>1500000000</v>
      </c>
      <c r="T89" s="64"/>
      <c r="U89" s="64"/>
      <c r="CC89" s="75"/>
      <c r="CD89" s="75"/>
      <c r="CE89" s="75"/>
      <c r="CF89" s="75"/>
      <c r="CG89" s="75"/>
      <c r="CH89" s="75"/>
      <c r="CI89" s="75"/>
      <c r="CJ89" s="75"/>
      <c r="CK89" s="75"/>
      <c r="CL89" s="75"/>
      <c r="CM89" s="75"/>
      <c r="CN89" s="75"/>
      <c r="CO89" s="75"/>
      <c r="CP89" s="75"/>
      <c r="CQ89" s="75"/>
    </row>
    <row r="90" spans="2:95" ht="19.5" customHeight="1">
      <c r="F90" s="1207"/>
      <c r="G90" s="1206"/>
      <c r="J90" s="331" t="s">
        <v>389</v>
      </c>
      <c r="K90" s="254">
        <f>F17</f>
        <v>0</v>
      </c>
      <c r="L90" s="258"/>
      <c r="O90" s="176" t="s">
        <v>202</v>
      </c>
      <c r="P90" s="278">
        <f>K125</f>
        <v>3200000000</v>
      </c>
      <c r="Q90" s="278">
        <f>K126</f>
        <v>2090000000</v>
      </c>
      <c r="R90" s="278">
        <f>K128</f>
        <v>2100000000</v>
      </c>
      <c r="S90" s="278">
        <f t="shared" si="22"/>
        <v>7390000000</v>
      </c>
      <c r="U90" s="64"/>
      <c r="CC90" s="75"/>
      <c r="CD90" s="75"/>
      <c r="CE90" s="75"/>
      <c r="CF90" s="75"/>
      <c r="CG90" s="75"/>
      <c r="CH90" s="75"/>
      <c r="CI90" s="75"/>
      <c r="CJ90" s="75"/>
      <c r="CK90" s="75"/>
      <c r="CL90" s="75"/>
      <c r="CM90" s="75"/>
      <c r="CN90" s="75"/>
      <c r="CO90" s="75"/>
      <c r="CP90" s="75"/>
      <c r="CQ90" s="75"/>
    </row>
    <row r="91" spans="2:95" ht="19.5" customHeight="1">
      <c r="B91" s="90" t="s">
        <v>988</v>
      </c>
      <c r="F91" s="1207"/>
      <c r="G91" s="1208"/>
      <c r="H91" s="1209"/>
      <c r="J91" s="331" t="s">
        <v>1173</v>
      </c>
      <c r="K91" s="254">
        <f>G17</f>
        <v>0</v>
      </c>
      <c r="L91" s="258"/>
      <c r="O91" s="125" t="s">
        <v>208</v>
      </c>
      <c r="P91" s="278">
        <f>K131</f>
        <v>1200000000</v>
      </c>
      <c r="Q91" s="278">
        <f>K134</f>
        <v>660000000</v>
      </c>
      <c r="R91" s="278">
        <f>K137</f>
        <v>393750000</v>
      </c>
      <c r="S91" s="278">
        <f t="shared" si="22"/>
        <v>2253750000</v>
      </c>
      <c r="V91" s="64"/>
      <c r="CC91" s="75"/>
      <c r="CD91" s="75"/>
      <c r="CE91" s="75"/>
      <c r="CF91" s="75"/>
      <c r="CG91" s="75"/>
      <c r="CH91" s="75"/>
      <c r="CI91" s="75"/>
      <c r="CJ91" s="75"/>
      <c r="CK91" s="75"/>
      <c r="CL91" s="75"/>
      <c r="CM91" s="75"/>
      <c r="CN91" s="75"/>
      <c r="CO91" s="75"/>
      <c r="CP91" s="75"/>
      <c r="CQ91" s="75"/>
    </row>
    <row r="92" spans="2:95" ht="19.5" customHeight="1">
      <c r="H92" s="1209"/>
      <c r="J92" s="331" t="s">
        <v>1221</v>
      </c>
      <c r="K92" s="254">
        <f>H17</f>
        <v>0</v>
      </c>
      <c r="L92" s="258"/>
      <c r="M92" s="329"/>
      <c r="O92" s="125" t="s">
        <v>359</v>
      </c>
      <c r="P92" s="278">
        <f>K141</f>
        <v>760800000</v>
      </c>
      <c r="Q92" s="278">
        <f>K143</f>
        <v>1500000000</v>
      </c>
      <c r="R92" s="278">
        <f>K146</f>
        <v>1200000000</v>
      </c>
      <c r="S92" s="278">
        <f t="shared" si="22"/>
        <v>3460800000</v>
      </c>
      <c r="CC92" s="75"/>
      <c r="CD92" s="75"/>
      <c r="CE92" s="75"/>
      <c r="CF92" s="75"/>
      <c r="CG92" s="75"/>
      <c r="CH92" s="75"/>
      <c r="CI92" s="75"/>
      <c r="CJ92" s="75"/>
      <c r="CK92" s="75"/>
      <c r="CL92" s="75"/>
      <c r="CM92" s="75"/>
      <c r="CN92" s="75"/>
      <c r="CO92" s="75"/>
      <c r="CP92" s="75"/>
      <c r="CQ92" s="75"/>
    </row>
    <row r="93" spans="2:95" ht="19.5" customHeight="1">
      <c r="H93" s="1209"/>
      <c r="J93" s="331" t="s">
        <v>387</v>
      </c>
      <c r="K93" s="301">
        <f>(K94+K95+K96)*P71</f>
        <v>7836734071</v>
      </c>
      <c r="L93" s="258"/>
      <c r="O93" s="125" t="s">
        <v>216</v>
      </c>
      <c r="P93" s="278">
        <f>K150</f>
        <v>725960000</v>
      </c>
      <c r="Q93" s="278">
        <f>K152</f>
        <v>155232000</v>
      </c>
      <c r="R93" s="278">
        <f>K154</f>
        <v>0</v>
      </c>
      <c r="S93" s="278">
        <f t="shared" si="22"/>
        <v>881192000</v>
      </c>
      <c r="CC93" s="75"/>
      <c r="CD93" s="75"/>
      <c r="CE93" s="75"/>
      <c r="CF93" s="75"/>
      <c r="CG93" s="75"/>
      <c r="CH93" s="75"/>
      <c r="CI93" s="75"/>
      <c r="CJ93" s="75"/>
      <c r="CK93" s="75"/>
      <c r="CL93" s="75"/>
      <c r="CM93" s="75"/>
      <c r="CN93" s="75"/>
      <c r="CO93" s="75"/>
      <c r="CP93" s="75"/>
      <c r="CQ93" s="75"/>
    </row>
    <row r="94" spans="2:95" ht="19.5" customHeight="1">
      <c r="F94" s="1237" t="s">
        <v>1161</v>
      </c>
      <c r="G94" s="1237"/>
      <c r="H94" s="1238"/>
      <c r="J94" s="203" t="s">
        <v>388</v>
      </c>
      <c r="K94" s="254">
        <f>F7</f>
        <v>18149</v>
      </c>
      <c r="L94" s="254"/>
      <c r="M94" s="325"/>
      <c r="O94" s="125" t="s">
        <v>219</v>
      </c>
      <c r="P94" s="278">
        <f>K157</f>
        <v>500000000</v>
      </c>
      <c r="Q94" s="278">
        <f>K158</f>
        <v>550000000</v>
      </c>
      <c r="R94" s="278">
        <f>K159</f>
        <v>350000000</v>
      </c>
      <c r="S94" s="278">
        <f t="shared" si="22"/>
        <v>1400000000</v>
      </c>
      <c r="CC94" s="75"/>
      <c r="CD94" s="75"/>
      <c r="CE94" s="75"/>
      <c r="CF94" s="75"/>
      <c r="CG94" s="75"/>
      <c r="CH94" s="75"/>
      <c r="CI94" s="75"/>
      <c r="CJ94" s="75"/>
      <c r="CK94" s="75"/>
      <c r="CL94" s="75"/>
      <c r="CM94" s="75"/>
      <c r="CN94" s="75"/>
      <c r="CO94" s="75"/>
      <c r="CP94" s="75"/>
      <c r="CQ94" s="75"/>
    </row>
    <row r="95" spans="2:95" ht="19.5" customHeight="1">
      <c r="F95" s="1237" t="s">
        <v>1143</v>
      </c>
      <c r="G95" s="1239">
        <v>5315000000</v>
      </c>
      <c r="H95" s="1239">
        <v>5315000000</v>
      </c>
      <c r="J95" s="203" t="s">
        <v>1174</v>
      </c>
      <c r="K95" s="254">
        <f>G7</f>
        <v>3528</v>
      </c>
      <c r="L95" s="254"/>
      <c r="O95" s="125" t="s">
        <v>355</v>
      </c>
      <c r="P95" s="278">
        <f>K161</f>
        <v>1500000000</v>
      </c>
      <c r="Q95" s="278">
        <f>K163</f>
        <v>1155000000</v>
      </c>
      <c r="R95" s="278">
        <f>K165</f>
        <v>656250000</v>
      </c>
      <c r="S95" s="278">
        <f t="shared" si="22"/>
        <v>3311250000</v>
      </c>
      <c r="CC95" s="75"/>
      <c r="CD95" s="75"/>
      <c r="CE95" s="75"/>
      <c r="CF95" s="75"/>
      <c r="CG95" s="75"/>
      <c r="CH95" s="75"/>
      <c r="CI95" s="75"/>
      <c r="CJ95" s="75"/>
      <c r="CK95" s="75"/>
      <c r="CL95" s="75"/>
      <c r="CM95" s="75"/>
      <c r="CN95" s="75"/>
      <c r="CO95" s="75"/>
      <c r="CP95" s="75"/>
      <c r="CQ95" s="75"/>
    </row>
    <row r="96" spans="2:95" ht="19.5" customHeight="1">
      <c r="F96" s="1237" t="s">
        <v>1144</v>
      </c>
      <c r="G96" s="1240">
        <v>2298693181.0074043</v>
      </c>
      <c r="H96" s="1240">
        <f>2298693181.0074-1800000000</f>
        <v>498693181.00740004</v>
      </c>
      <c r="J96" s="203" t="s">
        <v>1222</v>
      </c>
      <c r="K96" s="254">
        <f>H7</f>
        <v>0</v>
      </c>
      <c r="L96" s="254"/>
      <c r="M96" s="328"/>
      <c r="O96" s="125" t="s">
        <v>356</v>
      </c>
      <c r="P96" s="278">
        <f>K169+K174</f>
        <v>610000000</v>
      </c>
      <c r="Q96" s="278">
        <f>K170+K176</f>
        <v>350900000</v>
      </c>
      <c r="R96" s="278">
        <f>K171+K178</f>
        <v>290500000</v>
      </c>
      <c r="S96" s="278">
        <f t="shared" si="22"/>
        <v>1251400000</v>
      </c>
      <c r="CC96" s="75"/>
      <c r="CD96" s="75"/>
      <c r="CE96" s="75"/>
      <c r="CF96" s="75"/>
      <c r="CG96" s="75"/>
      <c r="CH96" s="75"/>
      <c r="CI96" s="75"/>
      <c r="CJ96" s="75"/>
      <c r="CK96" s="75"/>
      <c r="CL96" s="75"/>
      <c r="CM96" s="75"/>
      <c r="CN96" s="75"/>
      <c r="CO96" s="75"/>
      <c r="CP96" s="75"/>
      <c r="CQ96" s="75"/>
    </row>
    <row r="97" spans="5:95" ht="19.5" customHeight="1">
      <c r="F97" s="208"/>
      <c r="G97" s="1241"/>
      <c r="H97" s="1238"/>
      <c r="J97" s="204" t="s">
        <v>172</v>
      </c>
      <c r="K97" s="251"/>
      <c r="L97" s="252">
        <f>L67-L85</f>
        <v>41707834071</v>
      </c>
      <c r="O97" s="125" t="s">
        <v>357</v>
      </c>
      <c r="P97" s="278">
        <f>L179*(F6/SUM(F6:H6))</f>
        <v>1879579085.168643</v>
      </c>
      <c r="Q97" s="278">
        <f>L179*(G6/SUM(F6:H6))</f>
        <v>921185430.4635762</v>
      </c>
      <c r="R97" s="278">
        <f>L179*(H6/SUM(F6:H6))</f>
        <v>859735484.36778069</v>
      </c>
      <c r="S97" s="278">
        <f t="shared" si="22"/>
        <v>3660500000</v>
      </c>
      <c r="CC97" s="75"/>
      <c r="CD97" s="75"/>
      <c r="CE97" s="75"/>
      <c r="CF97" s="75"/>
      <c r="CG97" s="75"/>
      <c r="CH97" s="75"/>
      <c r="CI97" s="75"/>
      <c r="CJ97" s="75"/>
      <c r="CK97" s="75"/>
      <c r="CL97" s="75"/>
      <c r="CM97" s="75"/>
      <c r="CN97" s="75"/>
      <c r="CO97" s="75"/>
      <c r="CP97" s="75"/>
      <c r="CQ97" s="75"/>
    </row>
    <row r="98" spans="5:95" ht="19.5" customHeight="1">
      <c r="F98" s="1237" t="s">
        <v>1145</v>
      </c>
      <c r="G98" s="1245">
        <f>G96/G95</f>
        <v>0.43249166152538182</v>
      </c>
      <c r="H98" s="208"/>
      <c r="J98" s="204" t="s">
        <v>178</v>
      </c>
      <c r="K98" s="251" t="s">
        <v>1125</v>
      </c>
      <c r="L98" s="252">
        <f>L99+L107+L123+L124+L130+L140+L149+L156+L160+L167+L179+L189+L190</f>
        <v>36738340205</v>
      </c>
      <c r="M98" s="325"/>
      <c r="O98" s="125" t="s">
        <v>358</v>
      </c>
      <c r="P98" s="278">
        <f>L189*(F6/SUM(F6:H6))</f>
        <v>513476051.13198823</v>
      </c>
      <c r="Q98" s="278">
        <f>L189*(G6/SUM(F6:H6))</f>
        <v>251655629.13907287</v>
      </c>
      <c r="R98" s="278">
        <f>L189*(H6/SUM(F6:H6))</f>
        <v>234868319.72893885</v>
      </c>
      <c r="S98" s="278">
        <f t="shared" si="22"/>
        <v>999999999.99999988</v>
      </c>
    </row>
    <row r="99" spans="5:95" ht="19.5" customHeight="1">
      <c r="F99" s="1205" t="s">
        <v>1162</v>
      </c>
      <c r="G99" s="1249">
        <v>0.74036999999999997</v>
      </c>
      <c r="J99" s="1185" t="s">
        <v>292</v>
      </c>
      <c r="K99" s="1186" t="s">
        <v>1125</v>
      </c>
      <c r="L99" s="1187">
        <f>L100+L103+L105</f>
        <v>3935066550</v>
      </c>
      <c r="O99" s="125" t="s">
        <v>1106</v>
      </c>
      <c r="P99" s="278">
        <f>K192+(SUM(K201:K203)*(F6/SUM(F6:H6)))</f>
        <v>980422830.39735091</v>
      </c>
      <c r="Q99" s="278">
        <f>K195+(SUM(K201:K203)*(G6/SUM(F6:H6)))</f>
        <v>514486774.10596025</v>
      </c>
      <c r="R99" s="278">
        <f>K198+(SUM(K201:K203)*(H6/SUM(F6:H6)))</f>
        <v>435722050.49668872</v>
      </c>
      <c r="S99" s="278">
        <f>SUM(P99:R99)</f>
        <v>1930631655</v>
      </c>
    </row>
    <row r="100" spans="5:95" ht="19.5" customHeight="1">
      <c r="F100" s="328"/>
      <c r="G100" s="161"/>
      <c r="H100" s="161"/>
      <c r="I100" s="161">
        <f>0.69</f>
        <v>0.69</v>
      </c>
      <c r="J100" s="1210" t="s">
        <v>293</v>
      </c>
      <c r="K100" s="1186">
        <f>K101+K102</f>
        <v>3800000000</v>
      </c>
      <c r="L100" s="1211">
        <f>K100*$G$99</f>
        <v>2813406000</v>
      </c>
      <c r="O100" s="322" t="s">
        <v>431</v>
      </c>
      <c r="P100" s="278">
        <f>SUM(P87:P99)</f>
        <v>17653858043.395966</v>
      </c>
      <c r="Q100" s="278">
        <f>SUM(Q87:Q99)</f>
        <v>10831909577.417217</v>
      </c>
      <c r="R100" s="278">
        <f>SUM(R87:R99)</f>
        <v>8012572584.1868172</v>
      </c>
      <c r="S100" s="278">
        <f>SUM(P100:R100)</f>
        <v>36498340205</v>
      </c>
    </row>
    <row r="101" spans="5:95" ht="19.5" customHeight="1">
      <c r="F101" s="328"/>
      <c r="G101" s="161"/>
      <c r="H101" s="161"/>
      <c r="I101" s="161"/>
      <c r="J101" s="1210" t="s">
        <v>282</v>
      </c>
      <c r="K101" s="1186">
        <f>P212*F37</f>
        <v>3000000000</v>
      </c>
      <c r="L101" s="1211">
        <f t="shared" ref="L101:L106" si="23">K101*$G$99</f>
        <v>2221110000</v>
      </c>
      <c r="O101" s="322" t="s">
        <v>432</v>
      </c>
      <c r="P101" s="278">
        <f>F6</f>
        <v>66680</v>
      </c>
      <c r="Q101" s="278">
        <f>G6</f>
        <v>32680</v>
      </c>
      <c r="R101" s="278">
        <f>H6</f>
        <v>30500</v>
      </c>
      <c r="S101" s="278">
        <f>SUM(P101:R101)</f>
        <v>129860</v>
      </c>
    </row>
    <row r="102" spans="5:95" ht="19.5" customHeight="1">
      <c r="E102" s="572"/>
      <c r="F102" s="1247"/>
      <c r="J102" s="1210" t="s">
        <v>283</v>
      </c>
      <c r="K102" s="1186">
        <f>P213*F37</f>
        <v>800000000</v>
      </c>
      <c r="L102" s="1211">
        <f t="shared" si="23"/>
        <v>592296000</v>
      </c>
      <c r="M102" s="310"/>
      <c r="O102" s="323" t="s">
        <v>433</v>
      </c>
      <c r="P102" s="279">
        <f>P100/P101</f>
        <v>264754.91966700606</v>
      </c>
      <c r="Q102" s="279">
        <f>Q100/Q101</f>
        <v>331453.78143871535</v>
      </c>
      <c r="R102" s="279">
        <f>R100/R101</f>
        <v>262707.29784219072</v>
      </c>
      <c r="S102" s="280"/>
    </row>
    <row r="103" spans="5:95" ht="19.5" customHeight="1">
      <c r="E103" s="572"/>
      <c r="F103" s="1247"/>
      <c r="J103" s="1210" t="s">
        <v>1175</v>
      </c>
      <c r="K103" s="1186">
        <f>K104*G37*G38</f>
        <v>990000000</v>
      </c>
      <c r="L103" s="1211">
        <f t="shared" si="23"/>
        <v>732966300</v>
      </c>
      <c r="M103" s="330"/>
      <c r="P103" s="310"/>
    </row>
    <row r="104" spans="5:95" ht="19.5" customHeight="1">
      <c r="E104" s="572"/>
      <c r="F104" s="1246"/>
      <c r="J104" s="1210" t="s">
        <v>1176</v>
      </c>
      <c r="K104" s="1186">
        <f>Q213</f>
        <v>900000</v>
      </c>
      <c r="L104" s="1211">
        <f t="shared" si="23"/>
        <v>666333</v>
      </c>
    </row>
    <row r="105" spans="5:95" ht="19.5" customHeight="1">
      <c r="E105" s="572"/>
      <c r="F105" s="1248"/>
      <c r="J105" s="1210" t="s">
        <v>1223</v>
      </c>
      <c r="K105" s="1186">
        <f>R213*H38*H37</f>
        <v>525000000</v>
      </c>
      <c r="L105" s="1211">
        <f t="shared" si="23"/>
        <v>388694250</v>
      </c>
    </row>
    <row r="106" spans="5:95" ht="19.5" customHeight="1">
      <c r="E106" s="572"/>
      <c r="F106" s="1246"/>
      <c r="I106" s="161"/>
      <c r="J106" s="1210" t="s">
        <v>1224</v>
      </c>
      <c r="K106" s="1186">
        <f>R213</f>
        <v>3000000</v>
      </c>
      <c r="L106" s="1211">
        <f t="shared" si="23"/>
        <v>2221110</v>
      </c>
    </row>
    <row r="107" spans="5:95" ht="19.5" customHeight="1">
      <c r="E107" s="572"/>
      <c r="F107" s="1247"/>
      <c r="I107" s="161"/>
      <c r="J107" s="1185" t="s">
        <v>281</v>
      </c>
      <c r="K107" s="1186"/>
      <c r="L107" s="1187">
        <f>K108+K112+K116+K120</f>
        <v>4763750000</v>
      </c>
      <c r="CK107" s="246"/>
    </row>
    <row r="108" spans="5:95" ht="19.5" customHeight="1">
      <c r="E108" s="572"/>
      <c r="F108" s="572"/>
      <c r="I108" s="161"/>
      <c r="J108" s="1242" t="s">
        <v>294</v>
      </c>
      <c r="K108" s="1243">
        <f>K109*(K110+K111)</f>
        <v>2200000000</v>
      </c>
      <c r="L108" s="1211"/>
      <c r="CK108" s="246"/>
    </row>
    <row r="109" spans="5:95" ht="19.5" customHeight="1">
      <c r="I109" s="161"/>
      <c r="J109" s="1242" t="s">
        <v>268</v>
      </c>
      <c r="K109" s="1243">
        <v>250</v>
      </c>
      <c r="L109" s="1211"/>
    </row>
    <row r="110" spans="5:95" ht="19.5" customHeight="1">
      <c r="I110" s="161"/>
      <c r="J110" s="1242" t="s">
        <v>269</v>
      </c>
      <c r="K110" s="1243">
        <f>K34</f>
        <v>8000000</v>
      </c>
      <c r="L110" s="1211"/>
    </row>
    <row r="111" spans="5:95" ht="19.5" customHeight="1">
      <c r="I111" s="161"/>
      <c r="J111" s="1242" t="s">
        <v>284</v>
      </c>
      <c r="K111" s="1243">
        <f>K35</f>
        <v>800000</v>
      </c>
      <c r="L111" s="1243"/>
      <c r="M111" s="330"/>
    </row>
    <row r="112" spans="5:95" ht="19.5" customHeight="1">
      <c r="I112" s="161"/>
      <c r="J112" s="1242" t="s">
        <v>1177</v>
      </c>
      <c r="K112" s="1243">
        <f>K113*(K114+K115)*G38</f>
        <v>1573000000</v>
      </c>
      <c r="L112" s="1211"/>
    </row>
    <row r="113" spans="9:22" ht="19.5" customHeight="1">
      <c r="I113" s="161"/>
      <c r="J113" s="1242" t="s">
        <v>1178</v>
      </c>
      <c r="K113" s="1243">
        <v>130</v>
      </c>
      <c r="L113" s="1211"/>
    </row>
    <row r="114" spans="9:22" ht="19.5" customHeight="1">
      <c r="I114" s="161"/>
      <c r="J114" s="1242" t="s">
        <v>1179</v>
      </c>
      <c r="K114" s="1243">
        <f>L34</f>
        <v>10000</v>
      </c>
      <c r="L114" s="1211"/>
    </row>
    <row r="115" spans="9:22" ht="19.5" customHeight="1">
      <c r="I115" s="161"/>
      <c r="J115" s="1242" t="s">
        <v>1180</v>
      </c>
      <c r="K115" s="1243">
        <f>L35</f>
        <v>1000</v>
      </c>
      <c r="L115" s="1243"/>
    </row>
    <row r="116" spans="9:22" ht="19.5" customHeight="1">
      <c r="I116" s="161"/>
      <c r="J116" s="1242" t="s">
        <v>1225</v>
      </c>
      <c r="K116" s="1243">
        <f>K117*(K118+K119)*H38</f>
        <v>750750000</v>
      </c>
      <c r="L116" s="1211"/>
    </row>
    <row r="117" spans="9:22" ht="19.5" customHeight="1">
      <c r="I117" s="161"/>
      <c r="J117" s="1242" t="s">
        <v>1226</v>
      </c>
      <c r="K117" s="1243">
        <v>130</v>
      </c>
      <c r="L117" s="1211"/>
    </row>
    <row r="118" spans="9:22" ht="19.5" customHeight="1">
      <c r="I118" s="161"/>
      <c r="J118" s="1242" t="s">
        <v>1227</v>
      </c>
      <c r="K118" s="1243">
        <v>30000</v>
      </c>
      <c r="L118" s="1211"/>
    </row>
    <row r="119" spans="9:22" ht="19.5" customHeight="1">
      <c r="I119" s="161"/>
      <c r="J119" s="1242" t="s">
        <v>1228</v>
      </c>
      <c r="K119" s="1243">
        <f>M35</f>
        <v>3000</v>
      </c>
      <c r="L119" s="1243"/>
    </row>
    <row r="120" spans="9:22" ht="19.5" customHeight="1">
      <c r="I120" s="161"/>
      <c r="J120" s="1185" t="s">
        <v>1140</v>
      </c>
      <c r="K120" s="1198">
        <f>K121*K122</f>
        <v>240000000</v>
      </c>
      <c r="L120" s="1198"/>
      <c r="M120" s="310"/>
    </row>
    <row r="121" spans="9:22" ht="19.5" customHeight="1">
      <c r="J121" s="1188" t="s">
        <v>1141</v>
      </c>
      <c r="K121" s="1198">
        <v>20</v>
      </c>
      <c r="L121" s="1198"/>
      <c r="O121" s="69" t="s">
        <v>350</v>
      </c>
      <c r="P121" s="66"/>
      <c r="Q121" s="66"/>
      <c r="R121" s="66"/>
      <c r="S121" s="66"/>
      <c r="T121" s="66"/>
      <c r="U121" s="64"/>
    </row>
    <row r="122" spans="9:22" ht="19.5" customHeight="1">
      <c r="J122" s="1188" t="s">
        <v>1142</v>
      </c>
      <c r="K122" s="1198">
        <f>K110*1.5</f>
        <v>12000000</v>
      </c>
      <c r="L122" s="1198"/>
      <c r="O122" s="235"/>
      <c r="P122" s="198"/>
      <c r="Q122" s="243" t="s">
        <v>65</v>
      </c>
      <c r="R122" s="244"/>
      <c r="S122" s="236" t="s">
        <v>1165</v>
      </c>
      <c r="T122" s="245"/>
      <c r="U122" s="243" t="s">
        <v>1211</v>
      </c>
      <c r="V122" s="244"/>
    </row>
    <row r="123" spans="9:22" ht="19.5" customHeight="1">
      <c r="J123" s="333" t="s">
        <v>436</v>
      </c>
      <c r="K123" s="262"/>
      <c r="L123" s="252">
        <f>K7</f>
        <v>1500000000</v>
      </c>
      <c r="O123" s="236" t="s">
        <v>66</v>
      </c>
      <c r="P123" s="198" t="s">
        <v>67</v>
      </c>
      <c r="Q123" s="198" t="s">
        <v>3</v>
      </c>
      <c r="R123" s="198" t="s">
        <v>4</v>
      </c>
      <c r="S123" s="243" t="s">
        <v>3</v>
      </c>
      <c r="T123" s="198" t="s">
        <v>4</v>
      </c>
      <c r="U123" s="198" t="s">
        <v>3</v>
      </c>
      <c r="V123" s="198" t="s">
        <v>4</v>
      </c>
    </row>
    <row r="124" spans="9:22" ht="19.5" customHeight="1">
      <c r="J124" s="333" t="s">
        <v>301</v>
      </c>
      <c r="K124" s="259"/>
      <c r="L124" s="263">
        <f>K125+K126+K128</f>
        <v>7390000000</v>
      </c>
      <c r="O124" s="78" t="s">
        <v>62</v>
      </c>
      <c r="P124" s="79" t="s">
        <v>68</v>
      </c>
      <c r="Q124" s="1142">
        <f>Q125+Q130+R130+Q135+R135</f>
        <v>49196000000</v>
      </c>
      <c r="R124" s="296"/>
      <c r="S124" s="297">
        <f>S125+S130+T130+S135+T135</f>
        <v>0</v>
      </c>
      <c r="T124" s="296"/>
      <c r="U124" s="297">
        <f>U125+U130+V130+U135+V135</f>
        <v>0</v>
      </c>
      <c r="V124" s="296"/>
    </row>
    <row r="125" spans="9:22" ht="19.5" customHeight="1">
      <c r="J125" s="332" t="s">
        <v>295</v>
      </c>
      <c r="K125" s="261">
        <f>K12</f>
        <v>3200000000</v>
      </c>
      <c r="L125" s="260"/>
      <c r="O125" s="237" t="s">
        <v>409</v>
      </c>
      <c r="P125" s="205" t="s">
        <v>68</v>
      </c>
      <c r="Q125" s="282">
        <f>((Q127*Q128)+(Q129*Q127*P180))*F37</f>
        <v>27216000000</v>
      </c>
      <c r="R125" s="283"/>
      <c r="S125" s="282">
        <f>((S127*S128)+(S127*S129*R180))*G37*G38</f>
        <v>0</v>
      </c>
      <c r="T125" s="283"/>
      <c r="U125" s="282">
        <f>((U127*U128)+(U127*U129*T180))*H37*H38</f>
        <v>0</v>
      </c>
      <c r="V125" s="283"/>
    </row>
    <row r="126" spans="9:22" ht="19.5" customHeight="1">
      <c r="J126" s="207" t="s">
        <v>1181</v>
      </c>
      <c r="K126" s="261">
        <f>K127*G38</f>
        <v>2090000000</v>
      </c>
      <c r="L126" s="260"/>
      <c r="O126" s="80"/>
      <c r="P126" s="85" t="s">
        <v>69</v>
      </c>
      <c r="Q126" s="220">
        <f>K8</f>
        <v>4</v>
      </c>
      <c r="R126" s="284"/>
      <c r="S126" s="220">
        <f>Q126</f>
        <v>4</v>
      </c>
      <c r="T126" s="284"/>
      <c r="U126" s="220">
        <f>S126</f>
        <v>4</v>
      </c>
      <c r="V126" s="284"/>
    </row>
    <row r="127" spans="9:22" ht="19.5" customHeight="1">
      <c r="J127" s="207" t="s">
        <v>1182</v>
      </c>
      <c r="K127" s="261">
        <f>L12</f>
        <v>1900000</v>
      </c>
      <c r="L127" s="260"/>
      <c r="O127" s="80"/>
      <c r="P127" s="85" t="s">
        <v>70</v>
      </c>
      <c r="Q127" s="285">
        <f>IF(Q126=P175,P176,IF(Q126=Q175,Q176,IF(Q126=R175,R176,IF(Q126=S175,S176,IF(Q126=T175,T176,U176)))))</f>
        <v>200000</v>
      </c>
      <c r="R127" s="286"/>
      <c r="S127" s="285">
        <f>IF(S126=P175,P177,IF(S126=Q175,Q177,IF(S126=R175,R177,IF(S126=S175,S177,IF(S126=T175,T177,U177)))))</f>
        <v>180</v>
      </c>
      <c r="T127" s="286"/>
      <c r="U127" s="285">
        <f>IF(U126=P175,P178,IF(U126=Q175,Q178,IF(U126=R175,R178,IF(U126=S175,S178,IF(U126=T175,T178,U178)))))</f>
        <v>1000</v>
      </c>
      <c r="V127" s="286"/>
    </row>
    <row r="128" spans="9:22" ht="19.5" customHeight="1">
      <c r="J128" s="207" t="s">
        <v>1229</v>
      </c>
      <c r="K128" s="261">
        <f>K129*H38</f>
        <v>2100000000</v>
      </c>
      <c r="L128" s="260"/>
      <c r="O128" s="80"/>
      <c r="P128" s="85" t="s">
        <v>340</v>
      </c>
      <c r="Q128" s="285">
        <f>K22</f>
        <v>136080</v>
      </c>
      <c r="R128" s="286"/>
      <c r="S128" s="285">
        <f>L22</f>
        <v>0</v>
      </c>
      <c r="T128" s="286"/>
      <c r="U128" s="285">
        <f>M22</f>
        <v>0</v>
      </c>
      <c r="V128" s="286"/>
    </row>
    <row r="129" spans="10:22" ht="19.5" customHeight="1">
      <c r="J129" s="207" t="s">
        <v>1230</v>
      </c>
      <c r="K129" s="261">
        <f>M12</f>
        <v>12000000</v>
      </c>
      <c r="L129" s="260"/>
      <c r="O129" s="80"/>
      <c r="P129" s="85" t="s">
        <v>341</v>
      </c>
      <c r="Q129" s="70">
        <f>F16</f>
        <v>0</v>
      </c>
      <c r="R129" s="286"/>
      <c r="S129" s="285">
        <f>G16</f>
        <v>0</v>
      </c>
      <c r="T129" s="286"/>
      <c r="U129" s="285">
        <f>H16</f>
        <v>0</v>
      </c>
      <c r="V129" s="286"/>
    </row>
    <row r="130" spans="10:22" ht="19.5" customHeight="1">
      <c r="J130" s="204" t="s">
        <v>302</v>
      </c>
      <c r="K130" s="259"/>
      <c r="L130" s="263">
        <f>K131+K134+K137</f>
        <v>2253750000</v>
      </c>
      <c r="O130" s="237" t="s">
        <v>410</v>
      </c>
      <c r="P130" s="205" t="s">
        <v>68</v>
      </c>
      <c r="Q130" s="282">
        <f>(Q133+Q134)*Q131</f>
        <v>13200000000.000004</v>
      </c>
      <c r="R130" s="282">
        <f>(R133+R134)*R131</f>
        <v>0</v>
      </c>
      <c r="S130" s="282">
        <f>(S133+S134)*S131*G38</f>
        <v>0</v>
      </c>
      <c r="T130" s="282">
        <f>(T133+T134)*T131*G38</f>
        <v>0</v>
      </c>
      <c r="U130" s="282">
        <f>(U133+U134)*U131*H38</f>
        <v>0</v>
      </c>
      <c r="V130" s="282">
        <f>(V133+V134)*V131*H38</f>
        <v>0</v>
      </c>
    </row>
    <row r="131" spans="10:22" ht="19.5" customHeight="1">
      <c r="J131" s="207" t="s">
        <v>296</v>
      </c>
      <c r="K131" s="261">
        <f>K132*K133</f>
        <v>1200000000</v>
      </c>
      <c r="L131" s="260"/>
      <c r="O131" s="80"/>
      <c r="P131" s="85" t="s">
        <v>71</v>
      </c>
      <c r="Q131" s="285">
        <f>K14</f>
        <v>6</v>
      </c>
      <c r="R131" s="285">
        <f>K18</f>
        <v>0</v>
      </c>
      <c r="S131" s="285">
        <f>L14</f>
        <v>0</v>
      </c>
      <c r="T131" s="285">
        <f>L18</f>
        <v>0</v>
      </c>
      <c r="U131" s="285">
        <f>M14</f>
        <v>0</v>
      </c>
      <c r="V131" s="285">
        <f>M18</f>
        <v>0</v>
      </c>
    </row>
    <row r="132" spans="10:22" ht="19.5" customHeight="1">
      <c r="J132" s="207" t="s">
        <v>314</v>
      </c>
      <c r="K132" s="261">
        <f>K13</f>
        <v>40000000</v>
      </c>
      <c r="L132" s="260"/>
      <c r="O132" s="80"/>
      <c r="P132" s="85" t="s">
        <v>72</v>
      </c>
      <c r="Q132" s="285">
        <f>K17</f>
        <v>48</v>
      </c>
      <c r="R132" s="285">
        <f>K21</f>
        <v>0</v>
      </c>
      <c r="S132" s="285">
        <f>L17</f>
        <v>0</v>
      </c>
      <c r="T132" s="285">
        <f>L21</f>
        <v>0</v>
      </c>
      <c r="U132" s="285">
        <f>M17</f>
        <v>0</v>
      </c>
      <c r="V132" s="285">
        <f>M21</f>
        <v>0</v>
      </c>
    </row>
    <row r="133" spans="10:22" ht="19.5" customHeight="1">
      <c r="J133" s="207" t="s">
        <v>271</v>
      </c>
      <c r="K133" s="261">
        <f>F10</f>
        <v>30</v>
      </c>
      <c r="L133" s="260"/>
      <c r="O133" s="80"/>
      <c r="P133" s="85" t="s">
        <v>342</v>
      </c>
      <c r="Q133" s="285">
        <f>IF(Q132=O172,K36*P172,IF(Q132=O173,K36*P173,IF(Q132=O174,K36*P174,0)))</f>
        <v>1980000000.0000002</v>
      </c>
      <c r="R133" s="285">
        <f>IF(R132=O172,#REF!*Q172,IF(R132=O173,#REF!*Q173,IF(R132=O174,#REF!*Q174,0)))</f>
        <v>0</v>
      </c>
      <c r="S133" s="285">
        <f>IF(S132=O172,#REF!*R172,IF(S132=O173,#REF!*R173,IF(S132=O174,#REF!*R174,0)))</f>
        <v>0</v>
      </c>
      <c r="T133" s="285">
        <f>IF(T132=O172,#REF!*S172,IF(T132=O173,#REF!*S173,IF(T132=O174,#REF!*S174,0)))</f>
        <v>0</v>
      </c>
      <c r="U133" s="285">
        <f>IF(U132=O172,#REF!*T172,IF(U132=O173,#REF!*T173,IF(U132=O174,#REF!*T174,0)))</f>
        <v>0</v>
      </c>
      <c r="V133" s="285">
        <f>IF(V132=O172,#REF!*U172,IF(V132=O173,#REF!*U173,IF(V132=O174,#REF!*U174,0)))</f>
        <v>0</v>
      </c>
    </row>
    <row r="134" spans="10:22" ht="19.5" customHeight="1">
      <c r="J134" s="207" t="s">
        <v>1183</v>
      </c>
      <c r="K134" s="261">
        <f>K135*K136*G38</f>
        <v>660000000</v>
      </c>
      <c r="L134" s="260"/>
      <c r="O134" s="80"/>
      <c r="P134" s="85" t="s">
        <v>343</v>
      </c>
      <c r="Q134" s="290">
        <f>IF(Q132=O172,K37*P172,IF(Q132=O173,K37*P173,IF(Q132=O174,K37*P174,0)))</f>
        <v>220000000.00000003</v>
      </c>
      <c r="R134" s="285">
        <f>IF(R132=O172,K37*Q172,IF(R132=O173,K37*Q173,IF(R132=O174,K37*Q174,0)))</f>
        <v>0</v>
      </c>
      <c r="S134" s="285">
        <f>IF(S132=O172,L37*R172,IF(S132=O173,L37*R173,IF(S132=O174,L37*R174,0)))</f>
        <v>0</v>
      </c>
      <c r="T134" s="285">
        <f>IF(T132=O172,L37*S172,IF(T132=O173,L37*S173,IF(T132=O174,L37*S174,0)))</f>
        <v>0</v>
      </c>
      <c r="U134" s="285">
        <f>IF(U132=O172,M37*T172,IF(U132=O173,M37*T173,IF(U132=O174,M37*T174,0)))</f>
        <v>0</v>
      </c>
      <c r="V134" s="285">
        <f>IF(V132=O172,M37*U172,IF(V132=O173,M37*U173,IF(V132=O174,M37*U174,0)))</f>
        <v>0</v>
      </c>
    </row>
    <row r="135" spans="10:22" ht="19.5" customHeight="1">
      <c r="J135" s="207" t="s">
        <v>1184</v>
      </c>
      <c r="K135" s="261">
        <f>L13</f>
        <v>40000</v>
      </c>
      <c r="L135" s="260"/>
      <c r="O135" s="237" t="s">
        <v>411</v>
      </c>
      <c r="P135" s="205" t="s">
        <v>68</v>
      </c>
      <c r="Q135" s="282">
        <f>Q136+Q137+Q140+Q143+Q145+Q149+Q156</f>
        <v>8780000000</v>
      </c>
      <c r="R135" s="282">
        <f>R140+R149+R156</f>
        <v>0</v>
      </c>
      <c r="S135" s="282">
        <f>S136+S137+S140+S143+S145+S149+S156</f>
        <v>0</v>
      </c>
      <c r="T135" s="282">
        <f>T140+T149+T156</f>
        <v>0</v>
      </c>
      <c r="U135" s="282">
        <f>U136+U137+U140+U143+U145+U149+U156</f>
        <v>0</v>
      </c>
      <c r="V135" s="282">
        <f>V140+V149+V156</f>
        <v>0</v>
      </c>
    </row>
    <row r="136" spans="10:22" ht="19.5" customHeight="1">
      <c r="J136" s="207" t="s">
        <v>1185</v>
      </c>
      <c r="K136" s="261">
        <f>G10</f>
        <v>15</v>
      </c>
      <c r="L136" s="260"/>
      <c r="O136" s="86" t="s">
        <v>74</v>
      </c>
      <c r="P136" s="206" t="s">
        <v>68</v>
      </c>
      <c r="Q136" s="287">
        <f>R202</f>
        <v>400000000</v>
      </c>
      <c r="R136" s="288"/>
      <c r="S136" s="287">
        <f>IF(L14+L26&gt;=1,(R192*#REF!*G38)/Q200,0)</f>
        <v>0</v>
      </c>
      <c r="T136" s="288"/>
      <c r="U136" s="287">
        <f>IF(M14+M26&gt;=1,(S192*#REF!*H38)/Q200,0)</f>
        <v>0</v>
      </c>
      <c r="V136" s="288"/>
    </row>
    <row r="137" spans="10:22" ht="19.5" customHeight="1">
      <c r="J137" s="207" t="s">
        <v>1231</v>
      </c>
      <c r="K137" s="261">
        <f>K138*K139*H38</f>
        <v>393750000</v>
      </c>
      <c r="L137" s="260"/>
      <c r="O137" s="86" t="s">
        <v>75</v>
      </c>
      <c r="P137" s="206" t="s">
        <v>68</v>
      </c>
      <c r="Q137" s="229">
        <f>Q138*Q139</f>
        <v>600000000</v>
      </c>
      <c r="R137" s="288"/>
      <c r="S137" s="223">
        <f>(S139*R190*G37*G38)/Q195</f>
        <v>0</v>
      </c>
      <c r="T137" s="288"/>
      <c r="U137" s="223">
        <f>(U139*S190*H37*H38)/Q195</f>
        <v>0</v>
      </c>
      <c r="V137" s="288"/>
    </row>
    <row r="138" spans="10:22" ht="19.5" customHeight="1">
      <c r="J138" s="207" t="s">
        <v>1232</v>
      </c>
      <c r="K138" s="261">
        <f>M13</f>
        <v>150000</v>
      </c>
      <c r="L138" s="260"/>
      <c r="O138" s="238"/>
      <c r="P138" s="85" t="s">
        <v>76</v>
      </c>
      <c r="Q138" s="285">
        <f>R197</f>
        <v>100000000</v>
      </c>
      <c r="R138" s="284"/>
      <c r="S138" s="285">
        <f>R198</f>
        <v>110000000</v>
      </c>
      <c r="T138" s="284"/>
      <c r="U138" s="285">
        <f>R199</f>
        <v>87500000</v>
      </c>
      <c r="V138" s="284"/>
    </row>
    <row r="139" spans="10:22" ht="19.5" customHeight="1">
      <c r="J139" s="207" t="s">
        <v>1233</v>
      </c>
      <c r="K139" s="261">
        <f>H10</f>
        <v>15</v>
      </c>
      <c r="L139" s="260"/>
      <c r="O139" s="238"/>
      <c r="P139" s="85" t="s">
        <v>415</v>
      </c>
      <c r="Q139" s="285">
        <f>K14+K15+K25</f>
        <v>6</v>
      </c>
      <c r="R139" s="284"/>
      <c r="S139" s="285">
        <f>L25+L14+L15</f>
        <v>0</v>
      </c>
      <c r="T139" s="284"/>
      <c r="U139" s="285">
        <f>M25+M14+M15</f>
        <v>0</v>
      </c>
      <c r="V139" s="284"/>
    </row>
    <row r="140" spans="10:22" ht="19.5" customHeight="1">
      <c r="J140" s="204" t="s">
        <v>303</v>
      </c>
      <c r="K140" s="259"/>
      <c r="L140" s="263">
        <f>K141+K143+K146</f>
        <v>3460800000</v>
      </c>
      <c r="O140" s="86" t="s">
        <v>77</v>
      </c>
      <c r="P140" s="206" t="s">
        <v>68</v>
      </c>
      <c r="Q140" s="289">
        <f>Q141*Q142*F37</f>
        <v>1800000000</v>
      </c>
      <c r="R140" s="289">
        <f>R141*R142*F37</f>
        <v>0</v>
      </c>
      <c r="S140" s="289">
        <f>S141*S142*G37*G38</f>
        <v>0</v>
      </c>
      <c r="T140" s="289">
        <f>T141*T142*G37*G38</f>
        <v>0</v>
      </c>
      <c r="U140" s="289">
        <f>U141*U142*H37*H38</f>
        <v>0</v>
      </c>
      <c r="V140" s="289">
        <f>V141*V142*H37*H38</f>
        <v>0</v>
      </c>
    </row>
    <row r="141" spans="10:22" ht="19.5" customHeight="1">
      <c r="J141" s="207" t="s">
        <v>297</v>
      </c>
      <c r="K141" s="264">
        <f>K142*P215*F37</f>
        <v>760800000</v>
      </c>
      <c r="L141" s="260"/>
      <c r="O141" s="238"/>
      <c r="P141" s="85" t="s">
        <v>71</v>
      </c>
      <c r="Q141" s="285">
        <f t="shared" ref="Q141:V141" si="24">Q131</f>
        <v>6</v>
      </c>
      <c r="R141" s="285">
        <f t="shared" si="24"/>
        <v>0</v>
      </c>
      <c r="S141" s="285">
        <f t="shared" si="24"/>
        <v>0</v>
      </c>
      <c r="T141" s="285">
        <f t="shared" si="24"/>
        <v>0</v>
      </c>
      <c r="U141" s="285">
        <f t="shared" si="24"/>
        <v>0</v>
      </c>
      <c r="V141" s="285">
        <f t="shared" si="24"/>
        <v>0</v>
      </c>
    </row>
    <row r="142" spans="10:22" ht="19.5" customHeight="1">
      <c r="J142" s="207" t="s">
        <v>313</v>
      </c>
      <c r="K142" s="261">
        <f>F13</f>
        <v>76080</v>
      </c>
      <c r="L142" s="260"/>
      <c r="O142" s="238"/>
      <c r="P142" s="85" t="s">
        <v>78</v>
      </c>
      <c r="Q142" s="285">
        <f>P183</f>
        <v>300000000</v>
      </c>
      <c r="R142" s="285">
        <f>Q183</f>
        <v>300000000</v>
      </c>
      <c r="S142" s="285">
        <f>R183</f>
        <v>300000</v>
      </c>
      <c r="T142" s="285">
        <f>S183</f>
        <v>300000</v>
      </c>
      <c r="U142" s="285">
        <f t="shared" ref="U142:V142" si="25">T183</f>
        <v>1300000</v>
      </c>
      <c r="V142" s="285">
        <f t="shared" si="25"/>
        <v>1300000</v>
      </c>
    </row>
    <row r="143" spans="10:22" ht="19.5" customHeight="1">
      <c r="J143" s="207" t="s">
        <v>1186</v>
      </c>
      <c r="K143" s="261">
        <f>(K144*Q215*F37)+(K145*Q217*G37)</f>
        <v>1500000000</v>
      </c>
      <c r="L143" s="260"/>
      <c r="O143" s="86" t="s">
        <v>79</v>
      </c>
      <c r="P143" s="206" t="s">
        <v>68</v>
      </c>
      <c r="Q143" s="289">
        <f>Q144*F37</f>
        <v>4000000000</v>
      </c>
      <c r="R143" s="288"/>
      <c r="S143" s="289">
        <f>S144*F37*G38</f>
        <v>0</v>
      </c>
      <c r="T143" s="288"/>
      <c r="U143" s="289">
        <f>U144*H37*H38</f>
        <v>0</v>
      </c>
      <c r="V143" s="288"/>
    </row>
    <row r="144" spans="10:22" ht="19.5" customHeight="1">
      <c r="J144" s="207" t="s">
        <v>1187</v>
      </c>
      <c r="K144" s="261">
        <f>G13</f>
        <v>30000</v>
      </c>
      <c r="L144" s="260"/>
      <c r="O144" s="238"/>
      <c r="P144" s="85" t="s">
        <v>80</v>
      </c>
      <c r="Q144" s="290">
        <f>P186</f>
        <v>4000000000</v>
      </c>
      <c r="R144" s="291"/>
      <c r="S144" s="290" t="b">
        <f>IF(L26&gt;=1,#REF!,IF(L14&gt;=1,#REF!))</f>
        <v>0</v>
      </c>
      <c r="T144" s="291"/>
      <c r="U144" s="290" t="b">
        <f>IF(M26&gt;=1,#REF!,IF(M14&gt;=1,#REF!))</f>
        <v>0</v>
      </c>
      <c r="V144" s="291"/>
    </row>
    <row r="145" spans="10:22" ht="19.5" customHeight="1">
      <c r="J145" s="207" t="s">
        <v>1188</v>
      </c>
      <c r="K145" s="261">
        <f>G14</f>
        <v>0</v>
      </c>
      <c r="L145" s="260"/>
      <c r="O145" s="1135" t="s">
        <v>344</v>
      </c>
      <c r="P145" s="206" t="s">
        <v>68</v>
      </c>
      <c r="Q145" s="223">
        <f>Q146+Q148</f>
        <v>1500000000</v>
      </c>
      <c r="R145" s="288"/>
      <c r="S145" s="223">
        <f>S146*G38</f>
        <v>0</v>
      </c>
      <c r="T145" s="288"/>
      <c r="U145" s="229">
        <f>U146*H38</f>
        <v>0</v>
      </c>
      <c r="V145" s="288"/>
    </row>
    <row r="146" spans="10:22" ht="19.5" customHeight="1">
      <c r="J146" s="207" t="s">
        <v>1234</v>
      </c>
      <c r="K146" s="264">
        <f>(K147*R215*F37)+(K148*R217*H37)</f>
        <v>1200000000</v>
      </c>
      <c r="L146" s="260"/>
      <c r="O146" s="1136" t="s">
        <v>1099</v>
      </c>
      <c r="P146" s="85" t="s">
        <v>345</v>
      </c>
      <c r="Q146" s="285">
        <f>K23*Q147</f>
        <v>300000000</v>
      </c>
      <c r="R146" s="291"/>
      <c r="S146" s="285">
        <f>L23*S147</f>
        <v>0</v>
      </c>
      <c r="T146" s="291"/>
      <c r="U146" s="285">
        <f>M23*U147</f>
        <v>0</v>
      </c>
      <c r="V146" s="291"/>
    </row>
    <row r="147" spans="10:22" ht="19.5" customHeight="1">
      <c r="J147" s="207" t="s">
        <v>1235</v>
      </c>
      <c r="K147" s="261">
        <f>H13</f>
        <v>30000</v>
      </c>
      <c r="L147" s="260"/>
      <c r="O147" s="71"/>
      <c r="P147" s="85" t="s">
        <v>267</v>
      </c>
      <c r="Q147" s="285">
        <f>K14</f>
        <v>6</v>
      </c>
      <c r="R147" s="291"/>
      <c r="S147" s="285">
        <f>L14</f>
        <v>0</v>
      </c>
      <c r="T147" s="291"/>
      <c r="U147" s="285">
        <f>M14</f>
        <v>0</v>
      </c>
      <c r="V147" s="291"/>
    </row>
    <row r="148" spans="10:22" ht="19.5" customHeight="1">
      <c r="J148" s="207" t="s">
        <v>1236</v>
      </c>
      <c r="K148" s="261">
        <f>H15</f>
        <v>0</v>
      </c>
      <c r="L148" s="260"/>
      <c r="O148" s="71"/>
      <c r="P148" s="85" t="s">
        <v>346</v>
      </c>
      <c r="Q148" s="285">
        <f>K28</f>
        <v>1200000000</v>
      </c>
      <c r="R148" s="291"/>
      <c r="S148" s="291"/>
      <c r="T148" s="291"/>
      <c r="U148" s="291"/>
      <c r="V148" s="291"/>
    </row>
    <row r="149" spans="10:22" ht="19.5" customHeight="1">
      <c r="J149" s="204" t="s">
        <v>272</v>
      </c>
      <c r="K149" s="259"/>
      <c r="L149" s="263">
        <f>K150+K152+K154</f>
        <v>881192000</v>
      </c>
      <c r="O149" s="239" t="s">
        <v>81</v>
      </c>
      <c r="P149" s="206" t="s">
        <v>68</v>
      </c>
      <c r="Q149" s="223">
        <f>Q150+Q153</f>
        <v>480000000</v>
      </c>
      <c r="R149" s="223">
        <f>R150+R153</f>
        <v>0</v>
      </c>
      <c r="S149" s="229">
        <f>(S150+S153)*G38</f>
        <v>0</v>
      </c>
      <c r="T149" s="229">
        <f>(T150+T153)*G38</f>
        <v>0</v>
      </c>
      <c r="U149" s="229">
        <f>(U150+U153)*H38</f>
        <v>0</v>
      </c>
      <c r="V149" s="229">
        <f>(V150+V153)*H38</f>
        <v>0</v>
      </c>
    </row>
    <row r="150" spans="10:22" ht="19.5" customHeight="1">
      <c r="J150" s="207" t="s">
        <v>298</v>
      </c>
      <c r="K150" s="261">
        <f>K151*P218*F37</f>
        <v>725960000</v>
      </c>
      <c r="L150" s="260"/>
      <c r="O150" s="240"/>
      <c r="P150" s="85" t="s">
        <v>337</v>
      </c>
      <c r="Q150" s="285">
        <f>Q151*Q152*F37</f>
        <v>0</v>
      </c>
      <c r="R150" s="285">
        <f>R151*R152*F37</f>
        <v>0</v>
      </c>
      <c r="S150" s="285">
        <f>S151*S152*G37</f>
        <v>0</v>
      </c>
      <c r="T150" s="285">
        <f>T151*T152*G37</f>
        <v>0</v>
      </c>
      <c r="U150" s="285">
        <f>U151*U152*H37</f>
        <v>0</v>
      </c>
      <c r="V150" s="285">
        <f>V151*V152*H37</f>
        <v>0</v>
      </c>
    </row>
    <row r="151" spans="10:22" ht="19.5" customHeight="1">
      <c r="J151" s="207" t="s">
        <v>312</v>
      </c>
      <c r="K151" s="261">
        <f>F7</f>
        <v>18149</v>
      </c>
      <c r="L151" s="260"/>
      <c r="O151" s="240"/>
      <c r="P151" s="85" t="s">
        <v>82</v>
      </c>
      <c r="Q151" s="285">
        <f>K25</f>
        <v>0</v>
      </c>
      <c r="R151" s="285">
        <f>K24</f>
        <v>0</v>
      </c>
      <c r="S151" s="285">
        <f>L25</f>
        <v>0</v>
      </c>
      <c r="T151" s="285">
        <f>L24</f>
        <v>0</v>
      </c>
      <c r="U151" s="285">
        <f>M25</f>
        <v>0</v>
      </c>
      <c r="V151" s="285">
        <f>M24</f>
        <v>0</v>
      </c>
    </row>
    <row r="152" spans="10:22" ht="19.5" customHeight="1">
      <c r="J152" s="207" t="s">
        <v>1189</v>
      </c>
      <c r="K152" s="261">
        <f>K153*Q218*G38*G37</f>
        <v>155232000</v>
      </c>
      <c r="L152" s="260"/>
      <c r="O152" s="240"/>
      <c r="P152" s="85" t="s">
        <v>347</v>
      </c>
      <c r="Q152" s="285">
        <f>Q188</f>
        <v>500000000</v>
      </c>
      <c r="R152" s="285">
        <f>Q188</f>
        <v>500000000</v>
      </c>
      <c r="S152" s="285">
        <f>R188</f>
        <v>500000</v>
      </c>
      <c r="T152" s="285">
        <f>R188</f>
        <v>500000</v>
      </c>
      <c r="U152" s="285">
        <f>S188</f>
        <v>1500000</v>
      </c>
      <c r="V152" s="285">
        <f>S188</f>
        <v>1500000</v>
      </c>
    </row>
    <row r="153" spans="10:22" ht="19.5" customHeight="1">
      <c r="J153" s="207" t="s">
        <v>1190</v>
      </c>
      <c r="K153" s="261">
        <f>G7</f>
        <v>3528</v>
      </c>
      <c r="L153" s="260"/>
      <c r="O153" s="240"/>
      <c r="P153" s="85" t="s">
        <v>336</v>
      </c>
      <c r="Q153" s="285">
        <f t="shared" ref="Q153:V153" si="26">Q154*Q155</f>
        <v>480000000</v>
      </c>
      <c r="R153" s="285">
        <f t="shared" si="26"/>
        <v>0</v>
      </c>
      <c r="S153" s="285">
        <f t="shared" si="26"/>
        <v>0</v>
      </c>
      <c r="T153" s="285">
        <f t="shared" si="26"/>
        <v>0</v>
      </c>
      <c r="U153" s="285">
        <f t="shared" si="26"/>
        <v>0</v>
      </c>
      <c r="V153" s="285">
        <f t="shared" si="26"/>
        <v>0</v>
      </c>
    </row>
    <row r="154" spans="10:22" ht="19.5" customHeight="1">
      <c r="J154" s="207" t="s">
        <v>1237</v>
      </c>
      <c r="K154" s="261">
        <f>K155*R218*H38*H37</f>
        <v>0</v>
      </c>
      <c r="L154" s="260"/>
      <c r="O154" s="240"/>
      <c r="P154" s="85" t="s">
        <v>338</v>
      </c>
      <c r="Q154" s="285">
        <f>K14</f>
        <v>6</v>
      </c>
      <c r="R154" s="285">
        <f>K18</f>
        <v>0</v>
      </c>
      <c r="S154" s="285">
        <f>L14</f>
        <v>0</v>
      </c>
      <c r="T154" s="285">
        <f>L18</f>
        <v>0</v>
      </c>
      <c r="U154" s="285">
        <f>M14</f>
        <v>0</v>
      </c>
      <c r="V154" s="285">
        <f>M18</f>
        <v>0</v>
      </c>
    </row>
    <row r="155" spans="10:22" ht="19.5" customHeight="1">
      <c r="J155" s="207" t="s">
        <v>1238</v>
      </c>
      <c r="K155" s="261">
        <f>H7</f>
        <v>0</v>
      </c>
      <c r="L155" s="260"/>
      <c r="O155" s="240"/>
      <c r="P155" s="85" t="s">
        <v>339</v>
      </c>
      <c r="Q155" s="285">
        <f>K39</f>
        <v>80000000</v>
      </c>
      <c r="R155" s="285">
        <f>K39</f>
        <v>80000000</v>
      </c>
      <c r="S155" s="285">
        <f>L40</f>
        <v>0</v>
      </c>
      <c r="T155" s="285">
        <f>L40</f>
        <v>0</v>
      </c>
      <c r="U155" s="285">
        <f>M40</f>
        <v>0</v>
      </c>
      <c r="V155" s="285">
        <f>M40</f>
        <v>0</v>
      </c>
    </row>
    <row r="156" spans="10:22" ht="19.5" customHeight="1">
      <c r="J156" s="204" t="s">
        <v>273</v>
      </c>
      <c r="K156" s="259"/>
      <c r="L156" s="263">
        <f>K157+K158+K159</f>
        <v>1400000000</v>
      </c>
      <c r="O156" s="86" t="s">
        <v>83</v>
      </c>
      <c r="P156" s="206" t="s">
        <v>68</v>
      </c>
      <c r="Q156" s="289">
        <f>Q157*Q158*Q159</f>
        <v>0</v>
      </c>
      <c r="R156" s="289">
        <f>R157*R158*R159</f>
        <v>0</v>
      </c>
      <c r="S156" s="289">
        <f>S157*S158*S159*G38</f>
        <v>0</v>
      </c>
      <c r="T156" s="289">
        <f>T157*T158*T159*G38</f>
        <v>0</v>
      </c>
      <c r="U156" s="289">
        <f>U157*U158*U159*H38</f>
        <v>0</v>
      </c>
      <c r="V156" s="289">
        <f>V157*V158*V159*H38</f>
        <v>0</v>
      </c>
    </row>
    <row r="157" spans="10:22" ht="19.5" customHeight="1">
      <c r="J157" s="207" t="s">
        <v>449</v>
      </c>
      <c r="K157" s="261">
        <f xml:space="preserve"> P219*F37</f>
        <v>500000000</v>
      </c>
      <c r="L157" s="260"/>
      <c r="O157" s="238"/>
      <c r="P157" s="85" t="s">
        <v>84</v>
      </c>
      <c r="Q157" s="285">
        <f>K15</f>
        <v>0</v>
      </c>
      <c r="R157" s="285">
        <f>K19</f>
        <v>0</v>
      </c>
      <c r="S157" s="285">
        <f>L15</f>
        <v>0</v>
      </c>
      <c r="T157" s="285">
        <f>L19</f>
        <v>0</v>
      </c>
      <c r="U157" s="285">
        <f>M15</f>
        <v>0</v>
      </c>
      <c r="V157" s="285">
        <f>M19</f>
        <v>0</v>
      </c>
    </row>
    <row r="158" spans="10:22" ht="19.5" customHeight="1">
      <c r="J158" s="207" t="s">
        <v>1191</v>
      </c>
      <c r="K158" s="261">
        <f>Q219*G37*G38</f>
        <v>550000000</v>
      </c>
      <c r="L158" s="260"/>
      <c r="O158" s="238"/>
      <c r="P158" s="85" t="s">
        <v>73</v>
      </c>
      <c r="Q158" s="290">
        <f t="shared" ref="Q158:V158" si="27">Q133</f>
        <v>1980000000.0000002</v>
      </c>
      <c r="R158" s="290">
        <f t="shared" si="27"/>
        <v>0</v>
      </c>
      <c r="S158" s="290">
        <f t="shared" si="27"/>
        <v>0</v>
      </c>
      <c r="T158" s="290">
        <f t="shared" si="27"/>
        <v>0</v>
      </c>
      <c r="U158" s="290">
        <f t="shared" si="27"/>
        <v>0</v>
      </c>
      <c r="V158" s="290">
        <f t="shared" si="27"/>
        <v>0</v>
      </c>
    </row>
    <row r="159" spans="10:22" ht="19.5" customHeight="1">
      <c r="J159" s="207" t="s">
        <v>1239</v>
      </c>
      <c r="K159" s="261">
        <f>R219*H38*H37</f>
        <v>350000000</v>
      </c>
      <c r="L159" s="260"/>
      <c r="O159" s="238"/>
      <c r="P159" s="85" t="s">
        <v>85</v>
      </c>
      <c r="Q159" s="292">
        <f>P205</f>
        <v>0.6</v>
      </c>
      <c r="R159" s="292">
        <f>P205</f>
        <v>0.6</v>
      </c>
      <c r="S159" s="292">
        <f>P205</f>
        <v>0.6</v>
      </c>
      <c r="T159" s="292">
        <f>P205</f>
        <v>0.6</v>
      </c>
      <c r="U159" s="292">
        <f>P205</f>
        <v>0.6</v>
      </c>
      <c r="V159" s="292">
        <f>P205</f>
        <v>0.6</v>
      </c>
    </row>
    <row r="160" spans="10:22" ht="19.5" customHeight="1">
      <c r="J160" s="204" t="s">
        <v>274</v>
      </c>
      <c r="K160" s="259"/>
      <c r="L160" s="263">
        <f>K161+K163+K165</f>
        <v>3311250000</v>
      </c>
      <c r="O160" s="241" t="s">
        <v>63</v>
      </c>
      <c r="P160" s="242"/>
      <c r="Q160" s="293">
        <f>F11</f>
        <v>136080</v>
      </c>
      <c r="R160" s="294"/>
      <c r="S160" s="298">
        <f>G11</f>
        <v>0</v>
      </c>
      <c r="T160" s="295"/>
      <c r="U160" s="298">
        <f>H11</f>
        <v>0</v>
      </c>
      <c r="V160" s="295"/>
    </row>
    <row r="161" spans="10:22" ht="19.5" customHeight="1">
      <c r="J161" s="207" t="s">
        <v>299</v>
      </c>
      <c r="K161" s="265">
        <f>K162*P220*F37</f>
        <v>1500000000</v>
      </c>
      <c r="L161" s="260"/>
      <c r="O161" s="241" t="s">
        <v>64</v>
      </c>
      <c r="P161" s="242"/>
      <c r="Q161" s="293">
        <f>Q124/Q160</f>
        <v>361522.63374485599</v>
      </c>
      <c r="R161" s="294"/>
      <c r="S161" s="298" t="e">
        <f>S124/S160</f>
        <v>#DIV/0!</v>
      </c>
      <c r="T161" s="295"/>
      <c r="U161" s="298" t="e">
        <f>U124/U160</f>
        <v>#DIV/0!</v>
      </c>
      <c r="V161" s="295"/>
    </row>
    <row r="162" spans="10:22" ht="19.5" customHeight="1">
      <c r="J162" s="207" t="s">
        <v>305</v>
      </c>
      <c r="K162" s="265">
        <f>F10</f>
        <v>30</v>
      </c>
      <c r="L162" s="260"/>
      <c r="O162" s="66"/>
      <c r="P162" s="66"/>
      <c r="Q162" s="66"/>
      <c r="R162" s="66"/>
      <c r="S162" s="66"/>
      <c r="T162" s="66"/>
      <c r="U162" s="66"/>
      <c r="V162" s="66"/>
    </row>
    <row r="163" spans="10:22" ht="19.5" customHeight="1">
      <c r="J163" s="207" t="s">
        <v>1192</v>
      </c>
      <c r="K163" s="265">
        <f>K164*Q220*G37*G38</f>
        <v>1155000000</v>
      </c>
      <c r="L163" s="260"/>
      <c r="O163" s="66"/>
      <c r="P163" s="66"/>
      <c r="Q163" s="66"/>
      <c r="R163" s="66"/>
      <c r="S163" s="66"/>
      <c r="T163" s="66"/>
      <c r="U163" s="66"/>
      <c r="V163" s="66"/>
    </row>
    <row r="164" spans="10:22" ht="19.5" customHeight="1">
      <c r="J164" s="207" t="s">
        <v>1193</v>
      </c>
      <c r="K164" s="265">
        <f>G10</f>
        <v>15</v>
      </c>
      <c r="L164" s="260"/>
      <c r="O164" s="69" t="s">
        <v>270</v>
      </c>
      <c r="P164" s="66"/>
      <c r="Q164" s="66"/>
      <c r="R164" s="66"/>
      <c r="S164" s="66"/>
      <c r="T164" s="66"/>
      <c r="U164" s="66"/>
      <c r="V164" s="66"/>
    </row>
    <row r="165" spans="10:22" ht="19.5" customHeight="1">
      <c r="J165" s="207" t="s">
        <v>1240</v>
      </c>
      <c r="K165" s="265">
        <f>K166*R220*H37*H38</f>
        <v>656250000</v>
      </c>
      <c r="L165" s="260"/>
      <c r="O165" s="81" t="s">
        <v>86</v>
      </c>
      <c r="P165" s="215" t="s">
        <v>1</v>
      </c>
      <c r="Q165" s="216"/>
      <c r="R165" s="217" t="s">
        <v>1163</v>
      </c>
      <c r="S165" s="218"/>
      <c r="T165" s="215" t="s">
        <v>1206</v>
      </c>
      <c r="U165" s="216"/>
      <c r="V165" s="66"/>
    </row>
    <row r="166" spans="10:22" ht="19.5" customHeight="1">
      <c r="J166" s="207" t="s">
        <v>1241</v>
      </c>
      <c r="K166" s="265">
        <f>H10</f>
        <v>15</v>
      </c>
      <c r="L166" s="260"/>
      <c r="O166" s="221" t="s">
        <v>348</v>
      </c>
      <c r="P166" s="220" t="s">
        <v>3</v>
      </c>
      <c r="Q166" s="220" t="s">
        <v>4</v>
      </c>
      <c r="R166" s="220" t="s">
        <v>3</v>
      </c>
      <c r="S166" s="220" t="s">
        <v>4</v>
      </c>
      <c r="T166" s="220" t="s">
        <v>3</v>
      </c>
      <c r="U166" s="220" t="s">
        <v>4</v>
      </c>
      <c r="V166" s="66"/>
    </row>
    <row r="167" spans="10:22" ht="19.5" customHeight="1">
      <c r="J167" s="204" t="s">
        <v>304</v>
      </c>
      <c r="K167" s="259"/>
      <c r="L167" s="252">
        <f>K168+K172</f>
        <v>1251400000</v>
      </c>
      <c r="O167" s="221">
        <v>40</v>
      </c>
      <c r="P167" s="222">
        <f>'1. Parameter Table'!D10</f>
        <v>20000</v>
      </c>
      <c r="Q167" s="222">
        <f>'1. Parameter Table'!E10</f>
        <v>19000</v>
      </c>
      <c r="R167" s="222">
        <f>'1. Parameter Table'!F10</f>
        <v>21000</v>
      </c>
      <c r="S167" s="222">
        <f>'1. Parameter Table'!G10</f>
        <v>19950</v>
      </c>
      <c r="T167" s="222">
        <f>'1. Parameter Table'!H10</f>
        <v>19000</v>
      </c>
      <c r="U167" s="222">
        <f>'1. Parameter Table'!I10</f>
        <v>18050</v>
      </c>
      <c r="V167" s="66"/>
    </row>
    <row r="168" spans="10:22" ht="19.5" customHeight="1">
      <c r="J168" s="207" t="s">
        <v>300</v>
      </c>
      <c r="K168" s="265">
        <f>SUM(K169:K171)</f>
        <v>795000000</v>
      </c>
      <c r="L168" s="260"/>
      <c r="O168" s="221">
        <v>44</v>
      </c>
      <c r="P168" s="222">
        <f>'1. Parameter Table'!D11</f>
        <v>20800</v>
      </c>
      <c r="Q168" s="222">
        <f>'1. Parameter Table'!E11</f>
        <v>19760</v>
      </c>
      <c r="R168" s="222">
        <f>'1. Parameter Table'!F11</f>
        <v>21840</v>
      </c>
      <c r="S168" s="222">
        <f>'1. Parameter Table'!G11</f>
        <v>20748</v>
      </c>
      <c r="T168" s="222">
        <f>'1. Parameter Table'!H11</f>
        <v>19760</v>
      </c>
      <c r="U168" s="222">
        <f>'1. Parameter Table'!I11</f>
        <v>18772</v>
      </c>
      <c r="V168" s="66"/>
    </row>
    <row r="169" spans="10:22" ht="19.5" customHeight="1">
      <c r="J169" s="207" t="s">
        <v>311</v>
      </c>
      <c r="K169" s="265">
        <f>K38</f>
        <v>400000000</v>
      </c>
      <c r="L169" s="260"/>
      <c r="O169" s="221">
        <v>48</v>
      </c>
      <c r="P169" s="222">
        <f>'1. Parameter Table'!D12</f>
        <v>21600</v>
      </c>
      <c r="Q169" s="222">
        <f>'1. Parameter Table'!E12</f>
        <v>20520</v>
      </c>
      <c r="R169" s="222">
        <f>'1. Parameter Table'!F12</f>
        <v>22680</v>
      </c>
      <c r="S169" s="222">
        <f>'1. Parameter Table'!G12</f>
        <v>21546</v>
      </c>
      <c r="T169" s="222">
        <f>'1. Parameter Table'!H12</f>
        <v>20520</v>
      </c>
      <c r="U169" s="222">
        <f>'1. Parameter Table'!I12</f>
        <v>19494</v>
      </c>
      <c r="V169" s="66"/>
    </row>
    <row r="170" spans="10:22" ht="19.5" customHeight="1">
      <c r="J170" s="207" t="s">
        <v>1194</v>
      </c>
      <c r="K170" s="265">
        <f>L38*G38</f>
        <v>220000000</v>
      </c>
      <c r="L170" s="260"/>
      <c r="O170" s="82" t="s">
        <v>315</v>
      </c>
      <c r="P170" s="223" t="s">
        <v>87</v>
      </c>
      <c r="Q170" s="223"/>
      <c r="R170" s="223" t="s">
        <v>1163</v>
      </c>
      <c r="S170" s="223"/>
      <c r="T170" s="223" t="s">
        <v>1206</v>
      </c>
      <c r="U170" s="223"/>
      <c r="V170" s="66"/>
    </row>
    <row r="171" spans="10:22" ht="19.5" customHeight="1">
      <c r="J171" s="207" t="s">
        <v>1242</v>
      </c>
      <c r="K171" s="265">
        <f>M38*H38</f>
        <v>175000000</v>
      </c>
      <c r="L171" s="260"/>
      <c r="O171" s="221" t="s">
        <v>348</v>
      </c>
      <c r="P171" s="220" t="s">
        <v>3</v>
      </c>
      <c r="Q171" s="220" t="s">
        <v>4</v>
      </c>
      <c r="R171" s="220" t="s">
        <v>3</v>
      </c>
      <c r="S171" s="220" t="s">
        <v>4</v>
      </c>
      <c r="T171" s="220" t="s">
        <v>3</v>
      </c>
      <c r="U171" s="220" t="s">
        <v>4</v>
      </c>
      <c r="V171" s="66"/>
    </row>
    <row r="172" spans="10:22" ht="19.5" customHeight="1">
      <c r="J172" s="207" t="s">
        <v>309</v>
      </c>
      <c r="K172" s="265">
        <f>K174+K176+K178</f>
        <v>456400000</v>
      </c>
      <c r="L172" s="260"/>
      <c r="O172" s="221">
        <v>40</v>
      </c>
      <c r="P172" s="224">
        <v>1</v>
      </c>
      <c r="Q172" s="224">
        <v>1.1000000000000001</v>
      </c>
      <c r="R172" s="224">
        <v>1</v>
      </c>
      <c r="S172" s="224">
        <v>1.1000000000000001</v>
      </c>
      <c r="T172" s="224">
        <v>1</v>
      </c>
      <c r="U172" s="224">
        <v>1.1000000000000001</v>
      </c>
      <c r="V172" s="66"/>
    </row>
    <row r="173" spans="10:22" ht="19.5" customHeight="1">
      <c r="J173" s="207" t="s">
        <v>306</v>
      </c>
      <c r="K173" s="265">
        <f>K32</f>
        <v>35</v>
      </c>
      <c r="L173" s="260"/>
      <c r="O173" s="221">
        <v>44</v>
      </c>
      <c r="P173" s="225">
        <v>1.05</v>
      </c>
      <c r="Q173" s="225">
        <v>1.155</v>
      </c>
      <c r="R173" s="225">
        <v>1.05</v>
      </c>
      <c r="S173" s="225">
        <v>1.155</v>
      </c>
      <c r="T173" s="225">
        <v>1.05</v>
      </c>
      <c r="U173" s="225">
        <v>1.155</v>
      </c>
      <c r="V173" s="66"/>
    </row>
    <row r="174" spans="10:22" ht="19.5" customHeight="1">
      <c r="J174" s="207" t="s">
        <v>310</v>
      </c>
      <c r="K174" s="265">
        <f>IF(K173&gt;=0,K173*P221*F37,0)</f>
        <v>210000000</v>
      </c>
      <c r="L174" s="260"/>
      <c r="O174" s="221">
        <v>48</v>
      </c>
      <c r="P174" s="225">
        <v>1.1000000000000001</v>
      </c>
      <c r="Q174" s="225">
        <v>1.2100000000000002</v>
      </c>
      <c r="R174" s="225">
        <v>1.1000000000000001</v>
      </c>
      <c r="S174" s="225">
        <v>1.21</v>
      </c>
      <c r="T174" s="225">
        <v>1.1000000000000001</v>
      </c>
      <c r="U174" s="225">
        <v>1.21</v>
      </c>
      <c r="V174" s="66"/>
    </row>
    <row r="175" spans="10:22" ht="19.5" customHeight="1">
      <c r="J175" s="207" t="s">
        <v>1195</v>
      </c>
      <c r="K175" s="265">
        <f>L32</f>
        <v>17</v>
      </c>
      <c r="L175" s="260"/>
      <c r="O175" s="81" t="s">
        <v>88</v>
      </c>
      <c r="P175" s="226">
        <v>4</v>
      </c>
      <c r="Q175" s="226">
        <v>5</v>
      </c>
      <c r="R175" s="226">
        <v>6</v>
      </c>
      <c r="S175" s="226">
        <v>7</v>
      </c>
      <c r="T175" s="226">
        <v>8</v>
      </c>
      <c r="U175" s="226">
        <v>9</v>
      </c>
      <c r="V175" s="66"/>
    </row>
    <row r="176" spans="10:22" ht="19.5" customHeight="1">
      <c r="J176" s="207" t="s">
        <v>1196</v>
      </c>
      <c r="K176" s="265">
        <f>IF(K175&gt;=0,K175*Q221*G37*G38,0)</f>
        <v>130900000</v>
      </c>
      <c r="L176" s="260"/>
      <c r="O176" s="221" t="s">
        <v>1</v>
      </c>
      <c r="P176" s="222">
        <f>'1. Parameter Table'!D23</f>
        <v>200000</v>
      </c>
      <c r="Q176" s="222">
        <f>'1. Parameter Table'!E23</f>
        <v>225000</v>
      </c>
      <c r="R176" s="222">
        <f>'1. Parameter Table'!F23</f>
        <v>255000</v>
      </c>
      <c r="S176" s="222">
        <f>'1. Parameter Table'!G23</f>
        <v>290000</v>
      </c>
      <c r="T176" s="222">
        <f>'1. Parameter Table'!H23</f>
        <v>315000</v>
      </c>
      <c r="U176" s="222">
        <f>'1. Parameter Table'!I23</f>
        <v>345000</v>
      </c>
      <c r="V176" s="66"/>
    </row>
    <row r="177" spans="10:22" ht="19.5" customHeight="1">
      <c r="J177" s="207" t="s">
        <v>1243</v>
      </c>
      <c r="K177" s="265">
        <f>M32</f>
        <v>22</v>
      </c>
      <c r="L177" s="260"/>
      <c r="O177" s="221" t="s">
        <v>1163</v>
      </c>
      <c r="P177" s="222">
        <f>'1. Parameter Table'!D24</f>
        <v>180</v>
      </c>
      <c r="Q177" s="222">
        <f>'1. Parameter Table'!E24</f>
        <v>200</v>
      </c>
      <c r="R177" s="222">
        <f>'1. Parameter Table'!F24</f>
        <v>220</v>
      </c>
      <c r="S177" s="222">
        <f>'1. Parameter Table'!G24</f>
        <v>250</v>
      </c>
      <c r="T177" s="222">
        <f>'1. Parameter Table'!H24</f>
        <v>280</v>
      </c>
      <c r="U177" s="222">
        <f>'1. Parameter Table'!I24</f>
        <v>300</v>
      </c>
      <c r="V177" s="66"/>
    </row>
    <row r="178" spans="10:22" ht="19.5" customHeight="1">
      <c r="J178" s="207" t="s">
        <v>1244</v>
      </c>
      <c r="K178" s="265">
        <f>IF(K177&gt;=0,K177*R221*H37*H38,0)</f>
        <v>115500000</v>
      </c>
      <c r="L178" s="260"/>
      <c r="O178" s="221" t="s">
        <v>1206</v>
      </c>
      <c r="P178" s="222">
        <f>'1. Parameter Table'!D25</f>
        <v>1000</v>
      </c>
      <c r="Q178" s="222">
        <f>'1. Parameter Table'!E25</f>
        <v>1150</v>
      </c>
      <c r="R178" s="222">
        <f>'1. Parameter Table'!F25</f>
        <v>1200</v>
      </c>
      <c r="S178" s="222">
        <f>'1. Parameter Table'!G25</f>
        <v>1380</v>
      </c>
      <c r="T178" s="222">
        <f>'1. Parameter Table'!H25</f>
        <v>1650</v>
      </c>
      <c r="U178" s="222">
        <f>'1. Parameter Table'!I25</f>
        <v>1800</v>
      </c>
      <c r="V178" s="66"/>
    </row>
    <row r="179" spans="10:22" ht="19.5" customHeight="1">
      <c r="J179" s="1185" t="s">
        <v>275</v>
      </c>
      <c r="K179" s="1186"/>
      <c r="L179" s="1187">
        <f>K180+K184+K181+K187</f>
        <v>3660500000</v>
      </c>
      <c r="O179" s="81" t="s">
        <v>316</v>
      </c>
      <c r="P179" s="223" t="s">
        <v>1</v>
      </c>
      <c r="Q179" s="223"/>
      <c r="R179" s="223" t="s">
        <v>1163</v>
      </c>
      <c r="S179" s="223"/>
      <c r="T179" s="223" t="s">
        <v>1206</v>
      </c>
      <c r="U179" s="223"/>
      <c r="V179" s="66"/>
    </row>
    <row r="180" spans="10:22" ht="19.5" customHeight="1">
      <c r="J180" s="1185" t="s">
        <v>1146</v>
      </c>
      <c r="K180" s="1186">
        <f>K27</f>
        <v>2800000000</v>
      </c>
      <c r="L180" s="1187"/>
      <c r="O180" s="208"/>
      <c r="P180" s="247">
        <v>1.5</v>
      </c>
      <c r="Q180" s="71"/>
      <c r="R180" s="247">
        <v>1.5</v>
      </c>
      <c r="S180" s="71"/>
      <c r="T180" s="247">
        <v>1.5</v>
      </c>
      <c r="U180" s="71"/>
    </row>
    <row r="181" spans="10:22" ht="19.5" customHeight="1">
      <c r="J181" s="1185" t="s">
        <v>1147</v>
      </c>
      <c r="K181" s="1186">
        <f>K185*K186</f>
        <v>310500000</v>
      </c>
      <c r="L181" s="1187"/>
      <c r="O181" s="81" t="s">
        <v>317</v>
      </c>
      <c r="P181" s="223" t="s">
        <v>1</v>
      </c>
      <c r="Q181" s="223"/>
      <c r="R181" s="223" t="s">
        <v>1163</v>
      </c>
      <c r="S181" s="223"/>
      <c r="T181" s="223" t="s">
        <v>1206</v>
      </c>
      <c r="U181" s="223"/>
    </row>
    <row r="182" spans="10:22" ht="19.5" customHeight="1">
      <c r="J182" s="1188" t="s">
        <v>1136</v>
      </c>
      <c r="K182" s="1186">
        <f>F21+K29</f>
        <v>50</v>
      </c>
      <c r="L182" s="1187"/>
      <c r="O182" s="72" t="s">
        <v>59</v>
      </c>
      <c r="P182" s="220" t="s">
        <v>3</v>
      </c>
      <c r="Q182" s="220" t="s">
        <v>4</v>
      </c>
      <c r="R182" s="220" t="s">
        <v>3</v>
      </c>
      <c r="S182" s="220" t="s">
        <v>4</v>
      </c>
      <c r="T182" s="220" t="s">
        <v>3</v>
      </c>
      <c r="U182" s="220" t="s">
        <v>4</v>
      </c>
    </row>
    <row r="183" spans="10:22" ht="19.5" customHeight="1">
      <c r="J183" s="1188" t="s">
        <v>1137</v>
      </c>
      <c r="K183" s="1186">
        <f>K31</f>
        <v>9000000</v>
      </c>
      <c r="L183" s="1187"/>
      <c r="O183" s="87" t="s">
        <v>89</v>
      </c>
      <c r="P183" s="227">
        <f>'1. Parameter Table'!D30</f>
        <v>300000000</v>
      </c>
      <c r="Q183" s="227">
        <f>'1. Parameter Table'!E30</f>
        <v>300000000</v>
      </c>
      <c r="R183" s="227">
        <f>'1. Parameter Table'!F30</f>
        <v>300000</v>
      </c>
      <c r="S183" s="227">
        <f>'1. Parameter Table'!G30</f>
        <v>300000</v>
      </c>
      <c r="T183" s="227">
        <f>'1. Parameter Table'!H30</f>
        <v>1300000</v>
      </c>
      <c r="U183" s="227">
        <f>'1. Parameter Table'!I30</f>
        <v>1300000</v>
      </c>
    </row>
    <row r="184" spans="10:22" ht="19.5" customHeight="1">
      <c r="J184" s="1188" t="s">
        <v>1138</v>
      </c>
      <c r="K184" s="1186">
        <f>K182*K183</f>
        <v>450000000</v>
      </c>
      <c r="L184" s="1187"/>
      <c r="O184" s="82" t="s">
        <v>318</v>
      </c>
      <c r="P184" s="223" t="s">
        <v>1</v>
      </c>
      <c r="Q184" s="223"/>
      <c r="R184" s="223" t="s">
        <v>1163</v>
      </c>
      <c r="S184" s="223"/>
      <c r="T184" s="223" t="s">
        <v>1206</v>
      </c>
      <c r="U184" s="223"/>
    </row>
    <row r="185" spans="10:22" ht="19.5" customHeight="1">
      <c r="J185" s="1188" t="s">
        <v>1139</v>
      </c>
      <c r="K185" s="1186">
        <f>F25+K30</f>
        <v>23</v>
      </c>
      <c r="L185" s="1187"/>
      <c r="O185" s="72" t="s">
        <v>59</v>
      </c>
      <c r="P185" s="220" t="s">
        <v>3</v>
      </c>
      <c r="Q185" s="220" t="s">
        <v>4</v>
      </c>
      <c r="R185" s="220" t="s">
        <v>3</v>
      </c>
      <c r="S185" s="220" t="s">
        <v>4</v>
      </c>
      <c r="T185" s="220" t="s">
        <v>3</v>
      </c>
      <c r="U185" s="220" t="s">
        <v>4</v>
      </c>
    </row>
    <row r="186" spans="10:22" ht="19.5" customHeight="1">
      <c r="J186" s="1188" t="s">
        <v>1137</v>
      </c>
      <c r="K186" s="1186">
        <f>K183*1.5</f>
        <v>13500000</v>
      </c>
      <c r="L186" s="1187"/>
      <c r="O186" s="72"/>
      <c r="P186" s="222">
        <f>'1. Parameter Table'!D35</f>
        <v>4000000000</v>
      </c>
      <c r="Q186" s="222">
        <f>'1. Parameter Table'!E35</f>
        <v>0</v>
      </c>
      <c r="R186" s="222">
        <f>'1. Parameter Table'!F35</f>
        <v>2000000</v>
      </c>
      <c r="S186" s="222">
        <f>'1. Parameter Table'!G35</f>
        <v>0</v>
      </c>
      <c r="T186" s="222">
        <f>'1. Parameter Table'!H35</f>
        <v>5000000</v>
      </c>
      <c r="U186" s="222">
        <f>'1. Parameter Table'!I35</f>
        <v>0</v>
      </c>
    </row>
    <row r="187" spans="10:22" ht="19.5" customHeight="1">
      <c r="J187" s="1185" t="s">
        <v>1148</v>
      </c>
      <c r="K187" s="1186">
        <f>K40</f>
        <v>100000000</v>
      </c>
      <c r="L187" s="1187"/>
      <c r="O187" s="88" t="s">
        <v>319</v>
      </c>
      <c r="P187" s="228"/>
      <c r="Q187" s="223" t="s">
        <v>1</v>
      </c>
      <c r="R187" s="223" t="s">
        <v>1163</v>
      </c>
      <c r="S187" s="223" t="s">
        <v>1206</v>
      </c>
      <c r="T187" s="246"/>
      <c r="U187" s="246"/>
    </row>
    <row r="188" spans="10:22" ht="19.5" customHeight="1">
      <c r="O188" s="83"/>
      <c r="P188" s="220" t="s">
        <v>90</v>
      </c>
      <c r="Q188" s="222">
        <f>'1. Parameter Table'!D39</f>
        <v>500000000</v>
      </c>
      <c r="R188" s="222">
        <f>'1. Parameter Table'!E39</f>
        <v>500000</v>
      </c>
      <c r="S188" s="222">
        <f>'1. Parameter Table'!F39</f>
        <v>1500000</v>
      </c>
      <c r="T188" s="246"/>
      <c r="U188" s="246"/>
    </row>
    <row r="189" spans="10:22" ht="19.5" customHeight="1">
      <c r="J189" s="1202" t="s">
        <v>276</v>
      </c>
      <c r="K189" s="1201"/>
      <c r="L189" s="1203">
        <f>P222*F37</f>
        <v>1000000000</v>
      </c>
      <c r="M189" s="311"/>
      <c r="O189" s="81" t="s">
        <v>365</v>
      </c>
      <c r="P189" s="223"/>
      <c r="Q189" s="223" t="s">
        <v>1</v>
      </c>
      <c r="R189" s="223" t="s">
        <v>1163</v>
      </c>
      <c r="S189" s="223" t="s">
        <v>1206</v>
      </c>
      <c r="T189" s="246"/>
    </row>
    <row r="190" spans="10:22" ht="19.5" customHeight="1">
      <c r="J190" s="1242" t="s">
        <v>1094</v>
      </c>
      <c r="K190" s="1186"/>
      <c r="L190" s="1244">
        <f>K191+K201+K202+K203</f>
        <v>1930631655</v>
      </c>
      <c r="O190" s="84"/>
      <c r="P190" s="220" t="s">
        <v>364</v>
      </c>
      <c r="Q190" s="469">
        <f>'1. Parameter Table'!D43</f>
        <v>2000000000</v>
      </c>
      <c r="R190" s="469">
        <f>'1. Parameter Table'!E43</f>
        <v>2000000</v>
      </c>
      <c r="S190" s="469">
        <f>'1. Parameter Table'!F43</f>
        <v>10000000</v>
      </c>
      <c r="T190" s="246"/>
    </row>
    <row r="191" spans="10:22" ht="19.5" customHeight="1">
      <c r="J191" s="1242" t="s">
        <v>1095</v>
      </c>
      <c r="K191" s="1244">
        <f>K192+K195+K198</f>
        <v>410750000</v>
      </c>
      <c r="L191" s="1186"/>
      <c r="O191" s="81" t="s">
        <v>320</v>
      </c>
      <c r="P191" s="223"/>
      <c r="Q191" s="223" t="s">
        <v>1</v>
      </c>
      <c r="R191" s="223" t="s">
        <v>1163</v>
      </c>
      <c r="S191" s="223" t="s">
        <v>1206</v>
      </c>
      <c r="T191" s="246"/>
    </row>
    <row r="192" spans="10:22" ht="19.5" customHeight="1">
      <c r="J192" s="1242" t="s">
        <v>307</v>
      </c>
      <c r="K192" s="1243">
        <f>K193*K194</f>
        <v>200000000</v>
      </c>
      <c r="L192" s="1186"/>
      <c r="O192" s="84"/>
      <c r="P192" s="220" t="s">
        <v>91</v>
      </c>
      <c r="Q192" s="469">
        <f>'1. Parameter Table'!D47</f>
        <v>10000000000</v>
      </c>
      <c r="R192" s="469">
        <f>'1. Parameter Table'!E47</f>
        <v>10000000</v>
      </c>
      <c r="S192" s="469">
        <f>'1. Parameter Table'!F47</f>
        <v>30000000</v>
      </c>
      <c r="T192" s="246"/>
    </row>
    <row r="193" spans="10:21" ht="19.5" customHeight="1">
      <c r="J193" s="1242" t="s">
        <v>308</v>
      </c>
      <c r="K193" s="1244">
        <f>F28</f>
        <v>25</v>
      </c>
      <c r="L193" s="1186"/>
      <c r="O193" s="81" t="s">
        <v>368</v>
      </c>
      <c r="P193" s="223" t="s">
        <v>367</v>
      </c>
      <c r="Q193" s="222">
        <v>2</v>
      </c>
      <c r="R193" s="281"/>
      <c r="T193" s="246"/>
      <c r="U193" s="246"/>
    </row>
    <row r="194" spans="10:21" ht="19.5" customHeight="1">
      <c r="J194" s="1242" t="s">
        <v>438</v>
      </c>
      <c r="K194" s="1243">
        <f>K34</f>
        <v>8000000</v>
      </c>
      <c r="L194" s="1186"/>
      <c r="O194" s="84"/>
      <c r="P194" s="223" t="s">
        <v>366</v>
      </c>
      <c r="Q194" s="222">
        <v>2</v>
      </c>
      <c r="S194" s="360"/>
      <c r="T194" s="246"/>
      <c r="U194" s="246"/>
    </row>
    <row r="195" spans="10:21" ht="19.5" customHeight="1">
      <c r="J195" s="1242" t="s">
        <v>1197</v>
      </c>
      <c r="K195" s="1244">
        <f>K196*K197*G38</f>
        <v>132000000</v>
      </c>
      <c r="L195" s="1186"/>
      <c r="O195" s="81" t="s">
        <v>321</v>
      </c>
      <c r="P195" s="223" t="s">
        <v>372</v>
      </c>
      <c r="Q195" s="306">
        <v>20</v>
      </c>
      <c r="T195" s="246"/>
      <c r="U195" s="246"/>
    </row>
    <row r="196" spans="10:21" ht="19.5" customHeight="1">
      <c r="J196" s="1242" t="s">
        <v>1198</v>
      </c>
      <c r="K196" s="1244">
        <f>G28</f>
        <v>12</v>
      </c>
      <c r="L196" s="1186"/>
      <c r="O196" s="219" t="s">
        <v>377</v>
      </c>
      <c r="P196" s="220" t="s">
        <v>60</v>
      </c>
      <c r="Q196" s="220" t="s">
        <v>25</v>
      </c>
      <c r="R196" s="220" t="s">
        <v>61</v>
      </c>
      <c r="T196" s="246"/>
      <c r="U196" s="246"/>
    </row>
    <row r="197" spans="10:21" ht="19.5" customHeight="1">
      <c r="J197" s="1242" t="s">
        <v>438</v>
      </c>
      <c r="K197" s="1243">
        <f>L34</f>
        <v>10000</v>
      </c>
      <c r="L197" s="1186"/>
      <c r="O197" s="219" t="s">
        <v>27</v>
      </c>
      <c r="P197" s="222">
        <v>10000000000</v>
      </c>
      <c r="Q197" s="231">
        <v>0.05</v>
      </c>
      <c r="R197" s="222">
        <v>100000000</v>
      </c>
      <c r="T197" s="66"/>
      <c r="U197" s="66"/>
    </row>
    <row r="198" spans="10:21" ht="19.5" customHeight="1">
      <c r="J198" s="1242" t="s">
        <v>1245</v>
      </c>
      <c r="K198" s="1244">
        <f>K199*K200*H38</f>
        <v>78750000</v>
      </c>
      <c r="L198" s="1186"/>
      <c r="O198" s="219" t="s">
        <v>1170</v>
      </c>
      <c r="P198" s="469">
        <v>11000000000</v>
      </c>
      <c r="Q198" s="231">
        <v>0.05</v>
      </c>
      <c r="R198" s="222">
        <v>110000000</v>
      </c>
      <c r="T198" s="66"/>
      <c r="U198" s="66"/>
    </row>
    <row r="199" spans="10:21" ht="19.5" customHeight="1">
      <c r="J199" s="1242" t="s">
        <v>1246</v>
      </c>
      <c r="K199" s="1244">
        <f>H28</f>
        <v>15</v>
      </c>
      <c r="L199" s="1186"/>
      <c r="O199" s="219" t="s">
        <v>1212</v>
      </c>
      <c r="P199" s="469">
        <v>5250000000</v>
      </c>
      <c r="Q199" s="231">
        <v>0.05</v>
      </c>
      <c r="R199" s="222">
        <v>87500000</v>
      </c>
      <c r="T199" s="66"/>
      <c r="U199" s="66"/>
    </row>
    <row r="200" spans="10:21" ht="19.5" customHeight="1">
      <c r="J200" s="1242" t="s">
        <v>438</v>
      </c>
      <c r="K200" s="1243">
        <f>M34</f>
        <v>30000</v>
      </c>
      <c r="L200" s="1186"/>
      <c r="O200" s="81" t="s">
        <v>374</v>
      </c>
      <c r="P200" s="223" t="s">
        <v>373</v>
      </c>
      <c r="Q200" s="222">
        <v>25</v>
      </c>
      <c r="R200" s="66"/>
      <c r="S200" s="66"/>
      <c r="T200" s="66"/>
      <c r="U200" s="66"/>
    </row>
    <row r="201" spans="10:21" ht="19.5" customHeight="1">
      <c r="J201" s="1242" t="s">
        <v>1096</v>
      </c>
      <c r="K201" s="1243">
        <f>(L99+L107+L123)*P223</f>
        <v>1019881655</v>
      </c>
      <c r="L201" s="1186"/>
      <c r="O201" s="219" t="s">
        <v>377</v>
      </c>
      <c r="P201" s="220" t="s">
        <v>60</v>
      </c>
      <c r="Q201" s="220" t="s">
        <v>25</v>
      </c>
      <c r="R201" s="230" t="s">
        <v>61</v>
      </c>
      <c r="S201" s="66"/>
      <c r="T201" s="66"/>
      <c r="U201" s="66"/>
    </row>
    <row r="202" spans="10:21" ht="19.5" customHeight="1">
      <c r="J202" s="1242" t="s">
        <v>1097</v>
      </c>
      <c r="K202" s="1244">
        <f>K6</f>
        <v>500000000</v>
      </c>
      <c r="L202" s="1243"/>
      <c r="O202" s="219" t="s">
        <v>27</v>
      </c>
      <c r="P202" s="222">
        <v>2000000000</v>
      </c>
      <c r="Q202" s="231">
        <v>0.04</v>
      </c>
      <c r="R202" s="222">
        <v>400000000</v>
      </c>
      <c r="S202" s="66"/>
      <c r="T202" s="66"/>
      <c r="U202" s="66"/>
    </row>
    <row r="203" spans="10:21" ht="19.5" customHeight="1">
      <c r="J203" s="1242" t="s">
        <v>1098</v>
      </c>
      <c r="K203" s="1244">
        <v>0</v>
      </c>
      <c r="L203" s="1186"/>
      <c r="O203" s="219" t="s">
        <v>1170</v>
      </c>
      <c r="P203" s="222">
        <v>2200000000</v>
      </c>
      <c r="Q203" s="231">
        <v>0.04</v>
      </c>
      <c r="R203" s="222">
        <v>440000000</v>
      </c>
      <c r="S203" s="66"/>
    </row>
    <row r="204" spans="10:21" ht="19.5" customHeight="1">
      <c r="J204" s="204" t="s">
        <v>231</v>
      </c>
      <c r="K204" s="253"/>
      <c r="L204" s="252">
        <f>L97-L98</f>
        <v>4969493866</v>
      </c>
      <c r="O204" s="219" t="s">
        <v>1212</v>
      </c>
      <c r="P204" s="222">
        <v>1750000000</v>
      </c>
      <c r="Q204" s="231">
        <v>0.04</v>
      </c>
      <c r="R204" s="222">
        <v>210000000</v>
      </c>
      <c r="S204" s="66"/>
    </row>
    <row r="205" spans="10:21" ht="19.5" customHeight="1">
      <c r="J205" s="204" t="s">
        <v>232</v>
      </c>
      <c r="K205" s="253"/>
      <c r="L205" s="252">
        <f>K206+K207</f>
        <v>86250000</v>
      </c>
      <c r="O205" s="81" t="s">
        <v>369</v>
      </c>
      <c r="P205" s="231">
        <f>'1. Parameter Table'!D64</f>
        <v>0.6</v>
      </c>
      <c r="Q205" s="66"/>
      <c r="R205" s="66"/>
      <c r="S205" s="66"/>
    </row>
    <row r="206" spans="10:21" ht="19.5" customHeight="1">
      <c r="J206" s="207" t="s">
        <v>444</v>
      </c>
      <c r="K206" s="261">
        <f>K44*F39/4</f>
        <v>86250000</v>
      </c>
      <c r="L206" s="266"/>
      <c r="O206" s="305" t="s">
        <v>371</v>
      </c>
      <c r="P206" s="231">
        <f>'1. Parameter Table'!D67</f>
        <v>0.3</v>
      </c>
      <c r="Q206" s="66"/>
      <c r="R206" s="66"/>
      <c r="S206" s="66"/>
    </row>
    <row r="207" spans="10:21" ht="19.5" customHeight="1">
      <c r="J207" s="207" t="s">
        <v>445</v>
      </c>
      <c r="K207" s="261">
        <v>0</v>
      </c>
      <c r="L207" s="266"/>
      <c r="O207" s="305" t="s">
        <v>370</v>
      </c>
      <c r="P207" s="231">
        <f>'1. Parameter Table'!D70</f>
        <v>0</v>
      </c>
      <c r="Q207" s="66"/>
      <c r="R207" s="66"/>
      <c r="S207" s="66"/>
    </row>
    <row r="208" spans="10:21" ht="19.5" customHeight="1">
      <c r="J208" s="204" t="s">
        <v>235</v>
      </c>
      <c r="K208" s="253"/>
      <c r="L208" s="252">
        <f>K209+K210+K211</f>
        <v>33990000</v>
      </c>
    </row>
    <row r="209" spans="10:19" ht="19.5" customHeight="1">
      <c r="J209" s="207" t="s">
        <v>446</v>
      </c>
      <c r="K209" s="261">
        <f>P34</f>
        <v>0</v>
      </c>
      <c r="L209" s="266"/>
      <c r="O209" s="209" t="s">
        <v>1100</v>
      </c>
    </row>
    <row r="210" spans="10:19" ht="19.5" customHeight="1">
      <c r="J210" s="207" t="s">
        <v>447</v>
      </c>
      <c r="K210" s="261">
        <f>P35</f>
        <v>33990000</v>
      </c>
      <c r="L210" s="266"/>
      <c r="O210" s="1137" t="s">
        <v>97</v>
      </c>
      <c r="P210" s="267" t="s">
        <v>96</v>
      </c>
      <c r="Q210" s="267" t="s">
        <v>1163</v>
      </c>
      <c r="R210" s="1138" t="s">
        <v>1206</v>
      </c>
    </row>
    <row r="211" spans="10:19" ht="19.5" customHeight="1">
      <c r="J211" s="207" t="s">
        <v>448</v>
      </c>
      <c r="K211" s="261">
        <f>P36</f>
        <v>0</v>
      </c>
      <c r="L211" s="266"/>
      <c r="O211" s="275" t="s">
        <v>1101</v>
      </c>
      <c r="P211" s="1139">
        <f>'1. Parameter Table'!N65</f>
        <v>280000</v>
      </c>
      <c r="R211" s="1140"/>
    </row>
    <row r="212" spans="10:19" ht="19.5" customHeight="1">
      <c r="J212" s="204" t="s">
        <v>247</v>
      </c>
      <c r="K212" s="262"/>
      <c r="L212" s="252">
        <f>L204+L205-L208</f>
        <v>5021753866</v>
      </c>
      <c r="O212" s="275" t="s">
        <v>1102</v>
      </c>
      <c r="P212" s="1139">
        <f>'1. Parameter Table'!N12</f>
        <v>3000000000</v>
      </c>
      <c r="Q212" s="1140"/>
      <c r="R212" s="1140"/>
    </row>
    <row r="213" spans="10:19" ht="19.5" customHeight="1">
      <c r="J213" s="204" t="s">
        <v>287</v>
      </c>
      <c r="K213" s="263"/>
      <c r="L213" s="252">
        <v>0</v>
      </c>
      <c r="O213" s="275" t="s">
        <v>1103</v>
      </c>
      <c r="P213" s="1139">
        <f>'1. Parameter Table'!N9</f>
        <v>800000000</v>
      </c>
      <c r="Q213" s="1139">
        <f>'1. Parameter Table'!O9</f>
        <v>900000</v>
      </c>
      <c r="R213" s="1139">
        <f>'1. Parameter Table'!P9</f>
        <v>3000000</v>
      </c>
    </row>
    <row r="214" spans="10:19" ht="19.5" customHeight="1">
      <c r="J214" s="204" t="s">
        <v>253</v>
      </c>
      <c r="K214" s="263"/>
      <c r="L214" s="252">
        <f>L212-L213</f>
        <v>5021753866</v>
      </c>
      <c r="O214" s="275" t="s">
        <v>1104</v>
      </c>
      <c r="P214" s="273" t="s">
        <v>1105</v>
      </c>
      <c r="Q214" s="273" t="s">
        <v>1199</v>
      </c>
      <c r="R214" s="273" t="s">
        <v>1247</v>
      </c>
    </row>
    <row r="215" spans="10:19" ht="19.5" customHeight="1">
      <c r="J215" s="204" t="s">
        <v>256</v>
      </c>
      <c r="K215" s="263"/>
      <c r="L215" s="252">
        <f>IF(L214&lt;=0,0,IF(L214&lt;=P227,L214*P228,IF(L214&lt;=Q227,L214*Q228-Q229,IF(L214&gt;R227,L214*R228-R229))))</f>
        <v>984350773.20000005</v>
      </c>
      <c r="O215" s="275"/>
      <c r="P215" s="222">
        <f>'1. Parameter Table'!N16</f>
        <v>10000</v>
      </c>
      <c r="Q215" s="222">
        <f>'1. Parameter Table'!O16</f>
        <v>50000</v>
      </c>
      <c r="R215" s="222">
        <f>'1. Parameter Table'!P16</f>
        <v>40000</v>
      </c>
      <c r="S215" s="211"/>
    </row>
    <row r="216" spans="10:19" ht="19.5" customHeight="1">
      <c r="J216" s="204" t="s">
        <v>258</v>
      </c>
      <c r="K216" s="263"/>
      <c r="L216" s="252">
        <f>L214-L215</f>
        <v>4037403092.8000002</v>
      </c>
      <c r="O216" s="275"/>
      <c r="P216" s="272"/>
      <c r="Q216" s="273" t="s">
        <v>1200</v>
      </c>
      <c r="R216" s="273" t="s">
        <v>1248</v>
      </c>
      <c r="S216" s="211"/>
    </row>
    <row r="217" spans="10:19" ht="19.5" customHeight="1">
      <c r="O217" s="275"/>
      <c r="P217" s="143" t="s">
        <v>153</v>
      </c>
      <c r="Q217" s="222">
        <f>'1. Parameter Table'!Q16</f>
        <v>15000</v>
      </c>
      <c r="R217" s="222">
        <f>'1. Parameter Table'!R16</f>
        <v>10000</v>
      </c>
      <c r="S217" s="211"/>
    </row>
    <row r="218" spans="10:19" ht="19.5" customHeight="1">
      <c r="O218" s="275" t="s">
        <v>322</v>
      </c>
      <c r="P218" s="222">
        <f>'1. Parameter Table'!N20</f>
        <v>40000</v>
      </c>
      <c r="Q218" s="222">
        <f>'1. Parameter Table'!O20</f>
        <v>40</v>
      </c>
      <c r="R218" s="222">
        <f>'1. Parameter Table'!P20</f>
        <v>200</v>
      </c>
      <c r="S218" s="211"/>
    </row>
    <row r="219" spans="10:19" ht="19.5" customHeight="1">
      <c r="O219" s="275" t="s">
        <v>323</v>
      </c>
      <c r="P219" s="222">
        <f>'1. Parameter Table'!N24</f>
        <v>500000000</v>
      </c>
      <c r="Q219" s="222">
        <f>'1. Parameter Table'!O24</f>
        <v>500000</v>
      </c>
      <c r="R219" s="222">
        <f>'1. Parameter Table'!P24</f>
        <v>2000000</v>
      </c>
      <c r="S219" s="211"/>
    </row>
    <row r="220" spans="10:19" ht="19.5" customHeight="1">
      <c r="J220" s="66"/>
      <c r="K220" s="66"/>
      <c r="L220" s="66"/>
      <c r="O220" s="275" t="s">
        <v>324</v>
      </c>
      <c r="P220" s="222">
        <f>'1. Parameter Table'!N28</f>
        <v>50000000</v>
      </c>
      <c r="Q220" s="222">
        <f>'1. Parameter Table'!O28</f>
        <v>70000</v>
      </c>
      <c r="R220" s="222">
        <f>'1. Parameter Table'!P28</f>
        <v>250000</v>
      </c>
      <c r="S220" s="211"/>
    </row>
    <row r="221" spans="10:19" ht="19.5" customHeight="1">
      <c r="J221" s="66"/>
      <c r="K221" s="66"/>
      <c r="L221" s="66"/>
      <c r="O221" s="275" t="s">
        <v>351</v>
      </c>
      <c r="P221" s="222">
        <f>'1. Parameter Table'!N32</f>
        <v>6000000</v>
      </c>
      <c r="Q221" s="222">
        <f>'1. Parameter Table'!O32</f>
        <v>7000</v>
      </c>
      <c r="R221" s="222">
        <f>'1. Parameter Table'!P32</f>
        <v>30000</v>
      </c>
      <c r="S221" s="211"/>
    </row>
    <row r="222" spans="10:19" ht="19.5" customHeight="1">
      <c r="J222" s="66"/>
      <c r="K222" s="66"/>
      <c r="L222" s="66"/>
      <c r="O222" s="275" t="s">
        <v>325</v>
      </c>
      <c r="P222" s="222">
        <f>'1. Parameter Table'!N35</f>
        <v>1000000000</v>
      </c>
      <c r="Q222" s="299"/>
      <c r="R222" s="299"/>
      <c r="S222" s="211"/>
    </row>
    <row r="223" spans="10:19" ht="19.5" customHeight="1">
      <c r="J223" s="66"/>
      <c r="K223" s="66"/>
      <c r="L223" s="66"/>
      <c r="O223" s="275" t="s">
        <v>326</v>
      </c>
      <c r="P223" s="269">
        <f>'1. Parameter Table'!N38</f>
        <v>0.1</v>
      </c>
      <c r="Q223" s="300"/>
      <c r="R223" s="300"/>
      <c r="S223" s="211"/>
    </row>
    <row r="224" spans="10:19" ht="19.5" customHeight="1">
      <c r="J224" s="66"/>
      <c r="K224" s="66"/>
      <c r="L224" s="66"/>
      <c r="O224" s="275" t="s">
        <v>333</v>
      </c>
      <c r="P224" s="268" t="s">
        <v>414</v>
      </c>
      <c r="Q224" s="268" t="s">
        <v>285</v>
      </c>
      <c r="R224" s="300"/>
      <c r="S224" s="211"/>
    </row>
    <row r="225" spans="10:19" ht="19.5" customHeight="1">
      <c r="J225" s="66"/>
      <c r="K225" s="66"/>
      <c r="L225" s="66"/>
      <c r="O225" s="274" t="s">
        <v>352</v>
      </c>
      <c r="P225" s="269">
        <f>'1. Parameter Table'!N42</f>
        <v>0.3</v>
      </c>
      <c r="Q225" s="269">
        <f>'1. Parameter Table'!O42</f>
        <v>0.3</v>
      </c>
      <c r="R225" s="300"/>
      <c r="S225" s="211"/>
    </row>
    <row r="226" spans="10:19" ht="19.5" customHeight="1">
      <c r="J226" s="66"/>
      <c r="K226" s="66"/>
      <c r="L226" s="66"/>
      <c r="O226" s="275" t="s">
        <v>327</v>
      </c>
      <c r="P226" s="268" t="s">
        <v>331</v>
      </c>
      <c r="Q226" s="268" t="s">
        <v>443</v>
      </c>
      <c r="R226" s="268" t="s">
        <v>332</v>
      </c>
      <c r="S226" s="211"/>
    </row>
    <row r="227" spans="10:19" ht="19.5" customHeight="1">
      <c r="J227" s="66"/>
      <c r="K227" s="66"/>
      <c r="L227" s="66"/>
      <c r="O227" s="274" t="s">
        <v>328</v>
      </c>
      <c r="P227" s="270">
        <f>'1. Parameter Table'!N46</f>
        <v>200000000</v>
      </c>
      <c r="Q227" s="270">
        <f>'1. Parameter Table'!O46</f>
        <v>20000000000</v>
      </c>
      <c r="R227" s="270">
        <f>'1. Parameter Table'!P46</f>
        <v>20000000000</v>
      </c>
      <c r="S227" s="211"/>
    </row>
    <row r="228" spans="10:19" ht="19.5" customHeight="1">
      <c r="J228" s="66"/>
      <c r="K228" s="66"/>
      <c r="L228" s="66"/>
      <c r="O228" s="274" t="s">
        <v>329</v>
      </c>
      <c r="P228" s="271">
        <f>'1. Parameter Table'!N47</f>
        <v>0.1</v>
      </c>
      <c r="Q228" s="271">
        <f>'1. Parameter Table'!O47</f>
        <v>0.2</v>
      </c>
      <c r="R228" s="271">
        <f>'1. Parameter Table'!P47</f>
        <v>0.22</v>
      </c>
      <c r="S228" s="211"/>
    </row>
    <row r="229" spans="10:19" ht="17.350000000000001">
      <c r="J229" s="66"/>
      <c r="K229" s="66"/>
      <c r="L229" s="66"/>
      <c r="O229" s="274" t="s">
        <v>330</v>
      </c>
      <c r="P229" s="270">
        <f>'1. Parameter Table'!N48</f>
        <v>0</v>
      </c>
      <c r="Q229" s="270">
        <f>'1. Parameter Table'!O48</f>
        <v>20000000</v>
      </c>
      <c r="R229" s="270">
        <f>'1. Parameter Table'!P48</f>
        <v>420000000</v>
      </c>
      <c r="S229" s="211"/>
    </row>
    <row r="230" spans="10:19">
      <c r="J230" s="66"/>
      <c r="K230" s="66"/>
      <c r="L230" s="66"/>
    </row>
    <row r="231" spans="10:19">
      <c r="J231" s="66"/>
      <c r="K231" s="66"/>
      <c r="L231" s="66"/>
    </row>
    <row r="232" spans="10:19" ht="21">
      <c r="J232" s="66"/>
      <c r="K232" s="66"/>
      <c r="L232" s="66"/>
      <c r="O232" s="209" t="s">
        <v>375</v>
      </c>
    </row>
    <row r="233" spans="10:19" ht="17.350000000000001">
      <c r="J233" s="66"/>
      <c r="K233" s="66"/>
      <c r="L233" s="66"/>
      <c r="O233" s="81" t="s">
        <v>376</v>
      </c>
      <c r="P233" s="199" t="s">
        <v>378</v>
      </c>
      <c r="Q233" s="199" t="s">
        <v>379</v>
      </c>
    </row>
    <row r="234" spans="10:19" ht="21" customHeight="1">
      <c r="J234" s="66"/>
      <c r="K234" s="66"/>
      <c r="L234" s="66"/>
      <c r="O234" s="275"/>
      <c r="P234" s="200">
        <f>'1. Parameter Table'!N51</f>
        <v>0.4</v>
      </c>
      <c r="Q234" s="200">
        <f>'1. Parameter Table'!N52</f>
        <v>0.6</v>
      </c>
    </row>
    <row r="235" spans="10:19">
      <c r="J235" s="66"/>
      <c r="K235" s="66"/>
      <c r="L235" s="66"/>
    </row>
    <row r="236" spans="10:19">
      <c r="J236" s="66"/>
      <c r="K236" s="66"/>
      <c r="L236" s="66"/>
    </row>
    <row r="237" spans="10:19" ht="21">
      <c r="J237" s="66"/>
      <c r="K237" s="66"/>
      <c r="L237" s="66"/>
      <c r="O237" s="209" t="s">
        <v>416</v>
      </c>
    </row>
    <row r="238" spans="10:19" ht="17.350000000000001">
      <c r="J238" s="66"/>
      <c r="K238" s="66"/>
      <c r="L238" s="66"/>
      <c r="O238" s="81" t="s">
        <v>397</v>
      </c>
      <c r="P238" s="270">
        <f>'1. Parameter Table'!N61</f>
        <v>5000000</v>
      </c>
    </row>
    <row r="239" spans="10:19" ht="17.350000000000001">
      <c r="O239" s="81" t="s">
        <v>398</v>
      </c>
      <c r="P239" s="270">
        <f>'1. Parameter Table'!N62</f>
        <v>5000</v>
      </c>
    </row>
    <row r="241" spans="15:18" ht="42" customHeight="1"/>
    <row r="243" spans="15:18" ht="40.5" customHeight="1">
      <c r="O243" s="1404" t="s">
        <v>989</v>
      </c>
      <c r="P243" s="1404"/>
      <c r="Q243" s="1027"/>
      <c r="R243" s="1027"/>
    </row>
    <row r="244" spans="15:18" ht="17.350000000000001">
      <c r="O244" s="1028" t="s">
        <v>990</v>
      </c>
      <c r="P244" s="1029"/>
      <c r="Q244" s="1030" t="s">
        <v>991</v>
      </c>
      <c r="R244" s="1030" t="s">
        <v>992</v>
      </c>
    </row>
    <row r="245" spans="15:18" ht="17.350000000000001">
      <c r="O245" s="423" t="s">
        <v>993</v>
      </c>
      <c r="P245" s="1031"/>
      <c r="Q245" s="1032"/>
      <c r="R245" s="1033">
        <f>K45</f>
        <v>10000000</v>
      </c>
    </row>
    <row r="246" spans="15:18" ht="17.350000000000001">
      <c r="O246" s="428" t="s">
        <v>994</v>
      </c>
      <c r="P246" s="1031"/>
      <c r="Q246" s="1032"/>
      <c r="R246" s="1033">
        <f>R245*Q251</f>
        <v>1030900000</v>
      </c>
    </row>
    <row r="247" spans="15:18" ht="17.350000000000001">
      <c r="O247" s="423" t="s">
        <v>995</v>
      </c>
      <c r="P247" s="1028"/>
      <c r="Q247" s="1033">
        <f>F36</f>
        <v>1000000</v>
      </c>
      <c r="R247" s="1034">
        <f>IF(Q247+R245&gt;0,Q247+R245,0)</f>
        <v>11000000</v>
      </c>
    </row>
    <row r="248" spans="15:18" ht="17.350000000000001">
      <c r="O248" s="430" t="s">
        <v>996</v>
      </c>
      <c r="P248" s="1031"/>
      <c r="Q248" s="1035"/>
      <c r="R248" s="1033">
        <f>IF(R247&gt;0,R247*Q251,0)</f>
        <v>1133990000</v>
      </c>
    </row>
    <row r="249" spans="15:18" ht="17.350000000000001">
      <c r="O249" s="430" t="s">
        <v>997</v>
      </c>
      <c r="P249" s="1031"/>
      <c r="Q249" s="1036"/>
      <c r="R249" s="1033">
        <f>IF(R247&gt;0,R247*R251,0)</f>
        <v>1100000000</v>
      </c>
    </row>
    <row r="250" spans="15:18" ht="17.350000000000001">
      <c r="O250" s="1037" t="s">
        <v>998</v>
      </c>
      <c r="P250" s="1029"/>
      <c r="Q250" s="1038"/>
      <c r="R250" s="1039">
        <f>R249-R248</f>
        <v>-33990000</v>
      </c>
    </row>
    <row r="251" spans="15:18" ht="17.350000000000001">
      <c r="O251" s="1037" t="s">
        <v>999</v>
      </c>
      <c r="P251" s="1029"/>
      <c r="Q251" s="1046">
        <f>F42</f>
        <v>103.09</v>
      </c>
      <c r="R251" s="1047">
        <f>F43</f>
        <v>100</v>
      </c>
    </row>
    <row r="290" spans="13:13">
      <c r="M290" s="66"/>
    </row>
    <row r="291" spans="13:13">
      <c r="M291" s="66"/>
    </row>
    <row r="292" spans="13:13">
      <c r="M292" s="66"/>
    </row>
    <row r="293" spans="13:13">
      <c r="M293" s="66"/>
    </row>
    <row r="294" spans="13:13">
      <c r="M294" s="66"/>
    </row>
    <row r="295" spans="13:13">
      <c r="M295" s="66"/>
    </row>
    <row r="296" spans="13:13">
      <c r="M296" s="66"/>
    </row>
    <row r="297" spans="13:13">
      <c r="M297" s="66"/>
    </row>
    <row r="298" spans="13:13">
      <c r="M298" s="66"/>
    </row>
    <row r="299" spans="13:13">
      <c r="M299" s="66"/>
    </row>
    <row r="300" spans="13:13">
      <c r="M300" s="66"/>
    </row>
    <row r="301" spans="13:13">
      <c r="M301" s="66"/>
    </row>
    <row r="302" spans="13:13">
      <c r="M302" s="66"/>
    </row>
    <row r="303" spans="13:13">
      <c r="M303" s="66"/>
    </row>
    <row r="304" spans="13:13">
      <c r="M304" s="66"/>
    </row>
    <row r="305" spans="13:14">
      <c r="M305" s="66"/>
    </row>
    <row r="306" spans="13:14">
      <c r="M306" s="66"/>
    </row>
    <row r="307" spans="13:14">
      <c r="M307" s="66"/>
    </row>
    <row r="308" spans="13:14">
      <c r="M308" s="66"/>
      <c r="N308" s="66"/>
    </row>
    <row r="309" spans="13:14">
      <c r="M309" s="66"/>
      <c r="N309" s="66"/>
    </row>
    <row r="310" spans="13:14">
      <c r="M310" s="66"/>
      <c r="N310" s="66"/>
    </row>
    <row r="311" spans="13:14">
      <c r="N311" s="66"/>
    </row>
    <row r="312" spans="13:14">
      <c r="N312" s="66"/>
    </row>
    <row r="313" spans="13:14">
      <c r="N313" s="66"/>
    </row>
    <row r="314" spans="13:14">
      <c r="N314" s="66"/>
    </row>
    <row r="315" spans="13:14">
      <c r="N315" s="66"/>
    </row>
    <row r="316" spans="13:14">
      <c r="N316" s="66"/>
    </row>
    <row r="317" spans="13:14">
      <c r="N317" s="66"/>
    </row>
    <row r="318" spans="13:14">
      <c r="N318" s="66"/>
    </row>
    <row r="319" spans="13:14">
      <c r="N319" s="66"/>
    </row>
    <row r="320" spans="13:14">
      <c r="N320" s="66"/>
    </row>
    <row r="321" spans="14:14">
      <c r="N321" s="66"/>
    </row>
    <row r="322" spans="14:14">
      <c r="N322" s="66"/>
    </row>
    <row r="323" spans="14:14">
      <c r="N323" s="66"/>
    </row>
    <row r="324" spans="14:14">
      <c r="N324" s="66"/>
    </row>
    <row r="325" spans="14:14">
      <c r="N325" s="66"/>
    </row>
    <row r="326" spans="14:14">
      <c r="N326" s="66"/>
    </row>
    <row r="327" spans="14:14">
      <c r="N327" s="66"/>
    </row>
    <row r="328" spans="14:14">
      <c r="N328" s="66"/>
    </row>
  </sheetData>
  <mergeCells count="53">
    <mergeCell ref="CH39:CL41"/>
    <mergeCell ref="O44:Q44"/>
    <mergeCell ref="O243:P243"/>
    <mergeCell ref="R43:U43"/>
    <mergeCell ref="R44:U44"/>
    <mergeCell ref="I27:I31"/>
    <mergeCell ref="I32:I40"/>
    <mergeCell ref="I41:I46"/>
    <mergeCell ref="I8:I13"/>
    <mergeCell ref="I6:I7"/>
    <mergeCell ref="AX2:BO2"/>
    <mergeCell ref="AQ15:AQ16"/>
    <mergeCell ref="AT15:AT16"/>
    <mergeCell ref="AT11:AT12"/>
    <mergeCell ref="AT13:AT14"/>
    <mergeCell ref="BC5:BO5"/>
    <mergeCell ref="AP5:AR5"/>
    <mergeCell ref="AP7:AP10"/>
    <mergeCell ref="AT9:AT10"/>
    <mergeCell ref="AQ13:AQ14"/>
    <mergeCell ref="AX14:AX22"/>
    <mergeCell ref="AQ17:AQ18"/>
    <mergeCell ref="AT17:AT18"/>
    <mergeCell ref="AP11:AP12"/>
    <mergeCell ref="AQ9:AQ10"/>
    <mergeCell ref="AQ11:AQ12"/>
    <mergeCell ref="BS4:BW4"/>
    <mergeCell ref="BS2:BZ2"/>
    <mergeCell ref="CC2:CI2"/>
    <mergeCell ref="CC4:CI4"/>
    <mergeCell ref="CD6:CE6"/>
    <mergeCell ref="CC9:CC14"/>
    <mergeCell ref="CD15:CE15"/>
    <mergeCell ref="CD16:CE16"/>
    <mergeCell ref="CD17:CE17"/>
    <mergeCell ref="CC7:CC8"/>
    <mergeCell ref="CC15:CC17"/>
    <mergeCell ref="I62:L62"/>
    <mergeCell ref="D2:H2"/>
    <mergeCell ref="AX5:AZ5"/>
    <mergeCell ref="AX7:AX13"/>
    <mergeCell ref="AP13:AP14"/>
    <mergeCell ref="Z23:Z24"/>
    <mergeCell ref="AP17:AP18"/>
    <mergeCell ref="I14:I26"/>
    <mergeCell ref="AP15:AP16"/>
    <mergeCell ref="I2:M2"/>
    <mergeCell ref="O2:Q2"/>
    <mergeCell ref="AP2:AT2"/>
    <mergeCell ref="AQ7:AQ8"/>
    <mergeCell ref="AT7:AT8"/>
    <mergeCell ref="AB2:AC2"/>
    <mergeCell ref="AJ2:AL2"/>
  </mergeCells>
  <phoneticPr fontId="2" type="noConversion"/>
  <pageMargins left="0.25" right="0.25" top="0.75" bottom="0.75" header="0.3" footer="0.3"/>
  <pageSetup paperSize="9" scale="68" orientation="landscape" horizontalDpi="4294967293" r:id="rId1"/>
  <headerFooter alignWithMargins="0"/>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B107"/>
  <sheetViews>
    <sheetView zoomScale="85" zoomScaleNormal="85" workbookViewId="0"/>
  </sheetViews>
  <sheetFormatPr defaultColWidth="9" defaultRowHeight="16.7"/>
  <cols>
    <col min="1" max="1" width="1.88671875" style="66" customWidth="1"/>
    <col min="2" max="2" width="4.5" style="64" customWidth="1"/>
    <col min="3" max="3" width="1.609375" style="64" customWidth="1"/>
    <col min="4" max="5" width="19.21875" style="64" customWidth="1"/>
    <col min="6" max="6" width="1.609375" style="64" customWidth="1"/>
    <col min="7" max="12" width="18.21875" style="64" customWidth="1"/>
    <col min="13" max="13" width="9" style="64"/>
    <col min="14" max="19" width="9.38671875" style="64" customWidth="1"/>
    <col min="20" max="20" width="9" style="64"/>
    <col min="21" max="21" width="4.5" style="64" customWidth="1"/>
    <col min="22" max="22" width="2.71875" style="65" customWidth="1"/>
    <col min="23" max="23" width="4.5" style="64" customWidth="1"/>
    <col min="24" max="24" width="19.609375" style="64" customWidth="1"/>
    <col min="25" max="27" width="16" style="64" customWidth="1"/>
    <col min="28" max="28" width="4.109375" style="64" customWidth="1"/>
    <col min="29" max="32" width="14" style="64" customWidth="1"/>
    <col min="33" max="33" width="4.5" style="64" customWidth="1"/>
    <col min="34" max="34" width="2.71875" style="65" customWidth="1"/>
    <col min="35" max="35" width="4.5" style="64" customWidth="1"/>
    <col min="36" max="36" width="19.609375" style="64" customWidth="1"/>
    <col min="37" max="39" width="16" style="64" customWidth="1"/>
    <col min="40" max="40" width="4.109375" style="64" customWidth="1"/>
    <col min="41" max="44" width="14" style="64" customWidth="1"/>
    <col min="45" max="45" width="4.5" style="64" customWidth="1"/>
    <col min="46" max="46" width="4.109375" style="619" customWidth="1"/>
    <col min="47" max="47" width="9" style="64"/>
    <col min="48" max="48" width="15.109375" style="64" customWidth="1"/>
    <col min="49" max="49" width="20.71875" style="64" customWidth="1"/>
    <col min="50" max="50" width="17.109375" style="64" customWidth="1"/>
    <col min="51" max="51" width="3.609375" style="64" customWidth="1"/>
    <col min="52" max="53" width="9.5" style="64" customWidth="1"/>
    <col min="54" max="55" width="1.88671875" style="64" customWidth="1"/>
    <col min="56" max="57" width="9.5" style="64" customWidth="1"/>
    <col min="58" max="59" width="1.109375" style="64" customWidth="1"/>
    <col min="60" max="61" width="9.5" style="64" customWidth="1"/>
    <col min="62" max="63" width="1.88671875" style="64" customWidth="1"/>
    <col min="64" max="65" width="9.5" style="64" customWidth="1"/>
    <col min="66" max="66" width="9" style="64"/>
    <col min="67" max="67" width="3.77734375" style="619" customWidth="1"/>
    <col min="68" max="68" width="9" style="64"/>
    <col min="69" max="69" width="16" style="64" customWidth="1"/>
    <col min="70" max="70" width="33.21875" style="64" customWidth="1"/>
    <col min="71" max="71" width="14.609375" style="64" customWidth="1"/>
    <col min="72" max="73" width="19.21875" style="64" customWidth="1"/>
    <col min="74" max="74" width="3.71875" style="64" customWidth="1"/>
    <col min="75" max="81" width="9" style="64"/>
    <col min="82" max="82" width="2.71875" style="64" customWidth="1"/>
    <col min="83" max="16384" width="9" style="64"/>
  </cols>
  <sheetData>
    <row r="1" spans="4:80" ht="8.25" customHeight="1" thickBot="1"/>
    <row r="2" spans="4:80" ht="39" customHeight="1" thickTop="1" thickBot="1">
      <c r="D2" s="1406" t="s">
        <v>624</v>
      </c>
      <c r="E2" s="1406"/>
      <c r="F2" s="1406"/>
      <c r="G2" s="1406"/>
      <c r="H2" s="1406"/>
      <c r="I2" s="1406"/>
      <c r="J2" s="1406"/>
      <c r="K2" s="1406"/>
      <c r="L2" s="1406"/>
      <c r="M2" s="1406"/>
      <c r="N2" s="1406"/>
      <c r="O2" s="1406"/>
      <c r="P2" s="1406"/>
      <c r="Q2" s="1406"/>
      <c r="R2" s="1406"/>
      <c r="S2" s="1406"/>
      <c r="T2" s="1406"/>
      <c r="X2" s="1406" t="s">
        <v>1029</v>
      </c>
      <c r="Y2" s="1406"/>
      <c r="Z2" s="1406"/>
      <c r="AA2" s="1406"/>
      <c r="AB2" s="1406"/>
      <c r="AC2" s="1406"/>
      <c r="AD2" s="1406"/>
      <c r="AE2" s="1406"/>
      <c r="AF2" s="1406"/>
      <c r="AJ2" s="1406" t="s">
        <v>625</v>
      </c>
      <c r="AK2" s="1406"/>
      <c r="AL2" s="1406"/>
      <c r="AM2" s="1406"/>
      <c r="AN2" s="1406"/>
      <c r="AO2" s="1406"/>
      <c r="AP2" s="1406"/>
      <c r="AQ2" s="1406"/>
      <c r="AR2" s="1406"/>
      <c r="AV2" s="1406" t="s">
        <v>1030</v>
      </c>
      <c r="AW2" s="1406"/>
      <c r="AX2" s="1406"/>
      <c r="AY2" s="1406"/>
      <c r="AZ2" s="1406"/>
      <c r="BA2" s="1406"/>
      <c r="BB2" s="1406"/>
      <c r="BC2" s="1406"/>
      <c r="BD2" s="1406"/>
      <c r="BE2" s="1406"/>
      <c r="BF2" s="1406"/>
      <c r="BG2" s="1406"/>
      <c r="BH2" s="1406"/>
      <c r="BI2" s="1406"/>
      <c r="BJ2" s="1406"/>
      <c r="BK2" s="1406"/>
      <c r="BL2" s="1406"/>
      <c r="BM2" s="1406"/>
      <c r="BQ2" s="1406" t="s">
        <v>1031</v>
      </c>
      <c r="BR2" s="1406"/>
      <c r="BS2" s="1406"/>
      <c r="BT2" s="1406"/>
      <c r="BU2" s="1406"/>
      <c r="BV2" s="1406"/>
      <c r="BW2" s="1406"/>
      <c r="BX2" s="1406"/>
      <c r="BY2" s="1406"/>
      <c r="BZ2" s="1406"/>
      <c r="CA2" s="1406"/>
      <c r="CB2" s="1406"/>
    </row>
    <row r="3" spans="4:80" ht="17" thickTop="1"/>
    <row r="4" spans="4:80" ht="45.75" customHeight="1">
      <c r="D4" s="1407" t="s">
        <v>626</v>
      </c>
      <c r="E4" s="1407"/>
      <c r="F4" s="1407"/>
      <c r="G4" s="1407"/>
      <c r="H4" s="1407"/>
      <c r="I4" s="1407"/>
      <c r="J4" s="1407"/>
      <c r="K4" s="1407"/>
      <c r="L4" s="1407"/>
      <c r="X4" s="1407" t="s">
        <v>627</v>
      </c>
      <c r="Y4" s="1407"/>
      <c r="Z4" s="1407"/>
      <c r="AA4" s="1407"/>
      <c r="AB4" s="1407"/>
      <c r="AC4" s="1407"/>
      <c r="AD4" s="1407"/>
      <c r="AE4" s="1407"/>
      <c r="AF4" s="1407"/>
      <c r="AJ4" s="1407" t="s">
        <v>628</v>
      </c>
      <c r="AK4" s="1407"/>
      <c r="AL4" s="1407"/>
      <c r="AM4" s="1407"/>
      <c r="AN4" s="1407"/>
      <c r="AO4" s="1407"/>
      <c r="AP4" s="1407"/>
      <c r="AQ4" s="1407"/>
      <c r="AR4" s="1407"/>
      <c r="AV4" s="1407" t="s">
        <v>489</v>
      </c>
      <c r="AW4" s="1407"/>
      <c r="AX4" s="1407"/>
      <c r="AY4" s="1407"/>
      <c r="AZ4" s="1407"/>
      <c r="BA4" s="1407"/>
      <c r="BB4" s="1407"/>
      <c r="BC4" s="1407"/>
      <c r="BD4" s="1407"/>
      <c r="BE4" s="1407"/>
      <c r="BF4" s="1407"/>
      <c r="BG4" s="1407"/>
      <c r="BH4" s="1407"/>
      <c r="BI4" s="1407"/>
      <c r="BJ4" s="1407"/>
      <c r="BK4" s="1407"/>
      <c r="BL4" s="1407"/>
      <c r="BM4" s="1407"/>
      <c r="BQ4" s="1407" t="s">
        <v>490</v>
      </c>
      <c r="BR4" s="1407"/>
      <c r="BS4" s="1407"/>
      <c r="BT4" s="1407"/>
      <c r="BU4" s="1407"/>
      <c r="BV4" s="1407"/>
      <c r="BW4" s="1407"/>
      <c r="BX4" s="1407"/>
      <c r="BY4" s="1407"/>
      <c r="BZ4" s="1407"/>
      <c r="CA4" s="1407"/>
      <c r="CB4" s="1407"/>
    </row>
    <row r="5" spans="4:80" ht="17" thickBot="1"/>
    <row r="6" spans="4:80" ht="20.25" customHeight="1" thickBot="1">
      <c r="D6" s="855" t="s">
        <v>629</v>
      </c>
      <c r="E6" s="856">
        <v>680000</v>
      </c>
      <c r="F6" s="857"/>
      <c r="G6" s="858" t="s">
        <v>630</v>
      </c>
      <c r="H6" s="859" t="s">
        <v>631</v>
      </c>
      <c r="I6" s="859" t="s">
        <v>632</v>
      </c>
      <c r="J6" s="859" t="s">
        <v>491</v>
      </c>
      <c r="K6" s="859" t="s">
        <v>633</v>
      </c>
      <c r="L6" s="860" t="s">
        <v>492</v>
      </c>
      <c r="Z6" s="369"/>
      <c r="AA6" s="370"/>
      <c r="AL6" s="369"/>
      <c r="AM6" s="370"/>
      <c r="AV6" s="832" t="s">
        <v>479</v>
      </c>
      <c r="AW6" s="832" t="s">
        <v>480</v>
      </c>
      <c r="AX6" s="832" t="s">
        <v>481</v>
      </c>
      <c r="AY6" s="364"/>
      <c r="BE6" s="1410" t="str">
        <f>AV17</f>
        <v xml:space="preserve">EVA </v>
      </c>
      <c r="BF6" s="1411"/>
      <c r="BG6" s="1411"/>
      <c r="BH6" s="1412"/>
      <c r="BQ6" s="840" t="s">
        <v>479</v>
      </c>
      <c r="BR6" s="841" t="s">
        <v>493</v>
      </c>
      <c r="BS6" s="841" t="s">
        <v>480</v>
      </c>
      <c r="BT6" s="841" t="s">
        <v>481</v>
      </c>
      <c r="BU6" s="842" t="s">
        <v>494</v>
      </c>
    </row>
    <row r="7" spans="4:80" ht="20.25" customHeight="1" thickTop="1" thickBot="1">
      <c r="D7" s="861"/>
      <c r="E7" s="861"/>
      <c r="F7" s="861"/>
      <c r="G7" s="862">
        <v>10000</v>
      </c>
      <c r="H7" s="863">
        <f xml:space="preserve"> $E$6*G7</f>
        <v>6800000000</v>
      </c>
      <c r="I7" s="863">
        <f>$E$14</f>
        <v>4500000000</v>
      </c>
      <c r="J7" s="863">
        <f>G7*$E$23</f>
        <v>3800000000</v>
      </c>
      <c r="K7" s="863">
        <f>I7+J7</f>
        <v>8300000000</v>
      </c>
      <c r="L7" s="864">
        <f>H7-K7</f>
        <v>-1500000000</v>
      </c>
      <c r="X7" s="371" t="s">
        <v>495</v>
      </c>
      <c r="Y7" s="372">
        <v>0.1</v>
      </c>
      <c r="Z7" s="373"/>
      <c r="AA7" s="373"/>
      <c r="AJ7" s="371" t="s">
        <v>495</v>
      </c>
      <c r="AK7" s="372">
        <v>0.1</v>
      </c>
      <c r="AL7" s="373"/>
      <c r="AM7" s="373"/>
      <c r="AV7" s="1413" t="s">
        <v>496</v>
      </c>
      <c r="AW7" s="833" t="s">
        <v>128</v>
      </c>
      <c r="AX7" s="834">
        <f>'4. 재무분석도구'!P29</f>
        <v>4969493866</v>
      </c>
      <c r="BE7" s="1416">
        <f>AX17</f>
        <v>3422643092.8000002</v>
      </c>
      <c r="BF7" s="1417"/>
      <c r="BG7" s="1417"/>
      <c r="BH7" s="1418"/>
      <c r="BQ7" s="1432" t="s">
        <v>497</v>
      </c>
      <c r="BR7" s="1434" t="s">
        <v>498</v>
      </c>
      <c r="BS7" s="843" t="s">
        <v>499</v>
      </c>
      <c r="BT7" s="844">
        <f>'4. 재무분석도구'!P37</f>
        <v>5021753866</v>
      </c>
      <c r="BU7" s="1419">
        <f>SUM(BT7:BT12)</f>
        <v>16220570416</v>
      </c>
    </row>
    <row r="8" spans="4:80" ht="20.25" customHeight="1" thickBot="1">
      <c r="D8" s="861"/>
      <c r="E8" s="861"/>
      <c r="F8" s="861"/>
      <c r="G8" s="862">
        <v>11000</v>
      </c>
      <c r="H8" s="863">
        <f t="shared" ref="H8:H27" si="0" xml:space="preserve"> $E$6*G8</f>
        <v>7480000000</v>
      </c>
      <c r="I8" s="863">
        <f t="shared" ref="I8:I27" si="1">$E$14</f>
        <v>4500000000</v>
      </c>
      <c r="J8" s="863">
        <f t="shared" ref="J8:J27" si="2">G8*$E$23</f>
        <v>4180000000</v>
      </c>
      <c r="K8" s="863">
        <f t="shared" ref="K8:K27" si="3">I8+J8</f>
        <v>8680000000</v>
      </c>
      <c r="L8" s="864">
        <f t="shared" ref="L8:L27" si="4">H8-K8</f>
        <v>-1200000000</v>
      </c>
      <c r="V8" s="374"/>
      <c r="X8" s="373"/>
      <c r="Y8" s="373"/>
      <c r="Z8" s="373"/>
      <c r="AA8" s="373"/>
      <c r="AH8" s="374"/>
      <c r="AJ8" s="373"/>
      <c r="AK8" s="373"/>
      <c r="AL8" s="373"/>
      <c r="AM8" s="373"/>
      <c r="AV8" s="1414"/>
      <c r="AW8" s="833" t="s">
        <v>183</v>
      </c>
      <c r="AX8" s="834">
        <f>'4. 재무분석도구'!P40</f>
        <v>984350773.20000005</v>
      </c>
      <c r="BG8" s="365"/>
      <c r="BQ8" s="1433"/>
      <c r="BR8" s="1435"/>
      <c r="BS8" s="833" t="s">
        <v>500</v>
      </c>
      <c r="BT8" s="834">
        <f>'4. 재무분석도구'!P16+'4. 재무분석도구'!P17+'4. 재무분석도구'!P18</f>
        <v>10198816550</v>
      </c>
      <c r="BU8" s="1420"/>
    </row>
    <row r="9" spans="4:80" ht="20.25" customHeight="1">
      <c r="D9" s="858" t="s">
        <v>634</v>
      </c>
      <c r="E9" s="860" t="s">
        <v>501</v>
      </c>
      <c r="F9" s="861"/>
      <c r="G9" s="862">
        <v>12000</v>
      </c>
      <c r="H9" s="863">
        <f t="shared" si="0"/>
        <v>8160000000</v>
      </c>
      <c r="I9" s="863">
        <f t="shared" si="1"/>
        <v>4500000000</v>
      </c>
      <c r="J9" s="863">
        <f t="shared" si="2"/>
        <v>4560000000</v>
      </c>
      <c r="K9" s="863">
        <f t="shared" si="3"/>
        <v>9060000000</v>
      </c>
      <c r="L9" s="864">
        <f t="shared" si="4"/>
        <v>-900000000</v>
      </c>
      <c r="V9" s="374"/>
      <c r="X9" s="375" t="s">
        <v>502</v>
      </c>
      <c r="Y9" s="376" t="s">
        <v>503</v>
      </c>
      <c r="Z9" s="376" t="s">
        <v>635</v>
      </c>
      <c r="AA9" s="377" t="s">
        <v>527</v>
      </c>
      <c r="AH9" s="374"/>
      <c r="AJ9" s="375" t="s">
        <v>502</v>
      </c>
      <c r="AK9" s="376" t="s">
        <v>503</v>
      </c>
      <c r="AL9" s="376" t="s">
        <v>635</v>
      </c>
      <c r="AM9" s="377" t="s">
        <v>527</v>
      </c>
      <c r="AV9" s="1415"/>
      <c r="AW9" s="426" t="s">
        <v>482</v>
      </c>
      <c r="AX9" s="835">
        <f>AX7-AX8</f>
        <v>3985143092.8000002</v>
      </c>
      <c r="BC9" s="366"/>
      <c r="BD9" s="367"/>
      <c r="BE9" s="367"/>
      <c r="BF9" s="367"/>
      <c r="BG9" s="367"/>
      <c r="BH9" s="367"/>
      <c r="BI9" s="367"/>
      <c r="BJ9" s="148"/>
      <c r="BQ9" s="1433"/>
      <c r="BR9" s="1435"/>
      <c r="BS9" s="833" t="s">
        <v>504</v>
      </c>
      <c r="BT9" s="834">
        <v>0</v>
      </c>
      <c r="BU9" s="1420"/>
    </row>
    <row r="10" spans="4:80" ht="20.25" customHeight="1">
      <c r="D10" s="865" t="s">
        <v>636</v>
      </c>
      <c r="E10" s="866">
        <v>1500000000</v>
      </c>
      <c r="F10" s="861"/>
      <c r="G10" s="862">
        <v>13000</v>
      </c>
      <c r="H10" s="863">
        <f t="shared" si="0"/>
        <v>8840000000</v>
      </c>
      <c r="I10" s="863">
        <f t="shared" si="1"/>
        <v>4500000000</v>
      </c>
      <c r="J10" s="863">
        <f t="shared" si="2"/>
        <v>4940000000</v>
      </c>
      <c r="K10" s="863">
        <f t="shared" si="3"/>
        <v>9440000000</v>
      </c>
      <c r="L10" s="864">
        <f t="shared" si="4"/>
        <v>-600000000</v>
      </c>
      <c r="V10" s="374"/>
      <c r="X10" s="378" t="s">
        <v>505</v>
      </c>
      <c r="Y10" s="379">
        <v>-300000000</v>
      </c>
      <c r="Z10" s="380">
        <v>-400000000</v>
      </c>
      <c r="AA10" s="380">
        <v>-500000000</v>
      </c>
      <c r="AH10" s="374"/>
      <c r="AJ10" s="378" t="s">
        <v>505</v>
      </c>
      <c r="AK10" s="379">
        <v>-300000000</v>
      </c>
      <c r="AL10" s="380">
        <v>-400000000</v>
      </c>
      <c r="AM10" s="380">
        <v>-500000000</v>
      </c>
      <c r="AV10" s="1422" t="s">
        <v>483</v>
      </c>
      <c r="AW10" s="836" t="s">
        <v>506</v>
      </c>
      <c r="AX10" s="537">
        <v>25000000000</v>
      </c>
      <c r="AY10" s="368"/>
      <c r="BA10" s="1408" t="str">
        <f>AV7</f>
        <v>세후 영업이익</v>
      </c>
      <c r="BB10" s="1425"/>
      <c r="BC10" s="1425"/>
      <c r="BD10" s="1409"/>
      <c r="BI10" s="1408" t="str">
        <f>AV10</f>
        <v>자본 비용</v>
      </c>
      <c r="BJ10" s="1425"/>
      <c r="BK10" s="1425"/>
      <c r="BL10" s="1409"/>
      <c r="BQ10" s="1433"/>
      <c r="BR10" s="1435"/>
      <c r="BS10" s="833" t="s">
        <v>507</v>
      </c>
      <c r="BT10" s="834">
        <f>'4. 재무분석도구'!P34</f>
        <v>0</v>
      </c>
      <c r="BU10" s="1420"/>
    </row>
    <row r="11" spans="4:80" ht="20.25" customHeight="1">
      <c r="D11" s="865" t="s">
        <v>637</v>
      </c>
      <c r="E11" s="866">
        <v>3000000000</v>
      </c>
      <c r="F11" s="867"/>
      <c r="G11" s="862">
        <v>14000</v>
      </c>
      <c r="H11" s="863">
        <f t="shared" si="0"/>
        <v>9520000000</v>
      </c>
      <c r="I11" s="863">
        <f t="shared" si="1"/>
        <v>4500000000</v>
      </c>
      <c r="J11" s="863">
        <f t="shared" si="2"/>
        <v>5320000000</v>
      </c>
      <c r="K11" s="863">
        <f t="shared" si="3"/>
        <v>9820000000</v>
      </c>
      <c r="L11" s="864">
        <f t="shared" si="4"/>
        <v>-300000000</v>
      </c>
      <c r="V11" s="374"/>
      <c r="X11" s="378" t="s">
        <v>508</v>
      </c>
      <c r="Y11" s="381">
        <v>50000000</v>
      </c>
      <c r="Z11" s="382">
        <v>100000000</v>
      </c>
      <c r="AA11" s="382">
        <v>150000000</v>
      </c>
      <c r="AH11" s="374"/>
      <c r="AJ11" s="378" t="s">
        <v>508</v>
      </c>
      <c r="AK11" s="381">
        <v>50000000</v>
      </c>
      <c r="AL11" s="382">
        <v>100000000</v>
      </c>
      <c r="AM11" s="382">
        <v>150000000</v>
      </c>
      <c r="AV11" s="1423"/>
      <c r="AW11" s="836" t="s">
        <v>484</v>
      </c>
      <c r="AX11" s="837">
        <v>0.15</v>
      </c>
      <c r="BA11" s="1416">
        <f>AX7-AX8</f>
        <v>3985143092.8000002</v>
      </c>
      <c r="BB11" s="1417"/>
      <c r="BC11" s="1417"/>
      <c r="BD11" s="1418"/>
      <c r="BI11" s="1416">
        <f>AX16</f>
        <v>562500000</v>
      </c>
      <c r="BJ11" s="1417"/>
      <c r="BK11" s="1417"/>
      <c r="BL11" s="1418"/>
      <c r="BQ11" s="1433"/>
      <c r="BR11" s="1435"/>
      <c r="BS11" s="833" t="s">
        <v>509</v>
      </c>
      <c r="BT11" s="834">
        <v>0</v>
      </c>
      <c r="BU11" s="1420"/>
    </row>
    <row r="12" spans="4:80" ht="20.25" customHeight="1">
      <c r="D12" s="865"/>
      <c r="E12" s="866"/>
      <c r="F12" s="861"/>
      <c r="G12" s="862">
        <v>15000</v>
      </c>
      <c r="H12" s="863">
        <f t="shared" si="0"/>
        <v>10200000000</v>
      </c>
      <c r="I12" s="863">
        <f t="shared" si="1"/>
        <v>4500000000</v>
      </c>
      <c r="J12" s="863">
        <f t="shared" si="2"/>
        <v>5700000000</v>
      </c>
      <c r="K12" s="863">
        <f t="shared" si="3"/>
        <v>10200000000</v>
      </c>
      <c r="L12" s="864">
        <f t="shared" si="4"/>
        <v>0</v>
      </c>
      <c r="V12" s="374"/>
      <c r="X12" s="378" t="s">
        <v>510</v>
      </c>
      <c r="Y12" s="381">
        <v>100000000</v>
      </c>
      <c r="Z12" s="382">
        <v>150000000</v>
      </c>
      <c r="AA12" s="382">
        <v>200000000</v>
      </c>
      <c r="AH12" s="374"/>
      <c r="AJ12" s="378" t="s">
        <v>510</v>
      </c>
      <c r="AK12" s="381">
        <v>100000000</v>
      </c>
      <c r="AL12" s="382">
        <v>150000000</v>
      </c>
      <c r="AM12" s="382">
        <v>200000000</v>
      </c>
      <c r="AV12" s="1423"/>
      <c r="AW12" s="836" t="s">
        <v>485</v>
      </c>
      <c r="AX12" s="838">
        <f>AX10*AX11*0.15</f>
        <v>562500000</v>
      </c>
      <c r="BC12" s="365"/>
      <c r="BK12" s="365"/>
      <c r="BQ12" s="1427"/>
      <c r="BR12" s="1429"/>
      <c r="BS12" s="833" t="s">
        <v>511</v>
      </c>
      <c r="BT12" s="834">
        <f>'4. 재무분석도구'!S63+'4. 재무분석도구'!S64</f>
        <v>1000000000</v>
      </c>
      <c r="BU12" s="1421"/>
    </row>
    <row r="13" spans="4:80" ht="20.25" customHeight="1">
      <c r="D13" s="865"/>
      <c r="E13" s="866"/>
      <c r="F13" s="861"/>
      <c r="G13" s="862">
        <v>16000</v>
      </c>
      <c r="H13" s="863">
        <f t="shared" si="0"/>
        <v>10880000000</v>
      </c>
      <c r="I13" s="863">
        <f t="shared" si="1"/>
        <v>4500000000</v>
      </c>
      <c r="J13" s="863">
        <f t="shared" si="2"/>
        <v>6080000000</v>
      </c>
      <c r="K13" s="863">
        <f t="shared" si="3"/>
        <v>10580000000</v>
      </c>
      <c r="L13" s="864">
        <f t="shared" si="4"/>
        <v>300000000</v>
      </c>
      <c r="V13" s="374"/>
      <c r="X13" s="378" t="s">
        <v>512</v>
      </c>
      <c r="Y13" s="381">
        <v>150000000</v>
      </c>
      <c r="Z13" s="382">
        <v>200000000</v>
      </c>
      <c r="AA13" s="382">
        <v>250000000</v>
      </c>
      <c r="AH13" s="374"/>
      <c r="AJ13" s="378" t="s">
        <v>512</v>
      </c>
      <c r="AK13" s="381">
        <v>150000000</v>
      </c>
      <c r="AL13" s="382">
        <v>200000000</v>
      </c>
      <c r="AM13" s="382">
        <v>250000000</v>
      </c>
      <c r="AV13" s="1423"/>
      <c r="AW13" s="836" t="s">
        <v>222</v>
      </c>
      <c r="AX13" s="839">
        <v>0</v>
      </c>
      <c r="BA13" s="366"/>
      <c r="BB13" s="367"/>
      <c r="BC13" s="367"/>
      <c r="BD13" s="148"/>
      <c r="BI13" s="366"/>
      <c r="BJ13" s="367"/>
      <c r="BK13" s="367"/>
      <c r="BL13" s="148"/>
      <c r="BQ13" s="1426" t="s">
        <v>513</v>
      </c>
      <c r="BR13" s="1428" t="s">
        <v>514</v>
      </c>
      <c r="BS13" s="845" t="s">
        <v>515</v>
      </c>
      <c r="BT13" s="846">
        <f>BU7</f>
        <v>16220570416</v>
      </c>
      <c r="BU13" s="1430">
        <f>BT13/BT14</f>
        <v>0.18301110163618808</v>
      </c>
    </row>
    <row r="14" spans="4:80" ht="20.25" customHeight="1" thickBot="1">
      <c r="D14" s="868" t="s">
        <v>261</v>
      </c>
      <c r="E14" s="869">
        <f>SUM(E10:E13)</f>
        <v>4500000000</v>
      </c>
      <c r="F14" s="861"/>
      <c r="G14" s="862">
        <v>17000</v>
      </c>
      <c r="H14" s="863">
        <f t="shared" si="0"/>
        <v>11560000000</v>
      </c>
      <c r="I14" s="863">
        <f t="shared" si="1"/>
        <v>4500000000</v>
      </c>
      <c r="J14" s="863">
        <f t="shared" si="2"/>
        <v>6460000000</v>
      </c>
      <c r="K14" s="863">
        <f t="shared" si="3"/>
        <v>10960000000</v>
      </c>
      <c r="L14" s="864">
        <f t="shared" si="4"/>
        <v>600000000</v>
      </c>
      <c r="V14" s="374"/>
      <c r="X14" s="378" t="s">
        <v>516</v>
      </c>
      <c r="Y14" s="381">
        <v>200000000</v>
      </c>
      <c r="Z14" s="382">
        <v>250000000</v>
      </c>
      <c r="AA14" s="382">
        <v>300000000</v>
      </c>
      <c r="AH14" s="374"/>
      <c r="AJ14" s="378" t="s">
        <v>516</v>
      </c>
      <c r="AK14" s="381">
        <v>200000000</v>
      </c>
      <c r="AL14" s="382">
        <v>250000000</v>
      </c>
      <c r="AM14" s="382">
        <v>300000000</v>
      </c>
      <c r="AV14" s="1423"/>
      <c r="AW14" s="836" t="s">
        <v>484</v>
      </c>
      <c r="AX14" s="837">
        <v>0.15</v>
      </c>
      <c r="AZ14" s="1408" t="str">
        <f>AW7</f>
        <v>영업이익</v>
      </c>
      <c r="BA14" s="1409"/>
      <c r="BD14" s="1408" t="str">
        <f>AW8</f>
        <v>법인세</v>
      </c>
      <c r="BE14" s="1409"/>
      <c r="BH14" s="1408" t="s">
        <v>486</v>
      </c>
      <c r="BI14" s="1409"/>
      <c r="BL14" s="1408" t="str">
        <f>AW12</f>
        <v>자기 자본비용</v>
      </c>
      <c r="BM14" s="1409"/>
      <c r="BQ14" s="1427"/>
      <c r="BR14" s="1429"/>
      <c r="BS14" s="845" t="s">
        <v>517</v>
      </c>
      <c r="BT14" s="834">
        <f>'4. 재무분석도구'!P6</f>
        <v>88631620000</v>
      </c>
      <c r="BU14" s="1431"/>
    </row>
    <row r="15" spans="4:80" ht="20.25" customHeight="1" thickBot="1">
      <c r="D15" s="861"/>
      <c r="E15" s="861"/>
      <c r="F15" s="861"/>
      <c r="G15" s="862">
        <v>18000</v>
      </c>
      <c r="H15" s="863">
        <f t="shared" si="0"/>
        <v>12240000000</v>
      </c>
      <c r="I15" s="863">
        <f t="shared" si="1"/>
        <v>4500000000</v>
      </c>
      <c r="J15" s="863">
        <f t="shared" si="2"/>
        <v>6840000000</v>
      </c>
      <c r="K15" s="863">
        <f t="shared" si="3"/>
        <v>11340000000</v>
      </c>
      <c r="L15" s="864">
        <f t="shared" si="4"/>
        <v>900000000</v>
      </c>
      <c r="V15" s="374"/>
      <c r="X15" s="383" t="s">
        <v>518</v>
      </c>
      <c r="Y15" s="384">
        <v>250000000</v>
      </c>
      <c r="Z15" s="385">
        <v>300000000</v>
      </c>
      <c r="AA15" s="385">
        <v>350000000</v>
      </c>
      <c r="AH15" s="374"/>
      <c r="AJ15" s="383" t="s">
        <v>518</v>
      </c>
      <c r="AK15" s="384">
        <v>250000000</v>
      </c>
      <c r="AL15" s="385">
        <v>300000000</v>
      </c>
      <c r="AM15" s="385">
        <v>350000000</v>
      </c>
      <c r="AV15" s="1423"/>
      <c r="AW15" s="836" t="s">
        <v>487</v>
      </c>
      <c r="AX15" s="838">
        <f>AX13*AX14</f>
        <v>0</v>
      </c>
      <c r="AZ15" s="1416">
        <f>AX7</f>
        <v>4969493866</v>
      </c>
      <c r="BA15" s="1418"/>
      <c r="BD15" s="1416">
        <f>AX8</f>
        <v>984350773.20000005</v>
      </c>
      <c r="BE15" s="1418"/>
      <c r="BH15" s="1416">
        <f>AX15</f>
        <v>0</v>
      </c>
      <c r="BI15" s="1418"/>
      <c r="BL15" s="1416">
        <f>AX12</f>
        <v>562500000</v>
      </c>
      <c r="BM15" s="1418"/>
      <c r="BQ15" s="1436" t="s">
        <v>519</v>
      </c>
      <c r="BR15" s="1428" t="s">
        <v>520</v>
      </c>
      <c r="BS15" s="845" t="s">
        <v>515</v>
      </c>
      <c r="BT15" s="846">
        <f>BU7</f>
        <v>16220570416</v>
      </c>
      <c r="BU15" s="1441" t="e">
        <f>BT15/BT16</f>
        <v>#DIV/0!</v>
      </c>
    </row>
    <row r="16" spans="4:80" ht="20.25" customHeight="1" thickBot="1">
      <c r="D16" s="861"/>
      <c r="E16" s="861"/>
      <c r="F16" s="861"/>
      <c r="G16" s="862">
        <v>19000</v>
      </c>
      <c r="H16" s="863">
        <f t="shared" si="0"/>
        <v>12920000000</v>
      </c>
      <c r="I16" s="863">
        <f t="shared" si="1"/>
        <v>4500000000</v>
      </c>
      <c r="J16" s="863">
        <f t="shared" si="2"/>
        <v>7220000000</v>
      </c>
      <c r="K16" s="863">
        <f t="shared" si="3"/>
        <v>11720000000</v>
      </c>
      <c r="L16" s="864">
        <f t="shared" si="4"/>
        <v>1200000000</v>
      </c>
      <c r="V16" s="374"/>
      <c r="AH16" s="374"/>
      <c r="AV16" s="1424"/>
      <c r="AW16" s="836" t="s">
        <v>521</v>
      </c>
      <c r="AX16" s="835">
        <f>AX12+AX15*0.25</f>
        <v>562500000</v>
      </c>
      <c r="BQ16" s="1440"/>
      <c r="BR16" s="1429"/>
      <c r="BS16" s="845" t="s">
        <v>522</v>
      </c>
      <c r="BT16" s="834">
        <v>0</v>
      </c>
      <c r="BU16" s="1421"/>
    </row>
    <row r="17" spans="1:73" ht="20.25" customHeight="1" thickBot="1">
      <c r="D17" s="858" t="s">
        <v>638</v>
      </c>
      <c r="E17" s="860" t="s">
        <v>501</v>
      </c>
      <c r="F17" s="861"/>
      <c r="G17" s="862">
        <v>20000</v>
      </c>
      <c r="H17" s="863">
        <f t="shared" si="0"/>
        <v>13600000000</v>
      </c>
      <c r="I17" s="863">
        <f t="shared" si="1"/>
        <v>4500000000</v>
      </c>
      <c r="J17" s="863">
        <f t="shared" si="2"/>
        <v>7600000000</v>
      </c>
      <c r="K17" s="863">
        <f t="shared" si="3"/>
        <v>12100000000</v>
      </c>
      <c r="L17" s="864">
        <f t="shared" si="4"/>
        <v>1500000000</v>
      </c>
      <c r="V17" s="374"/>
      <c r="AH17" s="374"/>
      <c r="AV17" s="832" t="s">
        <v>523</v>
      </c>
      <c r="AW17" s="833" t="s">
        <v>488</v>
      </c>
      <c r="AX17" s="835">
        <f>AX9-AX16</f>
        <v>3422643092.8000002</v>
      </c>
      <c r="BQ17" s="1436" t="s">
        <v>524</v>
      </c>
      <c r="BR17" s="1428" t="s">
        <v>525</v>
      </c>
      <c r="BS17" s="845" t="s">
        <v>500</v>
      </c>
      <c r="BT17" s="846">
        <f>BT8</f>
        <v>10198816550</v>
      </c>
      <c r="BU17" s="1430">
        <f>BT17/BT18</f>
        <v>0.35289944437810244</v>
      </c>
    </row>
    <row r="18" spans="1:73" ht="20.25" customHeight="1">
      <c r="D18" s="870" t="s">
        <v>586</v>
      </c>
      <c r="E18" s="871">
        <v>200000</v>
      </c>
      <c r="F18" s="861"/>
      <c r="G18" s="862">
        <v>21000</v>
      </c>
      <c r="H18" s="863">
        <f t="shared" si="0"/>
        <v>14280000000</v>
      </c>
      <c r="I18" s="863">
        <f t="shared" si="1"/>
        <v>4500000000</v>
      </c>
      <c r="J18" s="863">
        <f t="shared" si="2"/>
        <v>7980000000</v>
      </c>
      <c r="K18" s="863">
        <f t="shared" si="3"/>
        <v>12480000000</v>
      </c>
      <c r="L18" s="864">
        <f t="shared" si="4"/>
        <v>1800000000</v>
      </c>
      <c r="V18" s="374"/>
      <c r="X18" s="386" t="s">
        <v>526</v>
      </c>
      <c r="Y18" s="376" t="s">
        <v>503</v>
      </c>
      <c r="Z18" s="376" t="s">
        <v>635</v>
      </c>
      <c r="AA18" s="377" t="s">
        <v>527</v>
      </c>
      <c r="AH18" s="374"/>
      <c r="AJ18" s="386" t="s">
        <v>526</v>
      </c>
      <c r="AK18" s="376" t="s">
        <v>503</v>
      </c>
      <c r="AL18" s="376" t="s">
        <v>635</v>
      </c>
      <c r="AM18" s="377" t="s">
        <v>527</v>
      </c>
      <c r="BQ18" s="1440"/>
      <c r="BR18" s="1429"/>
      <c r="BS18" s="845" t="s">
        <v>515</v>
      </c>
      <c r="BT18" s="846">
        <v>28900064062.081139</v>
      </c>
      <c r="BU18" s="1431"/>
    </row>
    <row r="19" spans="1:73" ht="20.25" customHeight="1" thickBot="1">
      <c r="D19" s="865" t="s">
        <v>639</v>
      </c>
      <c r="E19" s="872">
        <v>80000</v>
      </c>
      <c r="F19" s="861"/>
      <c r="G19" s="862">
        <v>22000</v>
      </c>
      <c r="H19" s="863">
        <f t="shared" si="0"/>
        <v>14960000000</v>
      </c>
      <c r="I19" s="863">
        <f t="shared" si="1"/>
        <v>4500000000</v>
      </c>
      <c r="J19" s="863">
        <f t="shared" si="2"/>
        <v>8360000000</v>
      </c>
      <c r="K19" s="863">
        <f t="shared" si="3"/>
        <v>12860000000</v>
      </c>
      <c r="L19" s="864">
        <f t="shared" si="4"/>
        <v>2100000000</v>
      </c>
      <c r="V19" s="374"/>
      <c r="X19" s="387" t="s">
        <v>640</v>
      </c>
      <c r="Y19" s="388">
        <f>NPV($Y$7,Y10:Y15)</f>
        <v>211481286.84250766</v>
      </c>
      <c r="Z19" s="388">
        <f>NPV($Y$7,Z10:Z15)</f>
        <v>292880685.45198244</v>
      </c>
      <c r="AA19" s="389">
        <f>NPV($Y$7,AA10:AA15)</f>
        <v>374280084.06145746</v>
      </c>
      <c r="AH19" s="374"/>
      <c r="AJ19" s="387" t="s">
        <v>641</v>
      </c>
      <c r="AK19" s="390">
        <f>IRR(AK10:AK15)</f>
        <v>0.30437431451121211</v>
      </c>
      <c r="AL19" s="390">
        <f>IRR(AL10:AL15)</f>
        <v>0.32661893879305737</v>
      </c>
      <c r="AM19" s="391">
        <f>IRR(AM10:AM15)</f>
        <v>0.34121104712519501</v>
      </c>
      <c r="BQ19" s="1436" t="s">
        <v>528</v>
      </c>
      <c r="BR19" s="1428" t="s">
        <v>529</v>
      </c>
      <c r="BS19" s="845" t="s">
        <v>515</v>
      </c>
      <c r="BT19" s="846">
        <f>BU7</f>
        <v>16220570416</v>
      </c>
      <c r="BU19" s="1430">
        <f>BT19/BT20</f>
        <v>0.21850270818813089</v>
      </c>
    </row>
    <row r="20" spans="1:73" ht="20.25" customHeight="1" thickBot="1">
      <c r="D20" s="865" t="s">
        <v>642</v>
      </c>
      <c r="E20" s="872">
        <v>100000</v>
      </c>
      <c r="F20" s="867"/>
      <c r="G20" s="862">
        <v>23000</v>
      </c>
      <c r="H20" s="863">
        <f t="shared" si="0"/>
        <v>15640000000</v>
      </c>
      <c r="I20" s="863">
        <f t="shared" si="1"/>
        <v>4500000000</v>
      </c>
      <c r="J20" s="863">
        <f t="shared" si="2"/>
        <v>8740000000</v>
      </c>
      <c r="K20" s="863">
        <f t="shared" si="3"/>
        <v>13240000000</v>
      </c>
      <c r="L20" s="864">
        <f t="shared" si="4"/>
        <v>2400000000</v>
      </c>
      <c r="V20" s="374"/>
      <c r="AH20" s="374"/>
      <c r="BQ20" s="1437"/>
      <c r="BR20" s="1438"/>
      <c r="BS20" s="847" t="s">
        <v>530</v>
      </c>
      <c r="BT20" s="848">
        <f>'4. 재무분석도구'!AL37</f>
        <v>74235100107.015991</v>
      </c>
      <c r="BU20" s="1439"/>
    </row>
    <row r="21" spans="1:73" ht="20.25" customHeight="1">
      <c r="D21" s="873"/>
      <c r="E21" s="874"/>
      <c r="F21" s="861"/>
      <c r="G21" s="862">
        <v>24000</v>
      </c>
      <c r="H21" s="863">
        <f t="shared" si="0"/>
        <v>16320000000</v>
      </c>
      <c r="I21" s="863">
        <f t="shared" si="1"/>
        <v>4500000000</v>
      </c>
      <c r="J21" s="863">
        <f t="shared" si="2"/>
        <v>9120000000</v>
      </c>
      <c r="K21" s="863">
        <f t="shared" si="3"/>
        <v>13620000000</v>
      </c>
      <c r="L21" s="864">
        <f t="shared" si="4"/>
        <v>2700000000</v>
      </c>
      <c r="V21" s="374"/>
      <c r="AH21" s="374"/>
    </row>
    <row r="22" spans="1:73" ht="20.25" customHeight="1">
      <c r="D22" s="865"/>
      <c r="E22" s="866"/>
      <c r="F22" s="861"/>
      <c r="G22" s="862">
        <v>25000</v>
      </c>
      <c r="H22" s="863">
        <f t="shared" si="0"/>
        <v>17000000000</v>
      </c>
      <c r="I22" s="863">
        <f t="shared" si="1"/>
        <v>4500000000</v>
      </c>
      <c r="J22" s="863">
        <f t="shared" si="2"/>
        <v>9500000000</v>
      </c>
      <c r="K22" s="863">
        <f t="shared" si="3"/>
        <v>14000000000</v>
      </c>
      <c r="L22" s="864">
        <f t="shared" si="4"/>
        <v>3000000000</v>
      </c>
      <c r="V22" s="374"/>
      <c r="AH22" s="374"/>
    </row>
    <row r="23" spans="1:73" ht="20.25" customHeight="1" thickBot="1">
      <c r="D23" s="868" t="s">
        <v>261</v>
      </c>
      <c r="E23" s="869">
        <f>SUM(E18:E21)</f>
        <v>380000</v>
      </c>
      <c r="F23" s="861"/>
      <c r="G23" s="862">
        <v>26000</v>
      </c>
      <c r="H23" s="863">
        <f t="shared" si="0"/>
        <v>17680000000</v>
      </c>
      <c r="I23" s="863">
        <f t="shared" si="1"/>
        <v>4500000000</v>
      </c>
      <c r="J23" s="863">
        <f t="shared" si="2"/>
        <v>9880000000</v>
      </c>
      <c r="K23" s="863">
        <f t="shared" si="3"/>
        <v>14380000000</v>
      </c>
      <c r="L23" s="864">
        <f t="shared" si="4"/>
        <v>3300000000</v>
      </c>
      <c r="V23" s="374"/>
      <c r="AH23" s="374"/>
    </row>
    <row r="24" spans="1:73" ht="20.25" customHeight="1">
      <c r="D24" s="861"/>
      <c r="E24" s="861"/>
      <c r="F24" s="861"/>
      <c r="G24" s="862">
        <v>27000</v>
      </c>
      <c r="H24" s="863">
        <f t="shared" si="0"/>
        <v>18360000000</v>
      </c>
      <c r="I24" s="863">
        <f t="shared" si="1"/>
        <v>4500000000</v>
      </c>
      <c r="J24" s="863">
        <f t="shared" si="2"/>
        <v>10260000000</v>
      </c>
      <c r="K24" s="863">
        <f t="shared" si="3"/>
        <v>14760000000</v>
      </c>
      <c r="L24" s="864">
        <f t="shared" si="4"/>
        <v>3600000000</v>
      </c>
      <c r="V24" s="374"/>
      <c r="AH24" s="374"/>
    </row>
    <row r="25" spans="1:73" ht="20.25" customHeight="1">
      <c r="D25" s="861"/>
      <c r="E25" s="861"/>
      <c r="F25" s="861"/>
      <c r="G25" s="862">
        <v>28000</v>
      </c>
      <c r="H25" s="863">
        <f t="shared" si="0"/>
        <v>19040000000</v>
      </c>
      <c r="I25" s="863">
        <f t="shared" si="1"/>
        <v>4500000000</v>
      </c>
      <c r="J25" s="863">
        <f t="shared" si="2"/>
        <v>10640000000</v>
      </c>
      <c r="K25" s="863">
        <f t="shared" si="3"/>
        <v>15140000000</v>
      </c>
      <c r="L25" s="864">
        <f t="shared" si="4"/>
        <v>3900000000</v>
      </c>
      <c r="V25" s="374"/>
      <c r="AH25" s="374"/>
    </row>
    <row r="26" spans="1:73" ht="20.25" customHeight="1">
      <c r="D26" s="861"/>
      <c r="E26" s="861"/>
      <c r="F26" s="861"/>
      <c r="G26" s="862">
        <v>29000</v>
      </c>
      <c r="H26" s="863">
        <f t="shared" si="0"/>
        <v>19720000000</v>
      </c>
      <c r="I26" s="863">
        <f t="shared" si="1"/>
        <v>4500000000</v>
      </c>
      <c r="J26" s="863">
        <f t="shared" si="2"/>
        <v>11020000000</v>
      </c>
      <c r="K26" s="863">
        <f t="shared" si="3"/>
        <v>15520000000</v>
      </c>
      <c r="L26" s="864">
        <f t="shared" si="4"/>
        <v>4200000000</v>
      </c>
      <c r="V26" s="374"/>
      <c r="AH26" s="374"/>
    </row>
    <row r="27" spans="1:73" ht="20.25" customHeight="1" thickBot="1">
      <c r="D27" s="861"/>
      <c r="E27" s="861"/>
      <c r="F27" s="861"/>
      <c r="G27" s="875">
        <v>30000</v>
      </c>
      <c r="H27" s="876">
        <f t="shared" si="0"/>
        <v>20400000000</v>
      </c>
      <c r="I27" s="876">
        <f t="shared" si="1"/>
        <v>4500000000</v>
      </c>
      <c r="J27" s="876">
        <f t="shared" si="2"/>
        <v>11400000000</v>
      </c>
      <c r="K27" s="876">
        <f t="shared" si="3"/>
        <v>15900000000</v>
      </c>
      <c r="L27" s="877">
        <f t="shared" si="4"/>
        <v>4500000000</v>
      </c>
      <c r="V27" s="374"/>
      <c r="AH27" s="374"/>
    </row>
    <row r="28" spans="1:73">
      <c r="V28" s="374"/>
      <c r="AH28" s="374"/>
    </row>
    <row r="29" spans="1:73">
      <c r="V29" s="374"/>
      <c r="AH29" s="374"/>
    </row>
    <row r="30" spans="1:73">
      <c r="A30" s="64"/>
      <c r="V30" s="374"/>
      <c r="AH30" s="374"/>
    </row>
    <row r="31" spans="1:73">
      <c r="A31" s="64"/>
    </row>
    <row r="32" spans="1:73">
      <c r="A32" s="64"/>
    </row>
    <row r="33" spans="1:80">
      <c r="A33" s="64"/>
    </row>
    <row r="34" spans="1:80">
      <c r="A34" s="64"/>
    </row>
    <row r="35" spans="1:80">
      <c r="A35" s="64"/>
    </row>
    <row r="36" spans="1:80">
      <c r="A36" s="64"/>
    </row>
    <row r="38" spans="1:80" s="810" customFormat="1" ht="24.75" customHeight="1">
      <c r="A38" s="808"/>
      <c r="AT38" s="619"/>
      <c r="AV38" s="64"/>
      <c r="AW38" s="64"/>
      <c r="AX38" s="64"/>
      <c r="AY38" s="64"/>
      <c r="AZ38" s="64"/>
      <c r="BA38" s="64"/>
      <c r="BB38" s="64"/>
      <c r="BC38" s="64"/>
      <c r="BD38" s="64"/>
      <c r="BE38" s="64"/>
      <c r="BF38" s="64"/>
      <c r="BG38" s="64"/>
      <c r="BH38" s="64"/>
      <c r="BI38" s="64"/>
      <c r="BJ38" s="64"/>
      <c r="BK38" s="64"/>
      <c r="BL38" s="64"/>
      <c r="BM38" s="64"/>
      <c r="BO38" s="619"/>
      <c r="BQ38" s="64"/>
      <c r="BR38" s="64"/>
      <c r="BS38" s="64"/>
      <c r="BT38" s="64"/>
      <c r="BU38" s="64"/>
      <c r="BV38" s="64"/>
      <c r="BW38" s="64"/>
      <c r="BX38" s="64"/>
      <c r="BY38" s="64"/>
      <c r="BZ38" s="64"/>
      <c r="CA38" s="64"/>
      <c r="CB38" s="64"/>
    </row>
    <row r="45" spans="1:80" ht="17.350000000000001">
      <c r="A45" s="75"/>
    </row>
    <row r="46" spans="1:80" ht="17.350000000000001">
      <c r="A46" s="75"/>
    </row>
    <row r="47" spans="1:80" ht="17.350000000000001">
      <c r="A47" s="75"/>
    </row>
    <row r="48" spans="1:80" ht="17.350000000000001">
      <c r="A48" s="75"/>
    </row>
    <row r="49" spans="1:1" ht="17.350000000000001">
      <c r="A49" s="75"/>
    </row>
    <row r="50" spans="1:1" ht="17.350000000000001">
      <c r="A50" s="75"/>
    </row>
    <row r="51" spans="1:1" ht="17.350000000000001">
      <c r="A51" s="75"/>
    </row>
    <row r="52" spans="1:1" ht="17.350000000000001">
      <c r="A52" s="75"/>
    </row>
    <row r="53" spans="1:1" ht="17.350000000000001">
      <c r="A53" s="75"/>
    </row>
    <row r="54" spans="1:1" ht="17.350000000000001">
      <c r="A54" s="75"/>
    </row>
    <row r="55" spans="1:1" ht="17.350000000000001">
      <c r="A55" s="75"/>
    </row>
    <row r="56" spans="1:1" ht="17.350000000000001">
      <c r="A56" s="75"/>
    </row>
    <row r="57" spans="1:1" ht="17.350000000000001">
      <c r="A57" s="75"/>
    </row>
    <row r="58" spans="1:1" ht="17.350000000000001">
      <c r="A58" s="75"/>
    </row>
    <row r="59" spans="1:1" ht="17.350000000000001">
      <c r="A59" s="75"/>
    </row>
    <row r="60" spans="1:1" ht="17.350000000000001">
      <c r="A60" s="75"/>
    </row>
    <row r="61" spans="1:1" ht="17.350000000000001">
      <c r="A61" s="75"/>
    </row>
    <row r="62" spans="1:1" ht="17.350000000000001">
      <c r="A62" s="75"/>
    </row>
    <row r="63" spans="1:1" ht="17.350000000000001">
      <c r="A63" s="75"/>
    </row>
    <row r="64" spans="1:1" ht="17.350000000000001">
      <c r="A64" s="75"/>
    </row>
    <row r="65" spans="1:1" ht="17.350000000000001">
      <c r="A65" s="75"/>
    </row>
    <row r="66" spans="1:1" ht="17.350000000000001">
      <c r="A66" s="75"/>
    </row>
    <row r="67" spans="1:1" ht="17.350000000000001">
      <c r="A67" s="75"/>
    </row>
    <row r="68" spans="1:1" ht="17.350000000000001">
      <c r="A68" s="75"/>
    </row>
    <row r="69" spans="1:1" ht="17.350000000000001">
      <c r="A69" s="75"/>
    </row>
    <row r="70" spans="1:1" ht="17.350000000000001">
      <c r="A70" s="75"/>
    </row>
    <row r="71" spans="1:1" ht="17.350000000000001">
      <c r="A71" s="75"/>
    </row>
    <row r="72" spans="1:1" ht="17.350000000000001">
      <c r="A72" s="75"/>
    </row>
    <row r="73" spans="1:1" ht="17.350000000000001">
      <c r="A73" s="75"/>
    </row>
    <row r="74" spans="1:1" ht="17.350000000000001">
      <c r="A74" s="75"/>
    </row>
    <row r="75" spans="1:1" ht="17.350000000000001">
      <c r="A75" s="75"/>
    </row>
    <row r="76" spans="1:1" ht="17.350000000000001">
      <c r="A76" s="75"/>
    </row>
    <row r="77" spans="1:1" ht="17.350000000000001">
      <c r="A77" s="75"/>
    </row>
    <row r="78" spans="1:1" ht="17.350000000000001">
      <c r="A78" s="75"/>
    </row>
    <row r="79" spans="1:1" ht="17.350000000000001">
      <c r="A79" s="75"/>
    </row>
    <row r="80" spans="1:1" ht="17.350000000000001">
      <c r="A80" s="75"/>
    </row>
    <row r="81" spans="1:1" ht="17.350000000000001">
      <c r="A81" s="75"/>
    </row>
    <row r="82" spans="1:1" ht="17.350000000000001">
      <c r="A82" s="75"/>
    </row>
    <row r="83" spans="1:1" ht="17.350000000000001">
      <c r="A83" s="75"/>
    </row>
    <row r="84" spans="1:1" ht="17.350000000000001">
      <c r="A84" s="75"/>
    </row>
    <row r="85" spans="1:1" ht="17.350000000000001">
      <c r="A85" s="75"/>
    </row>
    <row r="86" spans="1:1" ht="17.350000000000001">
      <c r="A86" s="75"/>
    </row>
    <row r="87" spans="1:1" ht="17.350000000000001">
      <c r="A87" s="75"/>
    </row>
    <row r="88" spans="1:1" ht="17.350000000000001">
      <c r="A88" s="75"/>
    </row>
    <row r="89" spans="1:1" ht="17.350000000000001">
      <c r="A89" s="75"/>
    </row>
    <row r="90" spans="1:1" ht="17.350000000000001">
      <c r="A90" s="75"/>
    </row>
    <row r="91" spans="1:1" ht="17.350000000000001">
      <c r="A91" s="75"/>
    </row>
    <row r="92" spans="1:1" ht="17.350000000000001">
      <c r="A92" s="75"/>
    </row>
    <row r="93" spans="1:1" ht="17.350000000000001">
      <c r="A93" s="75"/>
    </row>
    <row r="94" spans="1:1" ht="17.350000000000001">
      <c r="A94" s="75"/>
    </row>
    <row r="95" spans="1:1" ht="17.350000000000001">
      <c r="A95" s="75"/>
    </row>
    <row r="96" spans="1:1" ht="17.350000000000001">
      <c r="A96" s="75"/>
    </row>
    <row r="97" spans="1:1" ht="17.350000000000001">
      <c r="A97" s="75"/>
    </row>
    <row r="98" spans="1:1" ht="17.350000000000001">
      <c r="A98" s="75"/>
    </row>
    <row r="99" spans="1:1" ht="17.350000000000001">
      <c r="A99" s="75"/>
    </row>
    <row r="100" spans="1:1" ht="17.350000000000001">
      <c r="A100" s="75"/>
    </row>
    <row r="101" spans="1:1" ht="17.350000000000001">
      <c r="A101" s="75"/>
    </row>
    <row r="102" spans="1:1" ht="17.350000000000001">
      <c r="A102" s="75"/>
    </row>
    <row r="103" spans="1:1" ht="17.350000000000001">
      <c r="A103" s="75"/>
    </row>
    <row r="104" spans="1:1" ht="17.350000000000001">
      <c r="A104" s="75"/>
    </row>
    <row r="105" spans="1:1" ht="17.350000000000001">
      <c r="A105" s="75"/>
    </row>
    <row r="106" spans="1:1" ht="17.350000000000001">
      <c r="A106" s="75"/>
    </row>
    <row r="107" spans="1:1" ht="17.350000000000001">
      <c r="A107" s="75"/>
    </row>
  </sheetData>
  <mergeCells count="41">
    <mergeCell ref="BU13:BU14"/>
    <mergeCell ref="BQ7:BQ12"/>
    <mergeCell ref="BR7:BR12"/>
    <mergeCell ref="BQ19:BQ20"/>
    <mergeCell ref="BR19:BR20"/>
    <mergeCell ref="BU19:BU20"/>
    <mergeCell ref="BQ15:BQ16"/>
    <mergeCell ref="BR15:BR16"/>
    <mergeCell ref="BU15:BU16"/>
    <mergeCell ref="BQ17:BQ18"/>
    <mergeCell ref="BR17:BR18"/>
    <mergeCell ref="BU17:BU18"/>
    <mergeCell ref="BQ2:CB2"/>
    <mergeCell ref="BQ4:CB4"/>
    <mergeCell ref="BU7:BU12"/>
    <mergeCell ref="AV2:BM2"/>
    <mergeCell ref="AV4:BM4"/>
    <mergeCell ref="AV10:AV16"/>
    <mergeCell ref="BA10:BD10"/>
    <mergeCell ref="BI10:BL10"/>
    <mergeCell ref="BA11:BD11"/>
    <mergeCell ref="AZ15:BA15"/>
    <mergeCell ref="BD15:BE15"/>
    <mergeCell ref="BH15:BI15"/>
    <mergeCell ref="BL15:BM15"/>
    <mergeCell ref="AZ14:BA14"/>
    <mergeCell ref="BQ13:BQ14"/>
    <mergeCell ref="BR13:BR14"/>
    <mergeCell ref="BD14:BE14"/>
    <mergeCell ref="BH14:BI14"/>
    <mergeCell ref="BL14:BM14"/>
    <mergeCell ref="BE6:BH6"/>
    <mergeCell ref="AV7:AV9"/>
    <mergeCell ref="BE7:BH7"/>
    <mergeCell ref="BI11:BL11"/>
    <mergeCell ref="D2:T2"/>
    <mergeCell ref="X2:AF2"/>
    <mergeCell ref="AJ2:AR2"/>
    <mergeCell ref="D4:L4"/>
    <mergeCell ref="X4:AF4"/>
    <mergeCell ref="AJ4:AR4"/>
  </mergeCells>
  <phoneticPr fontId="51" type="noConversion"/>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58"/>
  <sheetViews>
    <sheetView tabSelected="1" workbookViewId="0"/>
  </sheetViews>
  <sheetFormatPr defaultColWidth="9" defaultRowHeight="16.7"/>
  <cols>
    <col min="1" max="1" width="1.609375" style="90" customWidth="1"/>
    <col min="2" max="2" width="14.71875" style="90" customWidth="1"/>
    <col min="3" max="5" width="22" style="90" customWidth="1"/>
    <col min="6" max="6" width="1.71875" style="90" customWidth="1"/>
    <col min="7" max="7" width="31.609375" style="90" customWidth="1"/>
    <col min="8" max="8" width="18.88671875" style="90" customWidth="1"/>
    <col min="9" max="9" width="21" style="90" customWidth="1"/>
    <col min="10" max="10" width="24" style="90" customWidth="1"/>
    <col min="11" max="11" width="27.71875" style="91" customWidth="1"/>
    <col min="12" max="12" width="4.5" style="64" customWidth="1"/>
    <col min="13" max="13" width="2.71875" style="65" customWidth="1"/>
    <col min="14" max="14" width="4.5" style="64" customWidth="1"/>
    <col min="15" max="15" width="30.38671875" style="90" customWidth="1"/>
    <col min="16" max="18" width="23" style="90" customWidth="1"/>
    <col min="19" max="19" width="7.71875" style="90" customWidth="1"/>
    <col min="20" max="22" width="25.71875" style="90" customWidth="1"/>
    <col min="23" max="23" width="25.71875" style="91" customWidth="1"/>
    <col min="24" max="24" width="4.5" style="64" customWidth="1"/>
    <col min="25" max="25" width="2.71875" style="65" customWidth="1"/>
    <col min="26" max="37" width="9" style="64"/>
    <col min="38" max="16384" width="9" style="66"/>
  </cols>
  <sheetData>
    <row r="1" spans="1:25" ht="9" customHeight="1" thickBot="1"/>
    <row r="2" spans="1:25" ht="39" customHeight="1" thickTop="1" thickBot="1">
      <c r="B2" s="1377" t="s">
        <v>643</v>
      </c>
      <c r="C2" s="1377"/>
      <c r="D2" s="1377"/>
      <c r="E2" s="1377"/>
      <c r="F2" s="1377"/>
      <c r="G2" s="1377"/>
      <c r="H2" s="1377"/>
      <c r="I2" s="1377"/>
      <c r="J2" s="1377"/>
      <c r="K2" s="1377"/>
      <c r="O2" s="1377" t="s">
        <v>644</v>
      </c>
      <c r="P2" s="1377"/>
      <c r="Q2" s="1377"/>
      <c r="R2" s="1377"/>
      <c r="S2" s="1377"/>
      <c r="T2" s="1377"/>
      <c r="U2" s="1377"/>
      <c r="V2" s="1377"/>
      <c r="W2" s="1377"/>
    </row>
    <row r="3" spans="1:25" ht="13.5" customHeight="1" thickTop="1">
      <c r="B3" s="1443"/>
      <c r="C3" s="1443"/>
      <c r="D3" s="521"/>
      <c r="E3" s="66"/>
      <c r="G3" s="93"/>
      <c r="H3" s="93"/>
      <c r="I3" s="522"/>
      <c r="O3" s="91"/>
      <c r="P3" s="91"/>
      <c r="Q3" s="91"/>
      <c r="R3" s="91"/>
      <c r="S3" s="93"/>
      <c r="T3" s="93"/>
    </row>
    <row r="4" spans="1:25" s="66" customFormat="1" ht="60" customHeight="1">
      <c r="A4" s="90"/>
      <c r="B4" s="1378" t="s">
        <v>645</v>
      </c>
      <c r="C4" s="1378"/>
      <c r="D4" s="1378"/>
      <c r="E4" s="1378"/>
      <c r="F4" s="1378"/>
      <c r="G4" s="1378"/>
      <c r="L4" s="64"/>
      <c r="M4" s="65"/>
      <c r="N4" s="64"/>
      <c r="O4" s="1378" t="s">
        <v>646</v>
      </c>
      <c r="P4" s="1378"/>
      <c r="Q4" s="1378"/>
      <c r="R4" s="1378"/>
      <c r="S4" s="1378"/>
      <c r="T4" s="1378"/>
      <c r="X4" s="64"/>
      <c r="Y4" s="65"/>
    </row>
    <row r="5" spans="1:25" s="66" customFormat="1" ht="20.25" customHeight="1">
      <c r="A5" s="90"/>
      <c r="B5" s="523"/>
      <c r="C5" s="523"/>
      <c r="D5" s="523"/>
      <c r="E5" s="523"/>
      <c r="F5" s="523"/>
      <c r="G5" s="523"/>
      <c r="J5" s="524"/>
      <c r="K5" s="524"/>
      <c r="L5" s="64"/>
      <c r="M5" s="65"/>
      <c r="N5" s="64"/>
      <c r="O5" s="523"/>
      <c r="P5" s="523"/>
      <c r="Q5" s="523"/>
      <c r="R5" s="523"/>
      <c r="S5" s="523"/>
      <c r="T5" s="523"/>
      <c r="V5" s="92"/>
      <c r="W5" s="92"/>
      <c r="X5" s="64"/>
      <c r="Y5" s="65"/>
    </row>
    <row r="6" spans="1:25" s="66" customFormat="1" ht="24" customHeight="1">
      <c r="A6" s="90"/>
      <c r="B6" s="523"/>
      <c r="C6" s="523"/>
      <c r="D6" s="523"/>
      <c r="E6" s="523"/>
      <c r="F6" s="523"/>
      <c r="G6" s="523"/>
      <c r="I6" s="92"/>
      <c r="J6" s="92"/>
      <c r="L6" s="64"/>
      <c r="M6" s="65"/>
      <c r="N6" s="64"/>
      <c r="O6" s="419" t="s">
        <v>647</v>
      </c>
      <c r="P6" s="525"/>
      <c r="Q6" s="525"/>
      <c r="R6" s="525"/>
      <c r="S6" s="525"/>
      <c r="T6" s="211"/>
      <c r="U6" s="211"/>
      <c r="V6" s="211"/>
      <c r="W6" s="526"/>
      <c r="X6" s="64"/>
      <c r="Y6" s="65"/>
    </row>
    <row r="7" spans="1:25" s="66" customFormat="1" ht="24.75" customHeight="1">
      <c r="A7" s="90"/>
      <c r="B7" s="101" t="s">
        <v>648</v>
      </c>
      <c r="G7" s="1442" t="s">
        <v>649</v>
      </c>
      <c r="H7" s="1442"/>
      <c r="L7" s="64"/>
      <c r="M7" s="65"/>
      <c r="N7" s="64"/>
      <c r="O7" s="527" t="s">
        <v>650</v>
      </c>
      <c r="P7" s="527"/>
      <c r="Q7" s="527"/>
      <c r="R7" s="527"/>
      <c r="S7" s="527"/>
      <c r="T7" s="527" t="s">
        <v>651</v>
      </c>
      <c r="U7" s="528"/>
      <c r="V7" s="529"/>
      <c r="W7" s="530"/>
      <c r="X7" s="64"/>
      <c r="Y7" s="65"/>
    </row>
    <row r="8" spans="1:25" s="66" customFormat="1" ht="21.75" customHeight="1">
      <c r="A8" s="90"/>
      <c r="B8" s="111"/>
      <c r="C8" s="531" t="s">
        <v>652</v>
      </c>
      <c r="D8" s="531" t="s">
        <v>653</v>
      </c>
      <c r="E8" s="531" t="s">
        <v>654</v>
      </c>
      <c r="G8" s="532" t="s">
        <v>655</v>
      </c>
      <c r="H8" s="532" t="s">
        <v>128</v>
      </c>
      <c r="J8" s="90"/>
      <c r="L8" s="64"/>
      <c r="M8" s="65"/>
      <c r="N8" s="64"/>
      <c r="O8" s="533" t="s">
        <v>656</v>
      </c>
      <c r="P8" s="533" t="s">
        <v>657</v>
      </c>
      <c r="Q8" s="533" t="s">
        <v>658</v>
      </c>
      <c r="R8" s="533" t="s">
        <v>659</v>
      </c>
      <c r="S8" s="90"/>
      <c r="T8" s="534" t="s">
        <v>660</v>
      </c>
      <c r="U8" s="535" t="s">
        <v>657</v>
      </c>
      <c r="V8" s="535" t="s">
        <v>658</v>
      </c>
      <c r="W8" s="535" t="s">
        <v>659</v>
      </c>
      <c r="X8" s="64"/>
      <c r="Y8" s="65"/>
    </row>
    <row r="9" spans="1:25" s="66" customFormat="1" ht="21.75" customHeight="1">
      <c r="A9" s="90"/>
      <c r="B9" s="426" t="s">
        <v>661</v>
      </c>
      <c r="C9" s="536">
        <v>680000</v>
      </c>
      <c r="D9" s="536">
        <v>20000</v>
      </c>
      <c r="E9" s="537">
        <f>C9+D9</f>
        <v>700000</v>
      </c>
      <c r="G9" s="142" t="s">
        <v>662</v>
      </c>
      <c r="H9" s="538">
        <f>D14</f>
        <v>318679000</v>
      </c>
      <c r="J9" s="90"/>
      <c r="L9" s="64"/>
      <c r="M9" s="68"/>
      <c r="N9" s="64"/>
      <c r="O9" s="426" t="s">
        <v>663</v>
      </c>
      <c r="P9" s="539">
        <v>40000</v>
      </c>
      <c r="Q9" s="539">
        <v>66680</v>
      </c>
      <c r="R9" s="539">
        <v>70000</v>
      </c>
      <c r="S9" s="90"/>
      <c r="T9" s="540" t="s">
        <v>117</v>
      </c>
      <c r="U9" s="541">
        <f>SUM(U10:U12)</f>
        <v>51255000000</v>
      </c>
      <c r="V9" s="541">
        <f>SUM(V10:V12)</f>
        <v>88631620000</v>
      </c>
      <c r="W9" s="541">
        <f>SUM(W10:W12)</f>
        <v>95515000000</v>
      </c>
      <c r="X9" s="64"/>
      <c r="Y9" s="68"/>
    </row>
    <row r="10" spans="1:25" s="66" customFormat="1" ht="21.75" customHeight="1">
      <c r="A10" s="90"/>
      <c r="B10" s="542" t="s">
        <v>664</v>
      </c>
      <c r="C10" s="536">
        <v>66680</v>
      </c>
      <c r="D10" s="543">
        <v>-3000</v>
      </c>
      <c r="E10" s="537">
        <f>C10+D10</f>
        <v>63680</v>
      </c>
      <c r="G10" s="544">
        <v>-1000</v>
      </c>
      <c r="H10" s="308">
        <f t="dataTable" ref="H10:H18" dt2D="0" dtr="0" r1="D10"/>
        <v>995293000</v>
      </c>
      <c r="J10" s="90"/>
      <c r="L10" s="64"/>
      <c r="M10" s="68"/>
      <c r="N10" s="64"/>
      <c r="O10" s="426" t="s">
        <v>1201</v>
      </c>
      <c r="P10" s="539">
        <v>20000</v>
      </c>
      <c r="Q10" s="536">
        <v>32680</v>
      </c>
      <c r="R10" s="539">
        <v>35000</v>
      </c>
      <c r="S10" s="90"/>
      <c r="T10" s="534" t="s">
        <v>534</v>
      </c>
      <c r="U10" s="545">
        <f>P9*P14</f>
        <v>27200000000</v>
      </c>
      <c r="V10" s="545">
        <f>Q9*P14</f>
        <v>45342400000</v>
      </c>
      <c r="W10" s="545">
        <f>R9*P14</f>
        <v>47600000000</v>
      </c>
      <c r="X10" s="64"/>
      <c r="Y10" s="68"/>
    </row>
    <row r="11" spans="1:25" s="66" customFormat="1" ht="21.75" customHeight="1">
      <c r="A11" s="90"/>
      <c r="B11" s="542" t="s">
        <v>117</v>
      </c>
      <c r="C11" s="537">
        <f>C9*C10*C17</f>
        <v>45342400000</v>
      </c>
      <c r="D11" s="545">
        <f>E11-C11</f>
        <v>-766400000</v>
      </c>
      <c r="E11" s="537">
        <f>E9*E10*C17</f>
        <v>44576000000</v>
      </c>
      <c r="F11" s="546"/>
      <c r="G11" s="544">
        <v>-1500</v>
      </c>
      <c r="H11" s="308">
        <v>826139500</v>
      </c>
      <c r="J11" s="90"/>
      <c r="L11" s="64"/>
      <c r="M11" s="68"/>
      <c r="N11" s="64"/>
      <c r="O11" s="426" t="s">
        <v>1207</v>
      </c>
      <c r="P11" s="539">
        <v>15000</v>
      </c>
      <c r="Q11" s="536">
        <v>30500</v>
      </c>
      <c r="R11" s="539">
        <v>35000</v>
      </c>
      <c r="S11" s="90"/>
      <c r="T11" s="534" t="s">
        <v>1163</v>
      </c>
      <c r="U11" s="545">
        <f>P10*Q14*Q15</f>
        <v>14080000000</v>
      </c>
      <c r="V11" s="545">
        <f>Q10*Q14*Q15</f>
        <v>23006720000</v>
      </c>
      <c r="W11" s="545">
        <f>R10*Q14*Q15</f>
        <v>24640000000</v>
      </c>
      <c r="X11" s="64"/>
      <c r="Y11" s="68"/>
    </row>
    <row r="12" spans="1:25" s="66" customFormat="1" ht="21.75" customHeight="1">
      <c r="A12" s="90"/>
      <c r="B12" s="542" t="s">
        <v>118</v>
      </c>
      <c r="C12" s="537">
        <f>C10*C16</f>
        <v>24117689240</v>
      </c>
      <c r="D12" s="545">
        <f>D10*C16</f>
        <v>-1085079000</v>
      </c>
      <c r="E12" s="537">
        <f>E10*C16</f>
        <v>23032610240</v>
      </c>
      <c r="F12" s="547"/>
      <c r="G12" s="544">
        <v>-2000</v>
      </c>
      <c r="H12" s="308">
        <v>656986000</v>
      </c>
      <c r="J12" s="90"/>
      <c r="L12" s="64"/>
      <c r="M12" s="68"/>
      <c r="N12" s="64"/>
      <c r="O12" s="426" t="s">
        <v>665</v>
      </c>
      <c r="P12" s="539">
        <f>SUM(P9:P11)</f>
        <v>75000</v>
      </c>
      <c r="Q12" s="539">
        <f>SUM(Q9:Q11)</f>
        <v>129860</v>
      </c>
      <c r="R12" s="539">
        <f>SUM(R9:R11)</f>
        <v>140000</v>
      </c>
      <c r="S12" s="90"/>
      <c r="T12" s="534" t="s">
        <v>1206</v>
      </c>
      <c r="U12" s="545">
        <f>P11*R14*R15</f>
        <v>9975000000</v>
      </c>
      <c r="V12" s="545">
        <f>Q11*R14*R15</f>
        <v>20282500000</v>
      </c>
      <c r="W12" s="545">
        <f>R11*R14*R15</f>
        <v>23275000000</v>
      </c>
      <c r="X12" s="64"/>
      <c r="Y12" s="68"/>
    </row>
    <row r="13" spans="1:25" s="66" customFormat="1" ht="21.75" customHeight="1" thickBot="1">
      <c r="A13" s="90"/>
      <c r="B13" s="542" t="s">
        <v>136</v>
      </c>
      <c r="C13" s="537">
        <v>2404060338.8126702</v>
      </c>
      <c r="D13" s="537">
        <v>0</v>
      </c>
      <c r="E13" s="537">
        <v>2404060338.8126702</v>
      </c>
      <c r="F13" s="548"/>
      <c r="G13" s="544">
        <v>-2500</v>
      </c>
      <c r="H13" s="308">
        <v>487832500</v>
      </c>
      <c r="J13" s="90"/>
      <c r="L13" s="64"/>
      <c r="M13" s="68"/>
      <c r="N13" s="64"/>
      <c r="O13" s="549" t="s">
        <v>666</v>
      </c>
      <c r="P13" s="550">
        <v>0.2</v>
      </c>
      <c r="Q13" s="551">
        <v>0.5</v>
      </c>
      <c r="R13" s="550">
        <v>0.3</v>
      </c>
      <c r="S13" s="90"/>
      <c r="T13" s="540" t="s">
        <v>118</v>
      </c>
      <c r="U13" s="541">
        <f>P16</f>
        <v>46940607948</v>
      </c>
      <c r="V13" s="541">
        <f>Q16</f>
        <v>46940607948</v>
      </c>
      <c r="W13" s="541">
        <f>R16</f>
        <v>46940607948</v>
      </c>
      <c r="X13" s="64"/>
      <c r="Y13" s="68"/>
    </row>
    <row r="14" spans="1:25" s="66" customFormat="1" ht="21.75" customHeight="1" thickTop="1">
      <c r="A14" s="90"/>
      <c r="B14" s="542" t="s">
        <v>128</v>
      </c>
      <c r="C14" s="552">
        <f>C11-C12-C13</f>
        <v>18820650421.187328</v>
      </c>
      <c r="D14" s="552">
        <f>E14-C14</f>
        <v>318679000</v>
      </c>
      <c r="E14" s="552">
        <f>E11-E12-E13</f>
        <v>19139329421.187328</v>
      </c>
      <c r="F14" s="553"/>
      <c r="G14" s="544">
        <v>-3000</v>
      </c>
      <c r="H14" s="308">
        <v>318679000</v>
      </c>
      <c r="J14" s="90"/>
      <c r="L14" s="64"/>
      <c r="M14" s="68"/>
      <c r="N14" s="64"/>
      <c r="O14" s="336" t="s">
        <v>667</v>
      </c>
      <c r="P14" s="554">
        <v>680000</v>
      </c>
      <c r="Q14" s="554">
        <v>640</v>
      </c>
      <c r="R14" s="554">
        <v>3800</v>
      </c>
      <c r="S14" s="90"/>
      <c r="T14" s="534" t="s">
        <v>534</v>
      </c>
      <c r="U14" s="545">
        <f>U13*(P9/SUM(P9:P11))</f>
        <v>25034990905.599998</v>
      </c>
      <c r="V14" s="545">
        <f>V13*(Q9/SUM(Q9:Q11))</f>
        <v>24102878006.873863</v>
      </c>
      <c r="W14" s="545">
        <f>W13*(R9/SUM(R9:R11))</f>
        <v>23470303974</v>
      </c>
      <c r="X14" s="64"/>
      <c r="Y14" s="68"/>
    </row>
    <row r="15" spans="1:25" s="66" customFormat="1" ht="21.75" customHeight="1">
      <c r="A15" s="90"/>
      <c r="B15" s="211"/>
      <c r="C15" s="67"/>
      <c r="D15" s="555"/>
      <c r="E15" s="555"/>
      <c r="F15" s="90"/>
      <c r="G15" s="544">
        <v>-3500</v>
      </c>
      <c r="H15" s="308">
        <v>149525500</v>
      </c>
      <c r="J15" s="90"/>
      <c r="L15" s="64"/>
      <c r="M15" s="68"/>
      <c r="N15" s="64"/>
      <c r="O15" s="556" t="s">
        <v>668</v>
      </c>
      <c r="P15" s="557"/>
      <c r="Q15" s="536">
        <v>1100</v>
      </c>
      <c r="R15" s="536">
        <v>175</v>
      </c>
      <c r="S15" s="90"/>
      <c r="T15" s="534" t="s">
        <v>1163</v>
      </c>
      <c r="U15" s="545">
        <f>U13*(P10/SUM(P9:P11))</f>
        <v>12517495452.799999</v>
      </c>
      <c r="V15" s="545">
        <f>V13*(Q10/SUM(Q9:Q11))</f>
        <v>11812868225.324503</v>
      </c>
      <c r="W15" s="545">
        <f>W13*(R10/SUM(R9:R11))</f>
        <v>11735151987</v>
      </c>
      <c r="X15" s="64"/>
      <c r="Y15" s="68"/>
    </row>
    <row r="16" spans="1:25" s="66" customFormat="1" ht="21.75" customHeight="1">
      <c r="A16" s="90"/>
      <c r="B16" s="426" t="s">
        <v>669</v>
      </c>
      <c r="C16" s="558">
        <v>361693</v>
      </c>
      <c r="D16" s="555"/>
      <c r="E16" s="555"/>
      <c r="F16" s="90"/>
      <c r="G16" s="544">
        <v>-4000</v>
      </c>
      <c r="H16" s="308">
        <v>-19628000</v>
      </c>
      <c r="J16" s="90"/>
      <c r="L16" s="64"/>
      <c r="M16" s="68"/>
      <c r="N16" s="64"/>
      <c r="O16" s="423" t="s">
        <v>670</v>
      </c>
      <c r="P16" s="559">
        <v>46940607948</v>
      </c>
      <c r="Q16" s="559">
        <v>46940607948</v>
      </c>
      <c r="R16" s="559">
        <v>46940607948</v>
      </c>
      <c r="S16" s="90"/>
      <c r="T16" s="534" t="s">
        <v>1206</v>
      </c>
      <c r="U16" s="545">
        <f>U13*(P11/SUM(P9:P11))</f>
        <v>9388121589.6000004</v>
      </c>
      <c r="V16" s="545">
        <f>V13*(Q11/SUM(Q9:Q11))</f>
        <v>11024861715.801632</v>
      </c>
      <c r="W16" s="545">
        <f>W13*(R11/SUM(R9:R11))</f>
        <v>11735151987</v>
      </c>
      <c r="X16" s="64"/>
      <c r="Y16" s="68"/>
    </row>
    <row r="17" spans="1:25" s="66" customFormat="1" ht="21.75" customHeight="1">
      <c r="A17" s="90"/>
      <c r="B17" s="426" t="s">
        <v>668</v>
      </c>
      <c r="C17" s="558">
        <v>1</v>
      </c>
      <c r="D17" s="555"/>
      <c r="E17" s="555"/>
      <c r="F17" s="90"/>
      <c r="G17" s="544">
        <v>-4500</v>
      </c>
      <c r="H17" s="308">
        <v>-188781500</v>
      </c>
      <c r="J17" s="547"/>
      <c r="L17" s="64"/>
      <c r="M17" s="68"/>
      <c r="N17" s="64"/>
      <c r="O17" s="423" t="s">
        <v>671</v>
      </c>
      <c r="P17" s="559">
        <v>36417142000</v>
      </c>
      <c r="Q17" s="559">
        <v>36417142000</v>
      </c>
      <c r="R17" s="559">
        <v>36417142000</v>
      </c>
      <c r="S17" s="90"/>
      <c r="T17" s="540" t="s">
        <v>136</v>
      </c>
      <c r="U17" s="541">
        <f>P17</f>
        <v>36417142000</v>
      </c>
      <c r="V17" s="541">
        <f>Q17</f>
        <v>36417142000</v>
      </c>
      <c r="W17" s="541">
        <f>R17</f>
        <v>36417142000</v>
      </c>
      <c r="X17" s="64"/>
      <c r="Y17" s="68"/>
    </row>
    <row r="18" spans="1:25" s="66" customFormat="1" ht="21.75" customHeight="1">
      <c r="A18" s="90"/>
      <c r="D18" s="555"/>
      <c r="F18" s="90"/>
      <c r="G18" s="544">
        <v>-5000</v>
      </c>
      <c r="H18" s="308">
        <v>-357935000</v>
      </c>
      <c r="I18" s="90"/>
      <c r="J18" s="547"/>
      <c r="L18" s="64"/>
      <c r="M18" s="68"/>
      <c r="N18" s="64"/>
      <c r="O18" s="90"/>
      <c r="P18" s="90"/>
      <c r="Q18" s="90"/>
      <c r="R18" s="560"/>
      <c r="S18" s="90"/>
      <c r="T18" s="534" t="s">
        <v>534</v>
      </c>
      <c r="U18" s="545">
        <f>U17*(P9/SUM(P9:P11))</f>
        <v>19422475733.333332</v>
      </c>
      <c r="V18" s="545">
        <f>V17*(Q9/SUM(Q9:Q11))</f>
        <v>18699330267.672878</v>
      </c>
      <c r="W18" s="545">
        <f>W17*(R9/SUM(R9:R11))</f>
        <v>18208571000</v>
      </c>
      <c r="X18" s="64"/>
      <c r="Y18" s="68"/>
    </row>
    <row r="19" spans="1:25" s="66" customFormat="1" ht="20.25" customHeight="1">
      <c r="A19" s="90"/>
      <c r="L19" s="64"/>
      <c r="M19" s="68"/>
      <c r="N19" s="64"/>
      <c r="O19" s="90"/>
      <c r="P19" s="90"/>
      <c r="Q19" s="90"/>
      <c r="R19" s="360"/>
      <c r="S19" s="90"/>
      <c r="T19" s="534" t="s">
        <v>1163</v>
      </c>
      <c r="U19" s="545">
        <f>U17*(P10/SUM(P9:P11))</f>
        <v>9711237866.666666</v>
      </c>
      <c r="V19" s="545">
        <f>V17*(Q10/SUM(Q9:Q11))</f>
        <v>9164578781.456953</v>
      </c>
      <c r="W19" s="545">
        <f>W17*(R10/SUM(R9:R11))</f>
        <v>9104285500</v>
      </c>
      <c r="X19" s="64"/>
      <c r="Y19" s="68"/>
    </row>
    <row r="20" spans="1:25" s="66" customFormat="1" ht="20.25" customHeight="1">
      <c r="A20" s="90"/>
      <c r="B20" s="561"/>
      <c r="C20" s="561"/>
      <c r="D20" s="561"/>
      <c r="E20" s="561"/>
      <c r="F20" s="562"/>
      <c r="G20" s="561"/>
      <c r="H20" s="561"/>
      <c r="I20" s="562"/>
      <c r="J20" s="563"/>
      <c r="K20" s="564"/>
      <c r="L20" s="64"/>
      <c r="M20" s="68"/>
      <c r="N20" s="64"/>
      <c r="O20" s="90"/>
      <c r="P20" s="90"/>
      <c r="Q20" s="90"/>
      <c r="R20" s="90"/>
      <c r="S20" s="360"/>
      <c r="T20" s="534" t="s">
        <v>1206</v>
      </c>
      <c r="U20" s="545">
        <f>U17*(P11/SUM(P9:P11))</f>
        <v>7283428400</v>
      </c>
      <c r="V20" s="545">
        <f>V17*(Q11/SUM(Q9:Q11))</f>
        <v>8553232950.8701677</v>
      </c>
      <c r="W20" s="545">
        <f>W17*(R11/SUM(R9:R11))</f>
        <v>9104285500</v>
      </c>
      <c r="X20" s="64"/>
      <c r="Y20" s="68"/>
    </row>
    <row r="21" spans="1:25" s="66" customFormat="1" ht="20.25" customHeight="1">
      <c r="A21" s="90"/>
      <c r="H21" s="565"/>
      <c r="I21" s="547"/>
      <c r="L21" s="64"/>
      <c r="M21" s="68"/>
      <c r="N21" s="64"/>
      <c r="O21" s="90"/>
      <c r="S21" s="90"/>
      <c r="T21" s="540" t="s">
        <v>128</v>
      </c>
      <c r="U21" s="552">
        <f>U9-U13-U17</f>
        <v>-32102749948</v>
      </c>
      <c r="V21" s="552">
        <f>V9-V13-V17</f>
        <v>5273870052</v>
      </c>
      <c r="W21" s="552">
        <f>W9-W13-W17</f>
        <v>12157250052</v>
      </c>
      <c r="X21" s="64"/>
      <c r="Y21" s="68"/>
    </row>
    <row r="22" spans="1:25" s="66" customFormat="1" ht="60" customHeight="1">
      <c r="A22" s="90"/>
      <c r="B22" s="1378" t="s">
        <v>672</v>
      </c>
      <c r="C22" s="1378"/>
      <c r="D22" s="1378"/>
      <c r="E22" s="1378"/>
      <c r="F22" s="1378"/>
      <c r="G22" s="1378"/>
      <c r="H22" s="565"/>
      <c r="I22" s="547"/>
      <c r="J22" s="547"/>
      <c r="L22" s="64"/>
      <c r="M22" s="68"/>
      <c r="N22" s="64"/>
      <c r="O22" s="90"/>
      <c r="T22" s="90"/>
      <c r="U22" s="90"/>
      <c r="V22" s="90"/>
      <c r="W22" s="90"/>
      <c r="X22" s="64"/>
      <c r="Y22" s="68"/>
    </row>
    <row r="23" spans="1:25" s="66" customFormat="1" ht="22.5" customHeight="1">
      <c r="A23" s="90"/>
      <c r="L23" s="64"/>
      <c r="M23" s="68"/>
      <c r="N23" s="64"/>
      <c r="O23" s="90"/>
      <c r="T23" s="90"/>
      <c r="V23" s="90"/>
      <c r="W23" s="90"/>
      <c r="X23" s="64"/>
      <c r="Y23" s="68"/>
    </row>
    <row r="24" spans="1:25" s="66" customFormat="1" ht="22.5" customHeight="1">
      <c r="A24" s="90"/>
      <c r="B24" s="101" t="s">
        <v>673</v>
      </c>
      <c r="F24" s="90"/>
      <c r="G24" s="1442" t="s">
        <v>649</v>
      </c>
      <c r="H24" s="1442"/>
      <c r="I24" s="565"/>
      <c r="J24" s="547"/>
      <c r="L24" s="64"/>
      <c r="M24" s="68"/>
      <c r="N24" s="64"/>
      <c r="T24" s="90"/>
      <c r="V24" s="90"/>
      <c r="W24" s="91"/>
      <c r="X24" s="64"/>
      <c r="Y24" s="68"/>
    </row>
    <row r="25" spans="1:25" s="66" customFormat="1" ht="22.5" customHeight="1">
      <c r="A25" s="90"/>
      <c r="B25" s="111"/>
      <c r="C25" s="531" t="s">
        <v>652</v>
      </c>
      <c r="D25" s="531" t="s">
        <v>653</v>
      </c>
      <c r="E25" s="531" t="s">
        <v>654</v>
      </c>
      <c r="F25" s="90"/>
      <c r="G25" s="532" t="s">
        <v>674</v>
      </c>
      <c r="H25" s="532" t="s">
        <v>128</v>
      </c>
      <c r="I25" s="522"/>
      <c r="J25" s="90"/>
      <c r="L25" s="64"/>
      <c r="M25" s="68"/>
      <c r="N25" s="64"/>
      <c r="O25" s="90"/>
      <c r="T25" s="90"/>
      <c r="V25" s="90"/>
      <c r="W25" s="91"/>
      <c r="X25" s="64"/>
      <c r="Y25" s="68"/>
    </row>
    <row r="26" spans="1:25" s="66" customFormat="1" ht="22.5" customHeight="1">
      <c r="A26" s="90"/>
      <c r="B26" s="426" t="s">
        <v>661</v>
      </c>
      <c r="C26" s="566">
        <v>680000</v>
      </c>
      <c r="D26" s="545">
        <v>0</v>
      </c>
      <c r="E26" s="545">
        <f>C26+D26</f>
        <v>680000</v>
      </c>
      <c r="F26" s="90"/>
      <c r="G26" s="142" t="s">
        <v>662</v>
      </c>
      <c r="H26" s="567">
        <f>D32</f>
        <v>473228000</v>
      </c>
      <c r="I26" s="522"/>
      <c r="J26" s="90"/>
      <c r="L26" s="64"/>
      <c r="M26" s="68"/>
      <c r="N26" s="64"/>
      <c r="O26" s="90"/>
      <c r="T26" s="90"/>
      <c r="V26" s="90"/>
      <c r="W26" s="91"/>
      <c r="X26" s="64"/>
      <c r="Y26" s="68"/>
    </row>
    <row r="27" spans="1:25" s="66" customFormat="1" ht="22.5" customHeight="1">
      <c r="A27" s="90"/>
      <c r="B27" s="426" t="s">
        <v>675</v>
      </c>
      <c r="C27" s="566">
        <v>3200000000</v>
      </c>
      <c r="D27" s="566">
        <v>800000000</v>
      </c>
      <c r="E27" s="545">
        <f>C27+D27</f>
        <v>4000000000</v>
      </c>
      <c r="F27" s="90"/>
      <c r="G27" s="566">
        <v>500</v>
      </c>
      <c r="H27" s="308">
        <f t="dataTable" ref="H27:H35" dt2D="0" dtr="0" r1="D28"/>
        <v>-640846500</v>
      </c>
      <c r="L27" s="64"/>
      <c r="M27" s="68"/>
      <c r="N27" s="64"/>
      <c r="O27" s="90"/>
      <c r="T27" s="90"/>
      <c r="V27" s="568"/>
      <c r="W27" s="91"/>
      <c r="X27" s="64"/>
      <c r="Y27" s="68"/>
    </row>
    <row r="28" spans="1:25" s="66" customFormat="1" ht="22.5" customHeight="1">
      <c r="A28" s="90"/>
      <c r="B28" s="542" t="s">
        <v>664</v>
      </c>
      <c r="C28" s="566">
        <v>66680</v>
      </c>
      <c r="D28" s="569">
        <v>4000</v>
      </c>
      <c r="E28" s="537">
        <f>C28+D28</f>
        <v>70680</v>
      </c>
      <c r="F28" s="90"/>
      <c r="G28" s="566">
        <v>1000</v>
      </c>
      <c r="H28" s="308">
        <v>-481693000</v>
      </c>
      <c r="I28" s="522"/>
      <c r="L28" s="64"/>
      <c r="M28" s="68"/>
      <c r="N28" s="64"/>
      <c r="O28" s="90"/>
      <c r="P28" s="90"/>
      <c r="Q28" s="90"/>
      <c r="R28" s="90"/>
      <c r="T28" s="90"/>
      <c r="U28" s="90"/>
      <c r="V28" s="560"/>
      <c r="W28" s="570"/>
      <c r="X28" s="64"/>
      <c r="Y28" s="68"/>
    </row>
    <row r="29" spans="1:25" s="66" customFormat="1" ht="22.5" customHeight="1">
      <c r="A29" s="90"/>
      <c r="B29" s="542" t="s">
        <v>117</v>
      </c>
      <c r="C29" s="537">
        <f>C26*C28*C17</f>
        <v>45342400000</v>
      </c>
      <c r="D29" s="545">
        <f>E29-C29</f>
        <v>2720000000</v>
      </c>
      <c r="E29" s="537">
        <f>E26*E28*C17</f>
        <v>48062400000</v>
      </c>
      <c r="F29" s="90"/>
      <c r="G29" s="566">
        <v>1500</v>
      </c>
      <c r="H29" s="308">
        <v>-322539500</v>
      </c>
      <c r="I29" s="522"/>
      <c r="J29" s="90"/>
      <c r="L29" s="64"/>
      <c r="M29" s="68"/>
      <c r="N29" s="64"/>
      <c r="O29" s="64"/>
      <c r="P29" s="64"/>
      <c r="Q29" s="64"/>
      <c r="R29" s="90"/>
      <c r="S29" s="90"/>
      <c r="T29" s="90"/>
      <c r="U29" s="90"/>
      <c r="V29" s="360"/>
      <c r="W29" s="91"/>
      <c r="X29" s="64"/>
      <c r="Y29" s="68"/>
    </row>
    <row r="30" spans="1:25" s="66" customFormat="1" ht="22.5" customHeight="1">
      <c r="A30" s="90"/>
      <c r="B30" s="542" t="s">
        <v>118</v>
      </c>
      <c r="C30" s="537">
        <f>C16*C28</f>
        <v>24117689240</v>
      </c>
      <c r="D30" s="545">
        <f>D28*C16</f>
        <v>1446772000</v>
      </c>
      <c r="E30" s="537">
        <f>E28*C16</f>
        <v>25564461240</v>
      </c>
      <c r="F30" s="90"/>
      <c r="G30" s="566">
        <v>2000</v>
      </c>
      <c r="H30" s="571">
        <v>-163386000</v>
      </c>
      <c r="I30" s="522"/>
      <c r="J30" s="90"/>
      <c r="L30" s="64"/>
      <c r="M30" s="68"/>
      <c r="N30" s="64"/>
      <c r="O30" s="90"/>
      <c r="P30" s="90"/>
      <c r="Q30" s="90"/>
      <c r="R30" s="90"/>
      <c r="S30" s="90"/>
      <c r="T30" s="64"/>
      <c r="U30" s="64"/>
      <c r="V30" s="64"/>
      <c r="W30" s="64"/>
      <c r="X30" s="64"/>
      <c r="Y30" s="68"/>
    </row>
    <row r="31" spans="1:25" ht="22.5" customHeight="1">
      <c r="B31" s="542" t="s">
        <v>136</v>
      </c>
      <c r="C31" s="537">
        <v>2404060338.8126702</v>
      </c>
      <c r="D31" s="537">
        <f>D27</f>
        <v>800000000</v>
      </c>
      <c r="E31" s="537">
        <f>C31+D31</f>
        <v>3204060338.8126702</v>
      </c>
      <c r="G31" s="566">
        <v>2500</v>
      </c>
      <c r="H31" s="571">
        <v>-4232500</v>
      </c>
      <c r="I31" s="522"/>
      <c r="K31" s="66"/>
      <c r="U31" s="572"/>
      <c r="V31" s="572"/>
      <c r="W31" s="573"/>
    </row>
    <row r="32" spans="1:25" ht="22.5" customHeight="1">
      <c r="B32" s="542" t="s">
        <v>128</v>
      </c>
      <c r="C32" s="552">
        <f>C29-C30-C31</f>
        <v>18820650421.187328</v>
      </c>
      <c r="D32" s="552">
        <f>E32-C32</f>
        <v>473228000</v>
      </c>
      <c r="E32" s="552">
        <f>E29-E30-E31</f>
        <v>19293878421.187328</v>
      </c>
      <c r="G32" s="566">
        <v>3000</v>
      </c>
      <c r="H32" s="308">
        <v>154921000</v>
      </c>
      <c r="I32" s="522"/>
      <c r="K32" s="66"/>
    </row>
    <row r="33" spans="7:11" ht="22.5" customHeight="1">
      <c r="G33" s="566">
        <v>3500</v>
      </c>
      <c r="H33" s="308">
        <v>314074500</v>
      </c>
      <c r="I33" s="66"/>
      <c r="J33" s="66"/>
    </row>
    <row r="34" spans="7:11" ht="20.25" customHeight="1">
      <c r="G34" s="566">
        <v>4000</v>
      </c>
      <c r="H34" s="308">
        <v>473228000</v>
      </c>
      <c r="I34" s="66"/>
      <c r="J34" s="66"/>
    </row>
    <row r="35" spans="7:11" ht="20.25" customHeight="1">
      <c r="G35" s="566">
        <v>4500</v>
      </c>
      <c r="H35" s="308">
        <v>632381500</v>
      </c>
      <c r="I35" s="66"/>
      <c r="J35" s="66"/>
      <c r="K35" s="66"/>
    </row>
    <row r="36" spans="7:11" ht="20.25" customHeight="1">
      <c r="I36" s="66"/>
      <c r="J36" s="66"/>
      <c r="K36" s="66"/>
    </row>
    <row r="37" spans="7:11" ht="20.25" customHeight="1">
      <c r="I37" s="66"/>
      <c r="J37" s="66"/>
      <c r="K37" s="66"/>
    </row>
    <row r="38" spans="7:11" ht="20.25" customHeight="1">
      <c r="I38" s="66"/>
      <c r="J38" s="66"/>
      <c r="K38" s="66"/>
    </row>
    <row r="39" spans="7:11" ht="20.25" customHeight="1">
      <c r="I39" s="66"/>
      <c r="J39" s="66"/>
      <c r="K39" s="66"/>
    </row>
    <row r="40" spans="7:11" ht="20.25" customHeight="1">
      <c r="I40" s="66"/>
      <c r="J40" s="66"/>
      <c r="K40" s="66"/>
    </row>
    <row r="41" spans="7:11">
      <c r="I41" s="66"/>
      <c r="J41" s="66"/>
      <c r="K41" s="66"/>
    </row>
    <row r="42" spans="7:11">
      <c r="I42" s="66"/>
      <c r="J42" s="66"/>
      <c r="K42" s="66"/>
    </row>
    <row r="43" spans="7:11">
      <c r="I43" s="66"/>
      <c r="J43" s="66"/>
      <c r="K43" s="66"/>
    </row>
    <row r="44" spans="7:11">
      <c r="I44" s="66"/>
      <c r="J44" s="66"/>
      <c r="K44" s="66"/>
    </row>
    <row r="45" spans="7:11">
      <c r="I45" s="66"/>
      <c r="J45" s="66"/>
      <c r="K45" s="66"/>
    </row>
    <row r="46" spans="7:11">
      <c r="I46" s="66"/>
      <c r="J46" s="66"/>
      <c r="K46" s="66"/>
    </row>
    <row r="47" spans="7:11">
      <c r="I47" s="66"/>
      <c r="J47" s="66"/>
      <c r="K47" s="66"/>
    </row>
    <row r="48" spans="7:11">
      <c r="I48" s="66"/>
      <c r="J48" s="66"/>
      <c r="K48" s="66"/>
    </row>
    <row r="49" spans="9:23">
      <c r="I49" s="66"/>
      <c r="J49" s="66"/>
      <c r="K49" s="66"/>
      <c r="U49" s="66"/>
      <c r="V49" s="66"/>
      <c r="W49" s="66"/>
    </row>
    <row r="50" spans="9:23">
      <c r="I50" s="66"/>
      <c r="J50" s="66"/>
      <c r="K50" s="66"/>
      <c r="U50" s="66"/>
      <c r="V50" s="66"/>
      <c r="W50" s="66"/>
    </row>
    <row r="51" spans="9:23">
      <c r="I51" s="66"/>
      <c r="J51" s="66"/>
      <c r="K51" s="66"/>
      <c r="U51" s="66"/>
      <c r="V51" s="66"/>
      <c r="W51" s="66"/>
    </row>
    <row r="52" spans="9:23">
      <c r="I52" s="66"/>
      <c r="J52" s="66"/>
      <c r="K52" s="66"/>
    </row>
    <row r="53" spans="9:23">
      <c r="I53" s="66"/>
      <c r="J53" s="66"/>
      <c r="K53" s="66"/>
    </row>
    <row r="54" spans="9:23">
      <c r="I54" s="66"/>
      <c r="J54" s="66"/>
      <c r="K54" s="66"/>
    </row>
    <row r="55" spans="9:23">
      <c r="I55" s="66"/>
      <c r="J55" s="66"/>
      <c r="K55" s="66"/>
    </row>
    <row r="56" spans="9:23">
      <c r="I56" s="66"/>
      <c r="J56" s="66"/>
      <c r="K56" s="66"/>
    </row>
    <row r="57" spans="9:23">
      <c r="I57" s="66"/>
      <c r="J57" s="66"/>
      <c r="K57" s="66"/>
    </row>
    <row r="58" spans="9:23">
      <c r="I58" s="66"/>
      <c r="J58" s="66"/>
      <c r="K58" s="66"/>
    </row>
  </sheetData>
  <mergeCells count="8">
    <mergeCell ref="B22:G22"/>
    <mergeCell ref="G24:H24"/>
    <mergeCell ref="B2:K2"/>
    <mergeCell ref="O2:W2"/>
    <mergeCell ref="B3:C3"/>
    <mergeCell ref="B4:G4"/>
    <mergeCell ref="O4:T4"/>
    <mergeCell ref="G7:H7"/>
  </mergeCells>
  <phoneticPr fontId="51" type="noConversion"/>
  <pageMargins left="0.25" right="0.25" top="0.75" bottom="0.75" header="0.3" footer="0.3"/>
  <pageSetup paperSize="9" scale="68" orientation="landscape" horizontalDpi="4294967293"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문서" ma:contentTypeID="0x0101001B29C0DB68647A4991B7267BF0125920" ma:contentTypeVersion="3" ma:contentTypeDescription="새 문서를 만듭니다." ma:contentTypeScope="" ma:versionID="3ff0eb4248acf24b6a98600ea8d71325">
  <xsd:schema xmlns:xsd="http://www.w3.org/2001/XMLSchema" xmlns:xs="http://www.w3.org/2001/XMLSchema" xmlns:p="http://schemas.microsoft.com/office/2006/metadata/properties" xmlns:ns3="977a6910-67c2-46e6-8dbd-059cd8f971e7" targetNamespace="http://schemas.microsoft.com/office/2006/metadata/properties" ma:root="true" ma:fieldsID="573d8af5a879d7ef9c463a7ba8cdd4ae" ns3:_="">
    <xsd:import namespace="977a6910-67c2-46e6-8dbd-059cd8f971e7"/>
    <xsd:element name="properties">
      <xsd:complexType>
        <xsd:sequence>
          <xsd:element name="documentManagement">
            <xsd:complexType>
              <xsd:all>
                <xsd:element ref="ns3:MediaServiceMetadata" minOccurs="0"/>
                <xsd:element ref="ns3:MediaServiceFastMetadata"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77a6910-67c2-46e6-8dbd-059cd8f971e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C83BD19-732C-4CFA-B0CA-97318D05FF15}">
  <ds:schemaRefs>
    <ds:schemaRef ds:uri="http://schemas.microsoft.com/office/2006/metadata/properties"/>
    <ds:schemaRef ds:uri="http://www.w3.org/2000/xmlns/"/>
    <ds:schemaRef ds:uri="http://schemas.microsoft.com/office/infopath/2007/PartnerControls"/>
  </ds:schemaRefs>
</ds:datastoreItem>
</file>

<file path=customXml/itemProps2.xml><?xml version="1.0" encoding="utf-8"?>
<ds:datastoreItem xmlns:ds="http://schemas.openxmlformats.org/officeDocument/2006/customXml" ds:itemID="{4FD159C9-3921-46DA-B8F5-1BCE9661AF97}">
  <ds:schemaRefs>
    <ds:schemaRef ds:uri="http://schemas.microsoft.com/office/2006/metadata/contentType"/>
    <ds:schemaRef ds:uri="http://schemas.microsoft.com/office/2006/metadata/properties/metaAttributes"/>
    <ds:schemaRef ds:uri="http://www.w3.org/2000/xmlns/"/>
    <ds:schemaRef ds:uri="http://www.w3.org/2001/XMLSchema"/>
    <ds:schemaRef ds:uri="977a6910-67c2-46e6-8dbd-059cd8f971e7"/>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422C9AA-1098-4CDB-82A9-C34659FAA5F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7</vt:i4>
      </vt:variant>
      <vt:variant>
        <vt:lpstr>이름 지정된 범위</vt:lpstr>
      </vt:variant>
      <vt:variant>
        <vt:i4>2</vt:i4>
      </vt:variant>
    </vt:vector>
  </HeadingPairs>
  <TitlesOfParts>
    <vt:vector size="9" baseType="lpstr">
      <vt:lpstr>0. 경영분석도구의 구조</vt:lpstr>
      <vt:lpstr>2. 의사결정 및 경영성과</vt:lpstr>
      <vt:lpstr>3. 기초 분석 자료</vt:lpstr>
      <vt:lpstr>1. Parameter Table</vt:lpstr>
      <vt:lpstr>4. 재무분석도구</vt:lpstr>
      <vt:lpstr>5. 경제성 분석 도구</vt:lpstr>
      <vt:lpstr>6. What-if 및 시나리오 분석</vt:lpstr>
      <vt:lpstr>'3. 기초 분석 자료'!Print_Area</vt:lpstr>
      <vt:lpstr>'4. 재무분석도구'!Print_Area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sskim PC</dc:creator>
  <cp:lastModifiedBy>김상수 비투엘소프트</cp:lastModifiedBy>
  <dcterms:created xsi:type="dcterms:W3CDTF">2016-03-09T02:33:45Z</dcterms:created>
  <dcterms:modified xsi:type="dcterms:W3CDTF">2025-11-08T09:24:40Z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0x0101001B29C0DB68647A4991B7267BF0125920</vt:lpwstr>
  </property>
</Properties>
</file>